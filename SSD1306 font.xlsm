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MB Holland bv\Products\Reed machines\Calculations\"/>
    </mc:Choice>
  </mc:AlternateContent>
  <xr:revisionPtr revIDLastSave="0" documentId="13_ncr:1_{DB5E92F6-BFCF-4590-A040-33589644A503}" xr6:coauthVersionLast="47" xr6:coauthVersionMax="47" xr10:uidLastSave="{00000000-0000-0000-0000-000000000000}"/>
  <bookViews>
    <workbookView xWindow="-120" yWindow="-120" windowWidth="29040" windowHeight="15720" activeTab="4" xr2:uid="{DE670FE5-E262-4F8D-879E-7CCADBBF9E4E}"/>
  </bookViews>
  <sheets>
    <sheet name="Logo64x64" sheetId="5" r:id="rId1"/>
    <sheet name="Font 6x7 " sheetId="12" r:id="rId2"/>
    <sheet name="Font 11x18" sheetId="13" r:id="rId3"/>
    <sheet name="Logo37x43" sheetId="3" r:id="rId4"/>
    <sheet name="Battery symbol" sheetId="4" r:id="rId5"/>
    <sheet name="Font7x10" sheetId="7" r:id="rId6"/>
    <sheet name="MainScreen" sheetId="8" r:id="rId7"/>
    <sheet name="Scrape" sheetId="9" r:id="rId8"/>
    <sheet name="Sheet2" sheetId="10" r:id="rId9"/>
    <sheet name="Font5x7" sheetId="11" r:id="rId10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7" i="12" l="1"/>
  <c r="E1" i="13"/>
  <c r="H240" i="12"/>
  <c r="I240" i="12" s="1"/>
  <c r="H239" i="12"/>
  <c r="I239" i="12" s="1"/>
  <c r="H238" i="12"/>
  <c r="I238" i="12" s="1"/>
  <c r="H237" i="12"/>
  <c r="I237" i="12" s="1"/>
  <c r="H236" i="12"/>
  <c r="I236" i="12" s="1"/>
  <c r="H235" i="12"/>
  <c r="I235" i="12" s="1"/>
  <c r="H234" i="12"/>
  <c r="I234" i="12" s="1"/>
  <c r="H248" i="12"/>
  <c r="I248" i="12" s="1"/>
  <c r="H247" i="12"/>
  <c r="I247" i="12" s="1"/>
  <c r="H246" i="12"/>
  <c r="I246" i="12" s="1"/>
  <c r="H245" i="12"/>
  <c r="I245" i="12" s="1"/>
  <c r="H244" i="12"/>
  <c r="I244" i="12" s="1"/>
  <c r="H243" i="12"/>
  <c r="I243" i="12" s="1"/>
  <c r="H242" i="12"/>
  <c r="I242" i="12" s="1"/>
  <c r="H104" i="12"/>
  <c r="I104" i="12" s="1"/>
  <c r="H103" i="12"/>
  <c r="I103" i="12" s="1"/>
  <c r="H102" i="12"/>
  <c r="I102" i="12" s="1"/>
  <c r="H101" i="12"/>
  <c r="I101" i="12" s="1"/>
  <c r="H100" i="12"/>
  <c r="I100" i="12" s="1"/>
  <c r="H99" i="12"/>
  <c r="I99" i="12" s="1"/>
  <c r="H98" i="12"/>
  <c r="I98" i="12" s="1"/>
  <c r="H56" i="12"/>
  <c r="I56" i="12" s="1"/>
  <c r="H55" i="12"/>
  <c r="I55" i="12" s="1"/>
  <c r="H54" i="12"/>
  <c r="I54" i="12" s="1"/>
  <c r="H53" i="12"/>
  <c r="I53" i="12" s="1"/>
  <c r="H52" i="12"/>
  <c r="I52" i="12" s="1"/>
  <c r="H51" i="12"/>
  <c r="I51" i="12" s="1"/>
  <c r="H50" i="12"/>
  <c r="I50" i="12" s="1"/>
  <c r="H216" i="12"/>
  <c r="I216" i="12" s="1"/>
  <c r="H215" i="12"/>
  <c r="I215" i="12" s="1"/>
  <c r="H214" i="12"/>
  <c r="I214" i="12" s="1"/>
  <c r="H213" i="12"/>
  <c r="I213" i="12" s="1"/>
  <c r="H212" i="12"/>
  <c r="I212" i="12" s="1"/>
  <c r="H211" i="12"/>
  <c r="I211" i="12" s="1"/>
  <c r="H210" i="12"/>
  <c r="I210" i="12" s="1"/>
  <c r="H224" i="12"/>
  <c r="I224" i="12" s="1"/>
  <c r="H223" i="12"/>
  <c r="I223" i="12" s="1"/>
  <c r="H222" i="12"/>
  <c r="I222" i="12" s="1"/>
  <c r="H221" i="12"/>
  <c r="I221" i="12" s="1"/>
  <c r="H220" i="12"/>
  <c r="I220" i="12" s="1"/>
  <c r="H219" i="12"/>
  <c r="I219" i="12" s="1"/>
  <c r="H218" i="12"/>
  <c r="I218" i="12" s="1"/>
  <c r="H232" i="12"/>
  <c r="I232" i="12" s="1"/>
  <c r="H231" i="12"/>
  <c r="I231" i="12" s="1"/>
  <c r="H230" i="12"/>
  <c r="I230" i="12" s="1"/>
  <c r="H229" i="12"/>
  <c r="I229" i="12" s="1"/>
  <c r="H228" i="12"/>
  <c r="I228" i="12" s="1"/>
  <c r="H227" i="12"/>
  <c r="I227" i="12" s="1"/>
  <c r="H226" i="12"/>
  <c r="I226" i="12" s="1"/>
  <c r="H256" i="12"/>
  <c r="I256" i="12" s="1"/>
  <c r="H255" i="12"/>
  <c r="I255" i="12" s="1"/>
  <c r="H254" i="12"/>
  <c r="I254" i="12" s="1"/>
  <c r="H253" i="12"/>
  <c r="I253" i="12" s="1"/>
  <c r="H252" i="12"/>
  <c r="I252" i="12" s="1"/>
  <c r="H251" i="12"/>
  <c r="I251" i="12" s="1"/>
  <c r="H250" i="12"/>
  <c r="I250" i="12" s="1"/>
  <c r="H264" i="12"/>
  <c r="I264" i="12" s="1"/>
  <c r="H263" i="12"/>
  <c r="I263" i="12" s="1"/>
  <c r="H262" i="12"/>
  <c r="I262" i="12" s="1"/>
  <c r="H261" i="12"/>
  <c r="I261" i="12" s="1"/>
  <c r="H260" i="12"/>
  <c r="I260" i="12" s="1"/>
  <c r="H259" i="12"/>
  <c r="I259" i="12" s="1"/>
  <c r="H258" i="12"/>
  <c r="I258" i="12" s="1"/>
  <c r="H272" i="12"/>
  <c r="I272" i="12" s="1"/>
  <c r="H271" i="12"/>
  <c r="I271" i="12" s="1"/>
  <c r="H270" i="12"/>
  <c r="I270" i="12" s="1"/>
  <c r="H269" i="12"/>
  <c r="I269" i="12" s="1"/>
  <c r="H268" i="12"/>
  <c r="I268" i="12" s="1"/>
  <c r="H267" i="12"/>
  <c r="I267" i="12" s="1"/>
  <c r="H266" i="12"/>
  <c r="I266" i="12" s="1"/>
  <c r="H280" i="12"/>
  <c r="I280" i="12" s="1"/>
  <c r="H279" i="12"/>
  <c r="I279" i="12" s="1"/>
  <c r="H278" i="12"/>
  <c r="I278" i="12" s="1"/>
  <c r="H277" i="12"/>
  <c r="I277" i="12" s="1"/>
  <c r="H276" i="12"/>
  <c r="I276" i="12" s="1"/>
  <c r="H275" i="12"/>
  <c r="I275" i="12" s="1"/>
  <c r="H274" i="12"/>
  <c r="I274" i="12" s="1"/>
  <c r="H288" i="12"/>
  <c r="I288" i="12" s="1"/>
  <c r="H287" i="12"/>
  <c r="I287" i="12" s="1"/>
  <c r="H286" i="12"/>
  <c r="I286" i="12" s="1"/>
  <c r="H285" i="12"/>
  <c r="I285" i="12" s="1"/>
  <c r="H284" i="12"/>
  <c r="I284" i="12" s="1"/>
  <c r="H283" i="12"/>
  <c r="I283" i="12" s="1"/>
  <c r="H282" i="12"/>
  <c r="I282" i="12" s="1"/>
  <c r="H296" i="12"/>
  <c r="I296" i="12" s="1"/>
  <c r="H295" i="12"/>
  <c r="I295" i="12" s="1"/>
  <c r="H294" i="12"/>
  <c r="I294" i="12" s="1"/>
  <c r="H293" i="12"/>
  <c r="I293" i="12" s="1"/>
  <c r="H292" i="12"/>
  <c r="I292" i="12" s="1"/>
  <c r="H291" i="12"/>
  <c r="I291" i="12" s="1"/>
  <c r="H290" i="12"/>
  <c r="I290" i="12" s="1"/>
  <c r="H304" i="12"/>
  <c r="I304" i="12" s="1"/>
  <c r="H303" i="12"/>
  <c r="I303" i="12" s="1"/>
  <c r="H302" i="12"/>
  <c r="I302" i="12" s="1"/>
  <c r="H301" i="12"/>
  <c r="I301" i="12" s="1"/>
  <c r="H300" i="12"/>
  <c r="I300" i="12" s="1"/>
  <c r="H299" i="12"/>
  <c r="I299" i="12" s="1"/>
  <c r="H298" i="12"/>
  <c r="I298" i="12" s="1"/>
  <c r="H312" i="12"/>
  <c r="I312" i="12" s="1"/>
  <c r="H311" i="12"/>
  <c r="I311" i="12" s="1"/>
  <c r="H310" i="12"/>
  <c r="I310" i="12" s="1"/>
  <c r="H309" i="12"/>
  <c r="I309" i="12" s="1"/>
  <c r="H308" i="12"/>
  <c r="I308" i="12" s="1"/>
  <c r="H307" i="12"/>
  <c r="I307" i="12" s="1"/>
  <c r="H306" i="12"/>
  <c r="I306" i="12" s="1"/>
  <c r="H320" i="12"/>
  <c r="I320" i="12" s="1"/>
  <c r="H319" i="12"/>
  <c r="I319" i="12" s="1"/>
  <c r="H318" i="12"/>
  <c r="I318" i="12" s="1"/>
  <c r="H317" i="12"/>
  <c r="I317" i="12" s="1"/>
  <c r="H316" i="12"/>
  <c r="I316" i="12" s="1"/>
  <c r="H315" i="12"/>
  <c r="I315" i="12" s="1"/>
  <c r="H314" i="12"/>
  <c r="I314" i="12" s="1"/>
  <c r="H328" i="12"/>
  <c r="I328" i="12" s="1"/>
  <c r="H327" i="12"/>
  <c r="I327" i="12" s="1"/>
  <c r="H326" i="12"/>
  <c r="I326" i="12" s="1"/>
  <c r="H325" i="12"/>
  <c r="I325" i="12" s="1"/>
  <c r="H324" i="12"/>
  <c r="I324" i="12" s="1"/>
  <c r="H323" i="12"/>
  <c r="I323" i="12" s="1"/>
  <c r="H322" i="12"/>
  <c r="I322" i="12" s="1"/>
  <c r="H336" i="12"/>
  <c r="I336" i="12" s="1"/>
  <c r="H335" i="12"/>
  <c r="I335" i="12" s="1"/>
  <c r="H334" i="12"/>
  <c r="I334" i="12" s="1"/>
  <c r="H333" i="12"/>
  <c r="I333" i="12" s="1"/>
  <c r="H332" i="12"/>
  <c r="I332" i="12" s="1"/>
  <c r="H331" i="12"/>
  <c r="I331" i="12" s="1"/>
  <c r="H330" i="12"/>
  <c r="I330" i="12" s="1"/>
  <c r="H344" i="12"/>
  <c r="I344" i="12" s="1"/>
  <c r="H343" i="12"/>
  <c r="I343" i="12" s="1"/>
  <c r="H342" i="12"/>
  <c r="I342" i="12" s="1"/>
  <c r="H341" i="12"/>
  <c r="I341" i="12" s="1"/>
  <c r="H340" i="12"/>
  <c r="I340" i="12" s="1"/>
  <c r="H339" i="12"/>
  <c r="I339" i="12" s="1"/>
  <c r="H338" i="12"/>
  <c r="I338" i="12" s="1"/>
  <c r="H352" i="12"/>
  <c r="I352" i="12" s="1"/>
  <c r="H351" i="12"/>
  <c r="I351" i="12" s="1"/>
  <c r="H350" i="12"/>
  <c r="I350" i="12" s="1"/>
  <c r="H349" i="12"/>
  <c r="I349" i="12" s="1"/>
  <c r="H348" i="12"/>
  <c r="I348" i="12" s="1"/>
  <c r="H347" i="12"/>
  <c r="I347" i="12" s="1"/>
  <c r="H346" i="12"/>
  <c r="I346" i="12" s="1"/>
  <c r="H360" i="12"/>
  <c r="I360" i="12" s="1"/>
  <c r="H359" i="12"/>
  <c r="I359" i="12" s="1"/>
  <c r="H358" i="12"/>
  <c r="I358" i="12" s="1"/>
  <c r="H357" i="12"/>
  <c r="I357" i="12" s="1"/>
  <c r="H356" i="12"/>
  <c r="I356" i="12" s="1"/>
  <c r="H355" i="12"/>
  <c r="I355" i="12" s="1"/>
  <c r="H354" i="12"/>
  <c r="I354" i="12" s="1"/>
  <c r="H368" i="12"/>
  <c r="I368" i="12" s="1"/>
  <c r="H367" i="12"/>
  <c r="I367" i="12" s="1"/>
  <c r="H366" i="12"/>
  <c r="I366" i="12" s="1"/>
  <c r="H365" i="12"/>
  <c r="I365" i="12" s="1"/>
  <c r="H364" i="12"/>
  <c r="I364" i="12" s="1"/>
  <c r="H363" i="12"/>
  <c r="I363" i="12" s="1"/>
  <c r="H362" i="12"/>
  <c r="I362" i="12" s="1"/>
  <c r="H376" i="12"/>
  <c r="I376" i="12" s="1"/>
  <c r="H375" i="12"/>
  <c r="I375" i="12" s="1"/>
  <c r="H374" i="12"/>
  <c r="I374" i="12" s="1"/>
  <c r="H373" i="12"/>
  <c r="I373" i="12" s="1"/>
  <c r="H372" i="12"/>
  <c r="I372" i="12" s="1"/>
  <c r="H371" i="12"/>
  <c r="I371" i="12" s="1"/>
  <c r="H370" i="12"/>
  <c r="I370" i="12" s="1"/>
  <c r="H384" i="12"/>
  <c r="I384" i="12" s="1"/>
  <c r="H383" i="12"/>
  <c r="I383" i="12" s="1"/>
  <c r="H382" i="12"/>
  <c r="I382" i="12" s="1"/>
  <c r="H381" i="12"/>
  <c r="I381" i="12" s="1"/>
  <c r="H380" i="12"/>
  <c r="I380" i="12" s="1"/>
  <c r="H379" i="12"/>
  <c r="I379" i="12" s="1"/>
  <c r="H378" i="12"/>
  <c r="I378" i="12" s="1"/>
  <c r="H392" i="12"/>
  <c r="I392" i="12" s="1"/>
  <c r="H391" i="12"/>
  <c r="I391" i="12" s="1"/>
  <c r="H390" i="12"/>
  <c r="I390" i="12" s="1"/>
  <c r="H389" i="12"/>
  <c r="I389" i="12" s="1"/>
  <c r="H388" i="12"/>
  <c r="I388" i="12" s="1"/>
  <c r="H387" i="12"/>
  <c r="I387" i="12" s="1"/>
  <c r="H386" i="12"/>
  <c r="I386" i="12" s="1"/>
  <c r="H400" i="12"/>
  <c r="I400" i="12" s="1"/>
  <c r="H399" i="12"/>
  <c r="I399" i="12" s="1"/>
  <c r="H398" i="12"/>
  <c r="I398" i="12" s="1"/>
  <c r="H397" i="12"/>
  <c r="I397" i="12" s="1"/>
  <c r="H396" i="12"/>
  <c r="I396" i="12" s="1"/>
  <c r="H395" i="12"/>
  <c r="I395" i="12" s="1"/>
  <c r="H394" i="12"/>
  <c r="I394" i="12" s="1"/>
  <c r="H408" i="12"/>
  <c r="I408" i="12" s="1"/>
  <c r="H407" i="12"/>
  <c r="I407" i="12" s="1"/>
  <c r="H406" i="12"/>
  <c r="I406" i="12" s="1"/>
  <c r="H405" i="12"/>
  <c r="I405" i="12" s="1"/>
  <c r="H404" i="12"/>
  <c r="I404" i="12" s="1"/>
  <c r="H403" i="12"/>
  <c r="I403" i="12" s="1"/>
  <c r="H402" i="12"/>
  <c r="I402" i="12" s="1"/>
  <c r="H416" i="12"/>
  <c r="I416" i="12" s="1"/>
  <c r="H415" i="12"/>
  <c r="I415" i="12" s="1"/>
  <c r="H414" i="12"/>
  <c r="I414" i="12" s="1"/>
  <c r="H413" i="12"/>
  <c r="I413" i="12" s="1"/>
  <c r="H412" i="12"/>
  <c r="I412" i="12" s="1"/>
  <c r="H411" i="12"/>
  <c r="I411" i="12" s="1"/>
  <c r="H410" i="12"/>
  <c r="I410" i="12" s="1"/>
  <c r="H424" i="12"/>
  <c r="I424" i="12" s="1"/>
  <c r="H423" i="12"/>
  <c r="I423" i="12" s="1"/>
  <c r="H422" i="12"/>
  <c r="I422" i="12" s="1"/>
  <c r="H421" i="12"/>
  <c r="I421" i="12" s="1"/>
  <c r="H420" i="12"/>
  <c r="I420" i="12" s="1"/>
  <c r="H419" i="12"/>
  <c r="I419" i="12" s="1"/>
  <c r="H418" i="12"/>
  <c r="I418" i="12" s="1"/>
  <c r="H432" i="12"/>
  <c r="I432" i="12" s="1"/>
  <c r="H431" i="12"/>
  <c r="I431" i="12" s="1"/>
  <c r="H430" i="12"/>
  <c r="I430" i="12" s="1"/>
  <c r="H429" i="12"/>
  <c r="I429" i="12" s="1"/>
  <c r="H428" i="12"/>
  <c r="I428" i="12" s="1"/>
  <c r="H427" i="12"/>
  <c r="I427" i="12" s="1"/>
  <c r="H426" i="12"/>
  <c r="I426" i="12" s="1"/>
  <c r="H440" i="12"/>
  <c r="I440" i="12" s="1"/>
  <c r="H439" i="12"/>
  <c r="I439" i="12" s="1"/>
  <c r="H438" i="12"/>
  <c r="I438" i="12" s="1"/>
  <c r="H437" i="12"/>
  <c r="I437" i="12" s="1"/>
  <c r="H436" i="12"/>
  <c r="I436" i="12" s="1"/>
  <c r="H435" i="12"/>
  <c r="I435" i="12" s="1"/>
  <c r="H434" i="12"/>
  <c r="I434" i="12" s="1"/>
  <c r="H448" i="12"/>
  <c r="I448" i="12" s="1"/>
  <c r="H447" i="12"/>
  <c r="I447" i="12" s="1"/>
  <c r="H446" i="12"/>
  <c r="I446" i="12" s="1"/>
  <c r="H445" i="12"/>
  <c r="I445" i="12" s="1"/>
  <c r="H444" i="12"/>
  <c r="I444" i="12" s="1"/>
  <c r="H443" i="12"/>
  <c r="I443" i="12" s="1"/>
  <c r="H442" i="12"/>
  <c r="I442" i="12" s="1"/>
  <c r="H456" i="12"/>
  <c r="I456" i="12" s="1"/>
  <c r="H455" i="12"/>
  <c r="I455" i="12" s="1"/>
  <c r="H454" i="12"/>
  <c r="I454" i="12" s="1"/>
  <c r="H453" i="12"/>
  <c r="I453" i="12" s="1"/>
  <c r="H452" i="12"/>
  <c r="I452" i="12" s="1"/>
  <c r="H451" i="12"/>
  <c r="I451" i="12" s="1"/>
  <c r="H450" i="12"/>
  <c r="I450" i="12" s="1"/>
  <c r="H464" i="12"/>
  <c r="I464" i="12" s="1"/>
  <c r="H463" i="12"/>
  <c r="I463" i="12" s="1"/>
  <c r="H462" i="12"/>
  <c r="I462" i="12" s="1"/>
  <c r="H461" i="12"/>
  <c r="I461" i="12" s="1"/>
  <c r="H460" i="12"/>
  <c r="I460" i="12" s="1"/>
  <c r="H459" i="12"/>
  <c r="I459" i="12" s="1"/>
  <c r="H458" i="12"/>
  <c r="I458" i="12" s="1"/>
  <c r="H472" i="12"/>
  <c r="I472" i="12" s="1"/>
  <c r="H471" i="12"/>
  <c r="I471" i="12" s="1"/>
  <c r="H470" i="12"/>
  <c r="I470" i="12" s="1"/>
  <c r="H469" i="12"/>
  <c r="I469" i="12" s="1"/>
  <c r="H468" i="12"/>
  <c r="I468" i="12" s="1"/>
  <c r="H467" i="12"/>
  <c r="I467" i="12" s="1"/>
  <c r="H466" i="12"/>
  <c r="I466" i="12" s="1"/>
  <c r="H480" i="12"/>
  <c r="I480" i="12" s="1"/>
  <c r="H479" i="12"/>
  <c r="I479" i="12" s="1"/>
  <c r="H478" i="12"/>
  <c r="I478" i="12" s="1"/>
  <c r="H477" i="12"/>
  <c r="I477" i="12" s="1"/>
  <c r="H476" i="12"/>
  <c r="I476" i="12" s="1"/>
  <c r="H475" i="12"/>
  <c r="I475" i="12" s="1"/>
  <c r="H474" i="12"/>
  <c r="I474" i="12" s="1"/>
  <c r="H488" i="12"/>
  <c r="I488" i="12" s="1"/>
  <c r="H487" i="12"/>
  <c r="I487" i="12" s="1"/>
  <c r="H486" i="12"/>
  <c r="I486" i="12" s="1"/>
  <c r="H485" i="12"/>
  <c r="I485" i="12" s="1"/>
  <c r="H484" i="12"/>
  <c r="I484" i="12" s="1"/>
  <c r="H483" i="12"/>
  <c r="I483" i="12" s="1"/>
  <c r="H482" i="12"/>
  <c r="I482" i="12" s="1"/>
  <c r="H496" i="12"/>
  <c r="I496" i="12" s="1"/>
  <c r="H495" i="12"/>
  <c r="I495" i="12" s="1"/>
  <c r="H494" i="12"/>
  <c r="I494" i="12" s="1"/>
  <c r="H493" i="12"/>
  <c r="I493" i="12" s="1"/>
  <c r="H492" i="12"/>
  <c r="I492" i="12" s="1"/>
  <c r="H491" i="12"/>
  <c r="I491" i="12" s="1"/>
  <c r="H490" i="12"/>
  <c r="I490" i="12" s="1"/>
  <c r="H504" i="12"/>
  <c r="I504" i="12" s="1"/>
  <c r="H503" i="12"/>
  <c r="I503" i="12" s="1"/>
  <c r="H502" i="12"/>
  <c r="I502" i="12" s="1"/>
  <c r="H501" i="12"/>
  <c r="I501" i="12" s="1"/>
  <c r="H500" i="12"/>
  <c r="I500" i="12" s="1"/>
  <c r="H499" i="12"/>
  <c r="I499" i="12" s="1"/>
  <c r="H498" i="12"/>
  <c r="I498" i="12" s="1"/>
  <c r="H512" i="12"/>
  <c r="I512" i="12" s="1"/>
  <c r="H511" i="12"/>
  <c r="I511" i="12" s="1"/>
  <c r="H510" i="12"/>
  <c r="I510" i="12" s="1"/>
  <c r="H509" i="12"/>
  <c r="I509" i="12" s="1"/>
  <c r="H508" i="12"/>
  <c r="I508" i="12" s="1"/>
  <c r="H507" i="12"/>
  <c r="I507" i="12" s="1"/>
  <c r="H506" i="12"/>
  <c r="I506" i="12" s="1"/>
  <c r="H72" i="12"/>
  <c r="I72" i="12" s="1"/>
  <c r="H71" i="12"/>
  <c r="I71" i="12" s="1"/>
  <c r="H70" i="12"/>
  <c r="I70" i="12" s="1"/>
  <c r="H69" i="12"/>
  <c r="I69" i="12" s="1"/>
  <c r="H68" i="12"/>
  <c r="I68" i="12" s="1"/>
  <c r="H67" i="12"/>
  <c r="I67" i="12" s="1"/>
  <c r="H66" i="12"/>
  <c r="I66" i="12" s="1"/>
  <c r="H80" i="12"/>
  <c r="I80" i="12" s="1"/>
  <c r="H79" i="12"/>
  <c r="I79" i="12" s="1"/>
  <c r="H78" i="12"/>
  <c r="I78" i="12" s="1"/>
  <c r="H77" i="12"/>
  <c r="I77" i="12" s="1"/>
  <c r="H76" i="12"/>
  <c r="I76" i="12" s="1"/>
  <c r="H75" i="12"/>
  <c r="I75" i="12" s="1"/>
  <c r="H74" i="12"/>
  <c r="I74" i="12" s="1"/>
  <c r="H88" i="12"/>
  <c r="I88" i="12" s="1"/>
  <c r="H87" i="12"/>
  <c r="I87" i="12" s="1"/>
  <c r="H86" i="12"/>
  <c r="I86" i="12" s="1"/>
  <c r="H85" i="12"/>
  <c r="I85" i="12" s="1"/>
  <c r="H84" i="12"/>
  <c r="I84" i="12" s="1"/>
  <c r="H83" i="12"/>
  <c r="I83" i="12" s="1"/>
  <c r="H82" i="12"/>
  <c r="I82" i="12" s="1"/>
  <c r="H96" i="12"/>
  <c r="I96" i="12" s="1"/>
  <c r="H95" i="12"/>
  <c r="I95" i="12" s="1"/>
  <c r="H94" i="12"/>
  <c r="I94" i="12" s="1"/>
  <c r="H93" i="12"/>
  <c r="I93" i="12" s="1"/>
  <c r="H92" i="12"/>
  <c r="I92" i="12" s="1"/>
  <c r="H91" i="12"/>
  <c r="I91" i="12" s="1"/>
  <c r="H90" i="12"/>
  <c r="I90" i="12" s="1"/>
  <c r="H112" i="12"/>
  <c r="I112" i="12" s="1"/>
  <c r="H111" i="12"/>
  <c r="I111" i="12" s="1"/>
  <c r="H110" i="12"/>
  <c r="I110" i="12" s="1"/>
  <c r="H109" i="12"/>
  <c r="I109" i="12" s="1"/>
  <c r="H108" i="12"/>
  <c r="I108" i="12" s="1"/>
  <c r="I107" i="12"/>
  <c r="H106" i="12"/>
  <c r="I106" i="12" s="1"/>
  <c r="H120" i="12"/>
  <c r="I120" i="12" s="1"/>
  <c r="H119" i="12"/>
  <c r="I119" i="12" s="1"/>
  <c r="H118" i="12"/>
  <c r="I118" i="12" s="1"/>
  <c r="H117" i="12"/>
  <c r="I117" i="12" s="1"/>
  <c r="H116" i="12"/>
  <c r="I116" i="12" s="1"/>
  <c r="H115" i="12"/>
  <c r="I115" i="12" s="1"/>
  <c r="H114" i="12"/>
  <c r="I114" i="12" s="1"/>
  <c r="H128" i="12"/>
  <c r="I128" i="12" s="1"/>
  <c r="H127" i="12"/>
  <c r="I127" i="12" s="1"/>
  <c r="H126" i="12"/>
  <c r="I126" i="12" s="1"/>
  <c r="H125" i="12"/>
  <c r="I125" i="12" s="1"/>
  <c r="H124" i="12"/>
  <c r="I124" i="12" s="1"/>
  <c r="H123" i="12"/>
  <c r="I123" i="12" s="1"/>
  <c r="H122" i="12"/>
  <c r="I122" i="12" s="1"/>
  <c r="F1" i="13" l="1"/>
  <c r="J234" i="12"/>
  <c r="J242" i="12"/>
  <c r="J106" i="12"/>
  <c r="J450" i="12"/>
  <c r="J354" i="12"/>
  <c r="J282" i="12"/>
  <c r="J98" i="12"/>
  <c r="J378" i="12"/>
  <c r="J66" i="12"/>
  <c r="J266" i="12"/>
  <c r="J442" i="12"/>
  <c r="J346" i="12"/>
  <c r="J274" i="12"/>
  <c r="J90" i="12"/>
  <c r="J50" i="12"/>
  <c r="J402" i="12"/>
  <c r="J210" i="12"/>
  <c r="J386" i="12"/>
  <c r="J306" i="12"/>
  <c r="J74" i="12"/>
  <c r="J426" i="12"/>
  <c r="J330" i="12"/>
  <c r="J250" i="12"/>
  <c r="J466" i="12"/>
  <c r="J370" i="12"/>
  <c r="J290" i="12"/>
  <c r="J410" i="12"/>
  <c r="J394" i="12"/>
  <c r="J218" i="12"/>
  <c r="J82" i="12"/>
  <c r="J434" i="12"/>
  <c r="J338" i="12"/>
  <c r="J122" i="12"/>
  <c r="J418" i="12"/>
  <c r="J226" i="12"/>
  <c r="J114" i="12"/>
  <c r="J458" i="12"/>
  <c r="J362" i="12"/>
  <c r="J322" i="12"/>
  <c r="J298" i="12"/>
  <c r="J314" i="12"/>
  <c r="J258" i="12"/>
  <c r="J474" i="12"/>
  <c r="J482" i="12"/>
  <c r="J490" i="12"/>
  <c r="J498" i="12"/>
  <c r="J506" i="12"/>
  <c r="G1" i="13" l="1"/>
  <c r="H64" i="12"/>
  <c r="I64" i="12" s="1"/>
  <c r="H63" i="12"/>
  <c r="I63" i="12" s="1"/>
  <c r="H62" i="12"/>
  <c r="I62" i="12" s="1"/>
  <c r="H61" i="12"/>
  <c r="I61" i="12" s="1"/>
  <c r="H60" i="12"/>
  <c r="I60" i="12" s="1"/>
  <c r="H59" i="12"/>
  <c r="I59" i="12" s="1"/>
  <c r="H58" i="12"/>
  <c r="I58" i="12" s="1"/>
  <c r="H48" i="12"/>
  <c r="I48" i="12" s="1"/>
  <c r="H47" i="12"/>
  <c r="I47" i="12" s="1"/>
  <c r="H46" i="12"/>
  <c r="I46" i="12" s="1"/>
  <c r="H45" i="12"/>
  <c r="I45" i="12" s="1"/>
  <c r="H44" i="12"/>
  <c r="I44" i="12" s="1"/>
  <c r="H43" i="12"/>
  <c r="I43" i="12" s="1"/>
  <c r="H42" i="12"/>
  <c r="I42" i="12" s="1"/>
  <c r="H40" i="12"/>
  <c r="I40" i="12" s="1"/>
  <c r="H39" i="12"/>
  <c r="I39" i="12" s="1"/>
  <c r="H38" i="12"/>
  <c r="I38" i="12" s="1"/>
  <c r="H37" i="12"/>
  <c r="I37" i="12" s="1"/>
  <c r="H36" i="12"/>
  <c r="I36" i="12" s="1"/>
  <c r="H35" i="12"/>
  <c r="I35" i="12" s="1"/>
  <c r="H34" i="12"/>
  <c r="I34" i="12" s="1"/>
  <c r="H32" i="12"/>
  <c r="I32" i="12" s="1"/>
  <c r="H31" i="12"/>
  <c r="I31" i="12" s="1"/>
  <c r="H30" i="12"/>
  <c r="I30" i="12" s="1"/>
  <c r="H29" i="12"/>
  <c r="I29" i="12" s="1"/>
  <c r="H28" i="12"/>
  <c r="I28" i="12" s="1"/>
  <c r="H27" i="12"/>
  <c r="I27" i="12" s="1"/>
  <c r="H26" i="12"/>
  <c r="I26" i="12" s="1"/>
  <c r="H24" i="12"/>
  <c r="I24" i="12" s="1"/>
  <c r="H23" i="12"/>
  <c r="I23" i="12" s="1"/>
  <c r="H22" i="12"/>
  <c r="I22" i="12" s="1"/>
  <c r="H21" i="12"/>
  <c r="I21" i="12" s="1"/>
  <c r="H20" i="12"/>
  <c r="I20" i="12" s="1"/>
  <c r="H19" i="12"/>
  <c r="I19" i="12" s="1"/>
  <c r="H18" i="12"/>
  <c r="I18" i="12" s="1"/>
  <c r="H16" i="12"/>
  <c r="I16" i="12" s="1"/>
  <c r="H15" i="12"/>
  <c r="I15" i="12" s="1"/>
  <c r="H14" i="12"/>
  <c r="I14" i="12" s="1"/>
  <c r="H13" i="12"/>
  <c r="I13" i="12" s="1"/>
  <c r="H12" i="12"/>
  <c r="I12" i="12" s="1"/>
  <c r="H11" i="12"/>
  <c r="I11" i="12" s="1"/>
  <c r="H10" i="12"/>
  <c r="I10" i="12" s="1"/>
  <c r="H8" i="12"/>
  <c r="I8" i="12" s="1"/>
  <c r="H7" i="12"/>
  <c r="I7" i="12" s="1"/>
  <c r="H6" i="12"/>
  <c r="I6" i="12" s="1"/>
  <c r="H5" i="12"/>
  <c r="I5" i="12" s="1"/>
  <c r="H4" i="12"/>
  <c r="I4" i="12" s="1"/>
  <c r="H3" i="12"/>
  <c r="I3" i="12" s="1"/>
  <c r="H2" i="12"/>
  <c r="I2" i="12" s="1"/>
  <c r="H136" i="12"/>
  <c r="I136" i="12" s="1"/>
  <c r="H135" i="12"/>
  <c r="I135" i="12" s="1"/>
  <c r="H134" i="12"/>
  <c r="I134" i="12" s="1"/>
  <c r="H133" i="12"/>
  <c r="I133" i="12" s="1"/>
  <c r="H132" i="12"/>
  <c r="I132" i="12" s="1"/>
  <c r="H131" i="12"/>
  <c r="I131" i="12" s="1"/>
  <c r="H130" i="12"/>
  <c r="I130" i="12" s="1"/>
  <c r="H208" i="12"/>
  <c r="I208" i="12" s="1"/>
  <c r="H207" i="12"/>
  <c r="I207" i="12" s="1"/>
  <c r="H206" i="12"/>
  <c r="I206" i="12" s="1"/>
  <c r="H205" i="12"/>
  <c r="I205" i="12" s="1"/>
  <c r="H204" i="12"/>
  <c r="I204" i="12" s="1"/>
  <c r="H203" i="12"/>
  <c r="I203" i="12" s="1"/>
  <c r="H202" i="12"/>
  <c r="I202" i="12" s="1"/>
  <c r="H200" i="12"/>
  <c r="I200" i="12" s="1"/>
  <c r="H199" i="12"/>
  <c r="I199" i="12" s="1"/>
  <c r="H198" i="12"/>
  <c r="I198" i="12" s="1"/>
  <c r="H197" i="12"/>
  <c r="I197" i="12" s="1"/>
  <c r="H196" i="12"/>
  <c r="I196" i="12" s="1"/>
  <c r="H195" i="12"/>
  <c r="I195" i="12" s="1"/>
  <c r="H194" i="12"/>
  <c r="I194" i="12" s="1"/>
  <c r="H192" i="12"/>
  <c r="I192" i="12" s="1"/>
  <c r="H191" i="12"/>
  <c r="I191" i="12" s="1"/>
  <c r="H190" i="12"/>
  <c r="I190" i="12" s="1"/>
  <c r="H189" i="12"/>
  <c r="I189" i="12" s="1"/>
  <c r="H188" i="12"/>
  <c r="I188" i="12" s="1"/>
  <c r="H187" i="12"/>
  <c r="I187" i="12" s="1"/>
  <c r="H186" i="12"/>
  <c r="I186" i="12" s="1"/>
  <c r="H184" i="12"/>
  <c r="I184" i="12" s="1"/>
  <c r="H183" i="12"/>
  <c r="I183" i="12" s="1"/>
  <c r="H182" i="12"/>
  <c r="I182" i="12" s="1"/>
  <c r="H181" i="12"/>
  <c r="I181" i="12" s="1"/>
  <c r="H180" i="12"/>
  <c r="I180" i="12" s="1"/>
  <c r="H179" i="12"/>
  <c r="I179" i="12" s="1"/>
  <c r="H178" i="12"/>
  <c r="I178" i="12" s="1"/>
  <c r="H176" i="12"/>
  <c r="I176" i="12" s="1"/>
  <c r="H175" i="12"/>
  <c r="I175" i="12" s="1"/>
  <c r="H174" i="12"/>
  <c r="I174" i="12" s="1"/>
  <c r="H173" i="12"/>
  <c r="I173" i="12" s="1"/>
  <c r="H172" i="12"/>
  <c r="I172" i="12" s="1"/>
  <c r="H171" i="12"/>
  <c r="I171" i="12" s="1"/>
  <c r="H170" i="12"/>
  <c r="I170" i="12" s="1"/>
  <c r="H168" i="12"/>
  <c r="I168" i="12" s="1"/>
  <c r="H167" i="12"/>
  <c r="I167" i="12" s="1"/>
  <c r="H166" i="12"/>
  <c r="I166" i="12" s="1"/>
  <c r="H165" i="12"/>
  <c r="I165" i="12" s="1"/>
  <c r="H164" i="12"/>
  <c r="I164" i="12" s="1"/>
  <c r="H163" i="12"/>
  <c r="I163" i="12" s="1"/>
  <c r="H162" i="12"/>
  <c r="I162" i="12" s="1"/>
  <c r="H160" i="12"/>
  <c r="I160" i="12" s="1"/>
  <c r="H159" i="12"/>
  <c r="I159" i="12" s="1"/>
  <c r="H158" i="12"/>
  <c r="I158" i="12" s="1"/>
  <c r="H157" i="12"/>
  <c r="I157" i="12" s="1"/>
  <c r="H156" i="12"/>
  <c r="I156" i="12" s="1"/>
  <c r="H155" i="12"/>
  <c r="I155" i="12" s="1"/>
  <c r="H154" i="12"/>
  <c r="I154" i="12" s="1"/>
  <c r="H139" i="12"/>
  <c r="I139" i="12" s="1"/>
  <c r="H140" i="12"/>
  <c r="I140" i="12" s="1"/>
  <c r="H141" i="12"/>
  <c r="I141" i="12" s="1"/>
  <c r="H142" i="12"/>
  <c r="I142" i="12" s="1"/>
  <c r="H143" i="12"/>
  <c r="I143" i="12" s="1"/>
  <c r="H144" i="12"/>
  <c r="I144" i="12" s="1"/>
  <c r="H146" i="12"/>
  <c r="I146" i="12" s="1"/>
  <c r="H147" i="12"/>
  <c r="I147" i="12" s="1"/>
  <c r="H148" i="12"/>
  <c r="I148" i="12" s="1"/>
  <c r="H149" i="12"/>
  <c r="I149" i="12" s="1"/>
  <c r="H150" i="12"/>
  <c r="I150" i="12" s="1"/>
  <c r="H151" i="12"/>
  <c r="I151" i="12" s="1"/>
  <c r="H152" i="12"/>
  <c r="I152" i="12" s="1"/>
  <c r="H138" i="12"/>
  <c r="I138" i="12" s="1"/>
  <c r="H1" i="13" l="1"/>
  <c r="J130" i="12"/>
  <c r="J162" i="12"/>
  <c r="J170" i="12"/>
  <c r="J146" i="12"/>
  <c r="J26" i="12"/>
  <c r="J202" i="12"/>
  <c r="J42" i="12"/>
  <c r="J2" i="12"/>
  <c r="J178" i="12"/>
  <c r="J138" i="12"/>
  <c r="J18" i="12"/>
  <c r="J194" i="12"/>
  <c r="J154" i="12"/>
  <c r="J34" i="12"/>
  <c r="J58" i="12"/>
  <c r="J10" i="12"/>
  <c r="J186" i="12"/>
  <c r="I1" i="13" l="1"/>
  <c r="BU1" i="5"/>
  <c r="BT1" i="5"/>
  <c r="BS1" i="5"/>
  <c r="BR1" i="5"/>
  <c r="BQ1" i="5"/>
  <c r="BP1" i="5" s="1"/>
  <c r="BO1" i="5" s="1"/>
  <c r="BE1" i="5"/>
  <c r="AO1" i="5"/>
  <c r="AN1" i="5"/>
  <c r="AM1" i="5" s="1"/>
  <c r="Y1" i="5"/>
  <c r="X1" i="5" s="1"/>
  <c r="W1" i="5" s="1"/>
  <c r="V1" i="5"/>
  <c r="CM39" i="5" s="1"/>
  <c r="U1" i="5"/>
  <c r="T1" i="5" s="1"/>
  <c r="S1" i="5"/>
  <c r="R1" i="5" s="1"/>
  <c r="Q1" i="5" s="1"/>
  <c r="P1" i="5" s="1"/>
  <c r="O1" i="5" s="1"/>
  <c r="N1" i="5" s="1"/>
  <c r="M1" i="5" s="1"/>
  <c r="L1" i="5" s="1"/>
  <c r="K1" i="5" s="1"/>
  <c r="CM66" i="5"/>
  <c r="I66" i="5"/>
  <c r="H66" i="5"/>
  <c r="G66" i="5"/>
  <c r="F66" i="5"/>
  <c r="E66" i="5"/>
  <c r="D66" i="5"/>
  <c r="C66" i="5"/>
  <c r="B66" i="5"/>
  <c r="I65" i="5"/>
  <c r="H65" i="5"/>
  <c r="G65" i="5"/>
  <c r="F65" i="5"/>
  <c r="E65" i="5"/>
  <c r="D65" i="5"/>
  <c r="C65" i="5"/>
  <c r="B65" i="5"/>
  <c r="I64" i="5"/>
  <c r="H64" i="5"/>
  <c r="G64" i="5"/>
  <c r="F64" i="5"/>
  <c r="E64" i="5"/>
  <c r="D64" i="5"/>
  <c r="C64" i="5"/>
  <c r="B64" i="5"/>
  <c r="I63" i="5"/>
  <c r="H63" i="5"/>
  <c r="G63" i="5"/>
  <c r="F63" i="5"/>
  <c r="E63" i="5"/>
  <c r="D63" i="5"/>
  <c r="C63" i="5"/>
  <c r="B63" i="5"/>
  <c r="CM62" i="5"/>
  <c r="I62" i="5"/>
  <c r="H62" i="5"/>
  <c r="G62" i="5"/>
  <c r="F62" i="5"/>
  <c r="E62" i="5"/>
  <c r="D62" i="5"/>
  <c r="C62" i="5"/>
  <c r="B62" i="5"/>
  <c r="I61" i="5"/>
  <c r="H61" i="5"/>
  <c r="G61" i="5"/>
  <c r="F61" i="5"/>
  <c r="E61" i="5"/>
  <c r="D61" i="5"/>
  <c r="C61" i="5"/>
  <c r="B61" i="5"/>
  <c r="I60" i="5"/>
  <c r="H60" i="5"/>
  <c r="G60" i="5"/>
  <c r="F60" i="5"/>
  <c r="E60" i="5"/>
  <c r="D60" i="5"/>
  <c r="C60" i="5"/>
  <c r="B60" i="5"/>
  <c r="I59" i="5"/>
  <c r="H59" i="5"/>
  <c r="G59" i="5"/>
  <c r="F59" i="5"/>
  <c r="E59" i="5"/>
  <c r="D59" i="5"/>
  <c r="C59" i="5"/>
  <c r="B59" i="5"/>
  <c r="CM58" i="5"/>
  <c r="I58" i="5"/>
  <c r="H58" i="5"/>
  <c r="G58" i="5"/>
  <c r="F58" i="5"/>
  <c r="E58" i="5"/>
  <c r="D58" i="5"/>
  <c r="C58" i="5"/>
  <c r="B58" i="5"/>
  <c r="I57" i="5"/>
  <c r="H57" i="5"/>
  <c r="G57" i="5"/>
  <c r="F57" i="5"/>
  <c r="E57" i="5"/>
  <c r="D57" i="5"/>
  <c r="C57" i="5"/>
  <c r="B57" i="5"/>
  <c r="I56" i="5"/>
  <c r="H56" i="5"/>
  <c r="G56" i="5"/>
  <c r="F56" i="5"/>
  <c r="E56" i="5"/>
  <c r="D56" i="5"/>
  <c r="C56" i="5"/>
  <c r="B56" i="5"/>
  <c r="I55" i="5"/>
  <c r="H55" i="5"/>
  <c r="G55" i="5"/>
  <c r="F55" i="5"/>
  <c r="E55" i="5"/>
  <c r="D55" i="5"/>
  <c r="C55" i="5"/>
  <c r="B55" i="5"/>
  <c r="CM54" i="5"/>
  <c r="I54" i="5"/>
  <c r="H54" i="5"/>
  <c r="G54" i="5"/>
  <c r="F54" i="5"/>
  <c r="E54" i="5"/>
  <c r="D54" i="5"/>
  <c r="C54" i="5"/>
  <c r="B54" i="5"/>
  <c r="I53" i="5"/>
  <c r="H53" i="5"/>
  <c r="G53" i="5"/>
  <c r="F53" i="5"/>
  <c r="E53" i="5"/>
  <c r="D53" i="5"/>
  <c r="C53" i="5"/>
  <c r="B53" i="5"/>
  <c r="I52" i="5"/>
  <c r="H52" i="5"/>
  <c r="G52" i="5"/>
  <c r="F52" i="5"/>
  <c r="E52" i="5"/>
  <c r="D52" i="5"/>
  <c r="C52" i="5"/>
  <c r="B52" i="5"/>
  <c r="I51" i="5"/>
  <c r="H51" i="5"/>
  <c r="G51" i="5"/>
  <c r="F51" i="5"/>
  <c r="E51" i="5"/>
  <c r="D51" i="5"/>
  <c r="C51" i="5"/>
  <c r="B51" i="5"/>
  <c r="CM50" i="5"/>
  <c r="I50" i="5"/>
  <c r="H50" i="5"/>
  <c r="G50" i="5"/>
  <c r="F50" i="5"/>
  <c r="E50" i="5"/>
  <c r="D50" i="5"/>
  <c r="C50" i="5"/>
  <c r="B50" i="5"/>
  <c r="I49" i="5"/>
  <c r="H49" i="5"/>
  <c r="G49" i="5"/>
  <c r="F49" i="5"/>
  <c r="E49" i="5"/>
  <c r="D49" i="5"/>
  <c r="C49" i="5"/>
  <c r="B49" i="5"/>
  <c r="I48" i="5"/>
  <c r="H48" i="5"/>
  <c r="G48" i="5"/>
  <c r="F48" i="5"/>
  <c r="E48" i="5"/>
  <c r="D48" i="5"/>
  <c r="C48" i="5"/>
  <c r="B48" i="5"/>
  <c r="I47" i="5"/>
  <c r="H47" i="5"/>
  <c r="G47" i="5"/>
  <c r="F47" i="5"/>
  <c r="E47" i="5"/>
  <c r="D47" i="5"/>
  <c r="C47" i="5"/>
  <c r="B47" i="5"/>
  <c r="CM46" i="5"/>
  <c r="I46" i="5"/>
  <c r="H46" i="5"/>
  <c r="G46" i="5"/>
  <c r="F46" i="5"/>
  <c r="E46" i="5"/>
  <c r="D46" i="5"/>
  <c r="C46" i="5"/>
  <c r="B46" i="5"/>
  <c r="I45" i="5"/>
  <c r="H45" i="5"/>
  <c r="G45" i="5"/>
  <c r="F45" i="5"/>
  <c r="E45" i="5"/>
  <c r="D45" i="5"/>
  <c r="C45" i="5"/>
  <c r="B45" i="5"/>
  <c r="I44" i="5"/>
  <c r="H44" i="5"/>
  <c r="G44" i="5"/>
  <c r="F44" i="5"/>
  <c r="E44" i="5"/>
  <c r="D44" i="5"/>
  <c r="C44" i="5"/>
  <c r="B44" i="5"/>
  <c r="I43" i="5"/>
  <c r="H43" i="5"/>
  <c r="G43" i="5"/>
  <c r="F43" i="5"/>
  <c r="E43" i="5"/>
  <c r="D43" i="5"/>
  <c r="C43" i="5"/>
  <c r="B43" i="5"/>
  <c r="CM42" i="5"/>
  <c r="I42" i="5"/>
  <c r="H42" i="5"/>
  <c r="G42" i="5"/>
  <c r="F42" i="5"/>
  <c r="E42" i="5"/>
  <c r="D42" i="5"/>
  <c r="C42" i="5"/>
  <c r="B42" i="5"/>
  <c r="I41" i="5"/>
  <c r="H41" i="5"/>
  <c r="G41" i="5"/>
  <c r="F41" i="5"/>
  <c r="E41" i="5"/>
  <c r="D41" i="5"/>
  <c r="C41" i="5"/>
  <c r="B41" i="5"/>
  <c r="I40" i="5"/>
  <c r="H40" i="5"/>
  <c r="G40" i="5"/>
  <c r="F40" i="5"/>
  <c r="E40" i="5"/>
  <c r="D40" i="5"/>
  <c r="C40" i="5"/>
  <c r="B40" i="5"/>
  <c r="I39" i="5"/>
  <c r="H39" i="5"/>
  <c r="G39" i="5"/>
  <c r="F39" i="5"/>
  <c r="E39" i="5"/>
  <c r="D39" i="5"/>
  <c r="C39" i="5"/>
  <c r="B39" i="5"/>
  <c r="CM38" i="5"/>
  <c r="I38" i="5"/>
  <c r="H38" i="5"/>
  <c r="G38" i="5"/>
  <c r="F38" i="5"/>
  <c r="E38" i="5"/>
  <c r="D38" i="5"/>
  <c r="C38" i="5"/>
  <c r="B38" i="5"/>
  <c r="I37" i="5"/>
  <c r="H37" i="5"/>
  <c r="G37" i="5"/>
  <c r="F37" i="5"/>
  <c r="E37" i="5"/>
  <c r="D37" i="5"/>
  <c r="C37" i="5"/>
  <c r="B37" i="5"/>
  <c r="I36" i="5"/>
  <c r="H36" i="5"/>
  <c r="G36" i="5"/>
  <c r="F36" i="5"/>
  <c r="E36" i="5"/>
  <c r="D36" i="5"/>
  <c r="C36" i="5"/>
  <c r="B36" i="5"/>
  <c r="I35" i="5"/>
  <c r="H35" i="5"/>
  <c r="G35" i="5"/>
  <c r="F35" i="5"/>
  <c r="E35" i="5"/>
  <c r="D35" i="5"/>
  <c r="C35" i="5"/>
  <c r="B35" i="5"/>
  <c r="CM34" i="5"/>
  <c r="I34" i="5"/>
  <c r="H34" i="5"/>
  <c r="G34" i="5"/>
  <c r="F34" i="5"/>
  <c r="E34" i="5"/>
  <c r="D34" i="5"/>
  <c r="C34" i="5"/>
  <c r="B34" i="5"/>
  <c r="I33" i="5"/>
  <c r="H33" i="5"/>
  <c r="G33" i="5"/>
  <c r="F33" i="5"/>
  <c r="E33" i="5"/>
  <c r="D33" i="5"/>
  <c r="C33" i="5"/>
  <c r="B33" i="5"/>
  <c r="I32" i="5"/>
  <c r="H32" i="5"/>
  <c r="G32" i="5"/>
  <c r="F32" i="5"/>
  <c r="E32" i="5"/>
  <c r="D32" i="5"/>
  <c r="C32" i="5"/>
  <c r="B32" i="5"/>
  <c r="I31" i="5"/>
  <c r="H31" i="5"/>
  <c r="G31" i="5"/>
  <c r="F31" i="5"/>
  <c r="E31" i="5"/>
  <c r="D31" i="5"/>
  <c r="C31" i="5"/>
  <c r="B31" i="5"/>
  <c r="CM30" i="5"/>
  <c r="I30" i="5"/>
  <c r="H30" i="5"/>
  <c r="G30" i="5"/>
  <c r="F30" i="5"/>
  <c r="E30" i="5"/>
  <c r="D30" i="5"/>
  <c r="C30" i="5"/>
  <c r="B30" i="5"/>
  <c r="I29" i="5"/>
  <c r="H29" i="5"/>
  <c r="G29" i="5"/>
  <c r="F29" i="5"/>
  <c r="E29" i="5"/>
  <c r="D29" i="5"/>
  <c r="C29" i="5"/>
  <c r="B29" i="5"/>
  <c r="I28" i="5"/>
  <c r="H28" i="5"/>
  <c r="G28" i="5"/>
  <c r="F28" i="5"/>
  <c r="E28" i="5"/>
  <c r="D28" i="5"/>
  <c r="C28" i="5"/>
  <c r="B28" i="5"/>
  <c r="I27" i="5"/>
  <c r="H27" i="5"/>
  <c r="G27" i="5"/>
  <c r="F27" i="5"/>
  <c r="E27" i="5"/>
  <c r="D27" i="5"/>
  <c r="C27" i="5"/>
  <c r="B27" i="5"/>
  <c r="CM26" i="5"/>
  <c r="I26" i="5"/>
  <c r="H26" i="5"/>
  <c r="G26" i="5"/>
  <c r="F26" i="5"/>
  <c r="E26" i="5"/>
  <c r="D26" i="5"/>
  <c r="C26" i="5"/>
  <c r="B26" i="5"/>
  <c r="I25" i="5"/>
  <c r="H25" i="5"/>
  <c r="G25" i="5"/>
  <c r="F25" i="5"/>
  <c r="E25" i="5"/>
  <c r="D25" i="5"/>
  <c r="C25" i="5"/>
  <c r="B25" i="5"/>
  <c r="I24" i="5"/>
  <c r="H24" i="5"/>
  <c r="G24" i="5"/>
  <c r="F24" i="5"/>
  <c r="E24" i="5"/>
  <c r="D24" i="5"/>
  <c r="C24" i="5"/>
  <c r="B24" i="5"/>
  <c r="I23" i="5"/>
  <c r="H23" i="5"/>
  <c r="G23" i="5"/>
  <c r="F23" i="5"/>
  <c r="E23" i="5"/>
  <c r="D23" i="5"/>
  <c r="C23" i="5"/>
  <c r="B23" i="5"/>
  <c r="CM22" i="5"/>
  <c r="I22" i="5"/>
  <c r="H22" i="5"/>
  <c r="G22" i="5"/>
  <c r="F22" i="5"/>
  <c r="E22" i="5"/>
  <c r="D22" i="5"/>
  <c r="C22" i="5"/>
  <c r="B22" i="5"/>
  <c r="I21" i="5"/>
  <c r="H21" i="5"/>
  <c r="G21" i="5"/>
  <c r="F21" i="5"/>
  <c r="E21" i="5"/>
  <c r="D21" i="5"/>
  <c r="C21" i="5"/>
  <c r="B21" i="5"/>
  <c r="I20" i="5"/>
  <c r="H20" i="5"/>
  <c r="G20" i="5"/>
  <c r="F20" i="5"/>
  <c r="E20" i="5"/>
  <c r="D20" i="5"/>
  <c r="C20" i="5"/>
  <c r="B20" i="5"/>
  <c r="I19" i="5"/>
  <c r="H19" i="5"/>
  <c r="G19" i="5"/>
  <c r="F19" i="5"/>
  <c r="E19" i="5"/>
  <c r="D19" i="5"/>
  <c r="C19" i="5"/>
  <c r="B19" i="5"/>
  <c r="CM18" i="5"/>
  <c r="I18" i="5"/>
  <c r="H18" i="5"/>
  <c r="G18" i="5"/>
  <c r="F18" i="5"/>
  <c r="E18" i="5"/>
  <c r="D18" i="5"/>
  <c r="C18" i="5"/>
  <c r="B18" i="5"/>
  <c r="I17" i="5"/>
  <c r="H17" i="5"/>
  <c r="G17" i="5"/>
  <c r="F17" i="5"/>
  <c r="E17" i="5"/>
  <c r="D17" i="5"/>
  <c r="C17" i="5"/>
  <c r="B17" i="5"/>
  <c r="I16" i="5"/>
  <c r="H16" i="5"/>
  <c r="G16" i="5"/>
  <c r="F16" i="5"/>
  <c r="E16" i="5"/>
  <c r="D16" i="5"/>
  <c r="C16" i="5"/>
  <c r="B16" i="5"/>
  <c r="I15" i="5"/>
  <c r="H15" i="5"/>
  <c r="G15" i="5"/>
  <c r="F15" i="5"/>
  <c r="E15" i="5"/>
  <c r="D15" i="5"/>
  <c r="C15" i="5"/>
  <c r="B15" i="5"/>
  <c r="CM14" i="5"/>
  <c r="I14" i="5"/>
  <c r="H14" i="5"/>
  <c r="G14" i="5"/>
  <c r="F14" i="5"/>
  <c r="E14" i="5"/>
  <c r="D14" i="5"/>
  <c r="C14" i="5"/>
  <c r="B14" i="5"/>
  <c r="I13" i="5"/>
  <c r="H13" i="5"/>
  <c r="G13" i="5"/>
  <c r="F13" i="5"/>
  <c r="E13" i="5"/>
  <c r="D13" i="5"/>
  <c r="C13" i="5"/>
  <c r="B13" i="5"/>
  <c r="I12" i="5"/>
  <c r="H12" i="5"/>
  <c r="G12" i="5"/>
  <c r="F12" i="5"/>
  <c r="E12" i="5"/>
  <c r="D12" i="5"/>
  <c r="C12" i="5"/>
  <c r="B12" i="5"/>
  <c r="I11" i="5"/>
  <c r="H11" i="5"/>
  <c r="G11" i="5"/>
  <c r="F11" i="5"/>
  <c r="E11" i="5"/>
  <c r="D11" i="5"/>
  <c r="C11" i="5"/>
  <c r="B11" i="5"/>
  <c r="CM10" i="5"/>
  <c r="I10" i="5"/>
  <c r="H10" i="5"/>
  <c r="G10" i="5"/>
  <c r="F10" i="5"/>
  <c r="E10" i="5"/>
  <c r="D10" i="5"/>
  <c r="C10" i="5"/>
  <c r="B10" i="5"/>
  <c r="I9" i="5"/>
  <c r="H9" i="5"/>
  <c r="G9" i="5"/>
  <c r="F9" i="5"/>
  <c r="E9" i="5"/>
  <c r="D9" i="5"/>
  <c r="C9" i="5"/>
  <c r="B9" i="5"/>
  <c r="I8" i="5"/>
  <c r="H8" i="5"/>
  <c r="G8" i="5"/>
  <c r="F8" i="5"/>
  <c r="E8" i="5"/>
  <c r="D8" i="5"/>
  <c r="C8" i="5"/>
  <c r="B8" i="5"/>
  <c r="I7" i="5"/>
  <c r="H7" i="5"/>
  <c r="G7" i="5"/>
  <c r="F7" i="5"/>
  <c r="E7" i="5"/>
  <c r="D7" i="5"/>
  <c r="C7" i="5"/>
  <c r="B7" i="5"/>
  <c r="CM6" i="5"/>
  <c r="I6" i="5"/>
  <c r="H6" i="5"/>
  <c r="G6" i="5"/>
  <c r="F6" i="5"/>
  <c r="E6" i="5"/>
  <c r="D6" i="5"/>
  <c r="C6" i="5"/>
  <c r="B6" i="5"/>
  <c r="I5" i="5"/>
  <c r="H5" i="5"/>
  <c r="G5" i="5"/>
  <c r="F5" i="5"/>
  <c r="E5" i="5"/>
  <c r="D5" i="5"/>
  <c r="C5" i="5"/>
  <c r="B5" i="5"/>
  <c r="I4" i="5"/>
  <c r="H4" i="5"/>
  <c r="G4" i="5"/>
  <c r="F4" i="5"/>
  <c r="E4" i="5"/>
  <c r="D4" i="5"/>
  <c r="C4" i="5"/>
  <c r="B4" i="5"/>
  <c r="I3" i="5"/>
  <c r="H3" i="5"/>
  <c r="G3" i="5"/>
  <c r="F3" i="5"/>
  <c r="E3" i="5"/>
  <c r="D3" i="5"/>
  <c r="C3" i="5"/>
  <c r="B3" i="5"/>
  <c r="CK1" i="5"/>
  <c r="CJ1" i="5" s="1"/>
  <c r="CI1" i="5" s="1"/>
  <c r="CH1" i="5"/>
  <c r="CG1" i="5" s="1"/>
  <c r="CF1" i="5" s="1"/>
  <c r="CE1" i="5" s="1"/>
  <c r="CD1" i="5" s="1"/>
  <c r="CC1" i="5" s="1"/>
  <c r="CB1" i="5" s="1"/>
  <c r="CA1" i="5" s="1"/>
  <c r="BZ1" i="5" s="1"/>
  <c r="BY1" i="5" s="1"/>
  <c r="BX1" i="5" s="1"/>
  <c r="BW1" i="5" s="1"/>
  <c r="BU1" i="4"/>
  <c r="BT1" i="4" s="1"/>
  <c r="BS1" i="4" s="1"/>
  <c r="BR1" i="4" s="1"/>
  <c r="BE1" i="4"/>
  <c r="BD1" i="4" s="1"/>
  <c r="AO1" i="4"/>
  <c r="AN1" i="4" s="1"/>
  <c r="AM1" i="4" s="1"/>
  <c r="Y1" i="4"/>
  <c r="X1" i="4"/>
  <c r="I62" i="4"/>
  <c r="H62" i="4"/>
  <c r="G62" i="4"/>
  <c r="F62" i="4"/>
  <c r="E62" i="4"/>
  <c r="D62" i="4"/>
  <c r="C62" i="4"/>
  <c r="B62" i="4"/>
  <c r="I61" i="4"/>
  <c r="H61" i="4"/>
  <c r="G61" i="4"/>
  <c r="F61" i="4"/>
  <c r="E61" i="4"/>
  <c r="D61" i="4"/>
  <c r="C61" i="4"/>
  <c r="B61" i="4"/>
  <c r="I60" i="4"/>
  <c r="H60" i="4"/>
  <c r="G60" i="4"/>
  <c r="F60" i="4"/>
  <c r="E60" i="4"/>
  <c r="D60" i="4"/>
  <c r="C60" i="4"/>
  <c r="B60" i="4"/>
  <c r="I59" i="4"/>
  <c r="H59" i="4"/>
  <c r="G59" i="4"/>
  <c r="F59" i="4"/>
  <c r="E59" i="4"/>
  <c r="D59" i="4"/>
  <c r="C59" i="4"/>
  <c r="B59" i="4"/>
  <c r="I58" i="4"/>
  <c r="H58" i="4"/>
  <c r="G58" i="4"/>
  <c r="F58" i="4"/>
  <c r="E58" i="4"/>
  <c r="D58" i="4"/>
  <c r="C58" i="4"/>
  <c r="B58" i="4"/>
  <c r="I57" i="4"/>
  <c r="H57" i="4"/>
  <c r="G57" i="4"/>
  <c r="F57" i="4"/>
  <c r="E57" i="4"/>
  <c r="D57" i="4"/>
  <c r="C57" i="4"/>
  <c r="B57" i="4"/>
  <c r="I56" i="4"/>
  <c r="H56" i="4"/>
  <c r="G56" i="4"/>
  <c r="F56" i="4"/>
  <c r="E56" i="4"/>
  <c r="D56" i="4"/>
  <c r="C56" i="4"/>
  <c r="B56" i="4"/>
  <c r="I55" i="4"/>
  <c r="H55" i="4"/>
  <c r="G55" i="4"/>
  <c r="F55" i="4"/>
  <c r="E55" i="4"/>
  <c r="D55" i="4"/>
  <c r="C55" i="4"/>
  <c r="B55" i="4"/>
  <c r="I54" i="4"/>
  <c r="H54" i="4"/>
  <c r="G54" i="4"/>
  <c r="F54" i="4"/>
  <c r="E54" i="4"/>
  <c r="D54" i="4"/>
  <c r="C54" i="4"/>
  <c r="B54" i="4"/>
  <c r="I53" i="4"/>
  <c r="H53" i="4"/>
  <c r="G53" i="4"/>
  <c r="F53" i="4"/>
  <c r="E53" i="4"/>
  <c r="D53" i="4"/>
  <c r="C53" i="4"/>
  <c r="B53" i="4"/>
  <c r="I52" i="4"/>
  <c r="H52" i="4"/>
  <c r="G52" i="4"/>
  <c r="F52" i="4"/>
  <c r="E52" i="4"/>
  <c r="D52" i="4"/>
  <c r="C52" i="4"/>
  <c r="B52" i="4"/>
  <c r="I51" i="4"/>
  <c r="H51" i="4"/>
  <c r="G51" i="4"/>
  <c r="F51" i="4"/>
  <c r="E51" i="4"/>
  <c r="D51" i="4"/>
  <c r="C51" i="4"/>
  <c r="B51" i="4"/>
  <c r="I50" i="4"/>
  <c r="H50" i="4"/>
  <c r="G50" i="4"/>
  <c r="F50" i="4"/>
  <c r="E50" i="4"/>
  <c r="D50" i="4"/>
  <c r="C50" i="4"/>
  <c r="B50" i="4"/>
  <c r="I49" i="4"/>
  <c r="H49" i="4"/>
  <c r="G49" i="4"/>
  <c r="F49" i="4"/>
  <c r="E49" i="4"/>
  <c r="D49" i="4"/>
  <c r="C49" i="4"/>
  <c r="B49" i="4"/>
  <c r="I48" i="4"/>
  <c r="H48" i="4"/>
  <c r="G48" i="4"/>
  <c r="F48" i="4"/>
  <c r="E48" i="4"/>
  <c r="D48" i="4"/>
  <c r="C48" i="4"/>
  <c r="B48" i="4"/>
  <c r="I47" i="4"/>
  <c r="H47" i="4"/>
  <c r="G47" i="4"/>
  <c r="F47" i="4"/>
  <c r="E47" i="4"/>
  <c r="D47" i="4"/>
  <c r="C47" i="4"/>
  <c r="B47" i="4"/>
  <c r="I46" i="4"/>
  <c r="H46" i="4"/>
  <c r="G46" i="4"/>
  <c r="F46" i="4"/>
  <c r="E46" i="4"/>
  <c r="D46" i="4"/>
  <c r="C46" i="4"/>
  <c r="B46" i="4"/>
  <c r="I45" i="4"/>
  <c r="H45" i="4"/>
  <c r="G45" i="4"/>
  <c r="F45" i="4"/>
  <c r="E45" i="4"/>
  <c r="D45" i="4"/>
  <c r="C45" i="4"/>
  <c r="B45" i="4"/>
  <c r="I44" i="4"/>
  <c r="H44" i="4"/>
  <c r="G44" i="4"/>
  <c r="F44" i="4"/>
  <c r="E44" i="4"/>
  <c r="D44" i="4"/>
  <c r="C44" i="4"/>
  <c r="B44" i="4"/>
  <c r="I43" i="4"/>
  <c r="H43" i="4"/>
  <c r="G43" i="4"/>
  <c r="F43" i="4"/>
  <c r="E43" i="4"/>
  <c r="D43" i="4"/>
  <c r="C43" i="4"/>
  <c r="B43" i="4"/>
  <c r="I42" i="4"/>
  <c r="H42" i="4"/>
  <c r="G42" i="4"/>
  <c r="F42" i="4"/>
  <c r="E42" i="4"/>
  <c r="D42" i="4"/>
  <c r="C42" i="4"/>
  <c r="B42" i="4"/>
  <c r="I41" i="4"/>
  <c r="H41" i="4"/>
  <c r="G41" i="4"/>
  <c r="F41" i="4"/>
  <c r="E41" i="4"/>
  <c r="D41" i="4"/>
  <c r="C41" i="4"/>
  <c r="B41" i="4"/>
  <c r="I40" i="4"/>
  <c r="H40" i="4"/>
  <c r="G40" i="4"/>
  <c r="F40" i="4"/>
  <c r="E40" i="4"/>
  <c r="D40" i="4"/>
  <c r="C40" i="4"/>
  <c r="B40" i="4"/>
  <c r="I39" i="4"/>
  <c r="H39" i="4"/>
  <c r="G39" i="4"/>
  <c r="F39" i="4"/>
  <c r="E39" i="4"/>
  <c r="D39" i="4"/>
  <c r="C39" i="4"/>
  <c r="B39" i="4"/>
  <c r="I38" i="4"/>
  <c r="H38" i="4"/>
  <c r="G38" i="4"/>
  <c r="F38" i="4"/>
  <c r="E38" i="4"/>
  <c r="D38" i="4"/>
  <c r="C38" i="4"/>
  <c r="B38" i="4"/>
  <c r="I37" i="4"/>
  <c r="H37" i="4"/>
  <c r="G37" i="4"/>
  <c r="F37" i="4"/>
  <c r="E37" i="4"/>
  <c r="D37" i="4"/>
  <c r="C37" i="4"/>
  <c r="B37" i="4"/>
  <c r="I36" i="4"/>
  <c r="H36" i="4"/>
  <c r="G36" i="4"/>
  <c r="F36" i="4"/>
  <c r="E36" i="4"/>
  <c r="D36" i="4"/>
  <c r="C36" i="4"/>
  <c r="B36" i="4"/>
  <c r="I35" i="4"/>
  <c r="H35" i="4"/>
  <c r="G35" i="4"/>
  <c r="F35" i="4"/>
  <c r="E35" i="4"/>
  <c r="D35" i="4"/>
  <c r="C35" i="4"/>
  <c r="B35" i="4"/>
  <c r="I34" i="4"/>
  <c r="H34" i="4"/>
  <c r="G34" i="4"/>
  <c r="F34" i="4"/>
  <c r="E34" i="4"/>
  <c r="D34" i="4"/>
  <c r="C34" i="4"/>
  <c r="B34" i="4"/>
  <c r="I33" i="4"/>
  <c r="H33" i="4"/>
  <c r="G33" i="4"/>
  <c r="F33" i="4"/>
  <c r="E33" i="4"/>
  <c r="D33" i="4"/>
  <c r="C33" i="4"/>
  <c r="B33" i="4"/>
  <c r="I32" i="4"/>
  <c r="H32" i="4"/>
  <c r="G32" i="4"/>
  <c r="F32" i="4"/>
  <c r="E32" i="4"/>
  <c r="D32" i="4"/>
  <c r="C32" i="4"/>
  <c r="B32" i="4"/>
  <c r="I31" i="4"/>
  <c r="H31" i="4"/>
  <c r="G31" i="4"/>
  <c r="F31" i="4"/>
  <c r="E31" i="4"/>
  <c r="D31" i="4"/>
  <c r="C31" i="4"/>
  <c r="B31" i="4"/>
  <c r="I30" i="4"/>
  <c r="H30" i="4"/>
  <c r="G30" i="4"/>
  <c r="F30" i="4"/>
  <c r="E30" i="4"/>
  <c r="D30" i="4"/>
  <c r="C30" i="4"/>
  <c r="B30" i="4"/>
  <c r="I29" i="4"/>
  <c r="H29" i="4"/>
  <c r="G29" i="4"/>
  <c r="F29" i="4"/>
  <c r="E29" i="4"/>
  <c r="D29" i="4"/>
  <c r="C29" i="4"/>
  <c r="B29" i="4"/>
  <c r="I28" i="4"/>
  <c r="H28" i="4"/>
  <c r="G28" i="4"/>
  <c r="F28" i="4"/>
  <c r="E28" i="4"/>
  <c r="D28" i="4"/>
  <c r="C28" i="4"/>
  <c r="B28" i="4"/>
  <c r="I27" i="4"/>
  <c r="H27" i="4"/>
  <c r="G27" i="4"/>
  <c r="F27" i="4"/>
  <c r="E27" i="4"/>
  <c r="D27" i="4"/>
  <c r="C27" i="4"/>
  <c r="B27" i="4"/>
  <c r="I26" i="4"/>
  <c r="H26" i="4"/>
  <c r="G26" i="4"/>
  <c r="F26" i="4"/>
  <c r="E26" i="4"/>
  <c r="D26" i="4"/>
  <c r="C26" i="4"/>
  <c r="B26" i="4"/>
  <c r="I25" i="4"/>
  <c r="H25" i="4"/>
  <c r="G25" i="4"/>
  <c r="F25" i="4"/>
  <c r="E25" i="4"/>
  <c r="D25" i="4"/>
  <c r="C25" i="4"/>
  <c r="B25" i="4"/>
  <c r="I24" i="4"/>
  <c r="H24" i="4"/>
  <c r="G24" i="4"/>
  <c r="F24" i="4"/>
  <c r="E24" i="4"/>
  <c r="D24" i="4"/>
  <c r="C24" i="4"/>
  <c r="B24" i="4"/>
  <c r="I23" i="4"/>
  <c r="H23" i="4"/>
  <c r="G23" i="4"/>
  <c r="F23" i="4"/>
  <c r="E23" i="4"/>
  <c r="D23" i="4"/>
  <c r="C23" i="4"/>
  <c r="B23" i="4"/>
  <c r="I22" i="4"/>
  <c r="H22" i="4"/>
  <c r="G22" i="4"/>
  <c r="F22" i="4"/>
  <c r="E22" i="4"/>
  <c r="D22" i="4"/>
  <c r="C22" i="4"/>
  <c r="B22" i="4"/>
  <c r="I21" i="4"/>
  <c r="H21" i="4"/>
  <c r="G21" i="4"/>
  <c r="F21" i="4"/>
  <c r="E21" i="4"/>
  <c r="D21" i="4"/>
  <c r="C21" i="4"/>
  <c r="B21" i="4"/>
  <c r="I20" i="4"/>
  <c r="H20" i="4"/>
  <c r="G20" i="4"/>
  <c r="F20" i="4"/>
  <c r="E20" i="4"/>
  <c r="D20" i="4"/>
  <c r="C20" i="4"/>
  <c r="B20" i="4"/>
  <c r="I19" i="4"/>
  <c r="H19" i="4"/>
  <c r="G19" i="4"/>
  <c r="F19" i="4"/>
  <c r="E19" i="4"/>
  <c r="D19" i="4"/>
  <c r="C19" i="4"/>
  <c r="B19" i="4"/>
  <c r="I18" i="4"/>
  <c r="H18" i="4"/>
  <c r="G18" i="4"/>
  <c r="F18" i="4"/>
  <c r="E18" i="4"/>
  <c r="D18" i="4"/>
  <c r="C18" i="4"/>
  <c r="B18" i="4"/>
  <c r="I17" i="4"/>
  <c r="H17" i="4"/>
  <c r="G17" i="4"/>
  <c r="F17" i="4"/>
  <c r="E17" i="4"/>
  <c r="D17" i="4"/>
  <c r="C17" i="4"/>
  <c r="B17" i="4"/>
  <c r="I16" i="4"/>
  <c r="H16" i="4"/>
  <c r="G16" i="4"/>
  <c r="F16" i="4"/>
  <c r="E16" i="4"/>
  <c r="D16" i="4"/>
  <c r="C16" i="4"/>
  <c r="B16" i="4"/>
  <c r="I15" i="4"/>
  <c r="H15" i="4"/>
  <c r="G15" i="4"/>
  <c r="F15" i="4"/>
  <c r="E15" i="4"/>
  <c r="D15" i="4"/>
  <c r="C15" i="4"/>
  <c r="B15" i="4"/>
  <c r="I14" i="4"/>
  <c r="H14" i="4"/>
  <c r="G14" i="4"/>
  <c r="F14" i="4"/>
  <c r="E14" i="4"/>
  <c r="D14" i="4"/>
  <c r="C14" i="4"/>
  <c r="B14" i="4"/>
  <c r="I13" i="4"/>
  <c r="H13" i="4"/>
  <c r="G13" i="4"/>
  <c r="F13" i="4"/>
  <c r="E13" i="4"/>
  <c r="D13" i="4"/>
  <c r="C13" i="4"/>
  <c r="B13" i="4"/>
  <c r="I12" i="4"/>
  <c r="H12" i="4"/>
  <c r="G12" i="4"/>
  <c r="F12" i="4"/>
  <c r="E12" i="4"/>
  <c r="D12" i="4"/>
  <c r="C12" i="4"/>
  <c r="B12" i="4"/>
  <c r="I11" i="4"/>
  <c r="H11" i="4"/>
  <c r="G11" i="4"/>
  <c r="F11" i="4"/>
  <c r="E11" i="4"/>
  <c r="D11" i="4"/>
  <c r="C11" i="4"/>
  <c r="B11" i="4"/>
  <c r="I10" i="4"/>
  <c r="H10" i="4"/>
  <c r="G10" i="4"/>
  <c r="F10" i="4"/>
  <c r="E10" i="4"/>
  <c r="D10" i="4"/>
  <c r="C10" i="4"/>
  <c r="B10" i="4"/>
  <c r="I9" i="4"/>
  <c r="H9" i="4"/>
  <c r="G9" i="4"/>
  <c r="F9" i="4"/>
  <c r="E9" i="4"/>
  <c r="D9" i="4"/>
  <c r="C9" i="4"/>
  <c r="B9" i="4"/>
  <c r="I8" i="4"/>
  <c r="H8" i="4"/>
  <c r="G8" i="4"/>
  <c r="F8" i="4"/>
  <c r="E8" i="4"/>
  <c r="D8" i="4"/>
  <c r="C8" i="4"/>
  <c r="B8" i="4"/>
  <c r="I7" i="4"/>
  <c r="H7" i="4"/>
  <c r="G7" i="4"/>
  <c r="F7" i="4"/>
  <c r="E7" i="4"/>
  <c r="D7" i="4"/>
  <c r="C7" i="4"/>
  <c r="B7" i="4"/>
  <c r="I6" i="4"/>
  <c r="H6" i="4"/>
  <c r="G6" i="4"/>
  <c r="F6" i="4"/>
  <c r="E6" i="4"/>
  <c r="D6" i="4"/>
  <c r="C6" i="4"/>
  <c r="B6" i="4"/>
  <c r="I5" i="4"/>
  <c r="H5" i="4"/>
  <c r="G5" i="4"/>
  <c r="F5" i="4"/>
  <c r="E5" i="4"/>
  <c r="D5" i="4"/>
  <c r="C5" i="4"/>
  <c r="B5" i="4"/>
  <c r="I4" i="4"/>
  <c r="H4" i="4"/>
  <c r="G4" i="4"/>
  <c r="F4" i="4"/>
  <c r="E4" i="4"/>
  <c r="D4" i="4"/>
  <c r="C4" i="4"/>
  <c r="B4" i="4"/>
  <c r="I3" i="4"/>
  <c r="H3" i="4"/>
  <c r="G3" i="4"/>
  <c r="F3" i="4"/>
  <c r="E3" i="4"/>
  <c r="D3" i="4"/>
  <c r="C3" i="4"/>
  <c r="B3" i="4"/>
  <c r="CK1" i="4"/>
  <c r="CJ1" i="4" s="1"/>
  <c r="CI1" i="4" s="1"/>
  <c r="CH1" i="4" s="1"/>
  <c r="CG1" i="4" s="1"/>
  <c r="CF1" i="4" s="1"/>
  <c r="CE1" i="4" s="1"/>
  <c r="CD1" i="4" s="1"/>
  <c r="CC1" i="4" s="1"/>
  <c r="CB1" i="4" s="1"/>
  <c r="CA1" i="4" s="1"/>
  <c r="BZ1" i="4" s="1"/>
  <c r="BY1" i="4" s="1"/>
  <c r="BX1" i="4" s="1"/>
  <c r="BW1" i="4" s="1"/>
  <c r="CK1" i="3"/>
  <c r="CJ1" i="3" s="1"/>
  <c r="CI1" i="3"/>
  <c r="CH1" i="3" s="1"/>
  <c r="CG1" i="3" s="1"/>
  <c r="CF1" i="3" s="1"/>
  <c r="CE1" i="3" s="1"/>
  <c r="CD1" i="3" s="1"/>
  <c r="CC1" i="3" s="1"/>
  <c r="CB1" i="3" s="1"/>
  <c r="CA1" i="3" s="1"/>
  <c r="BZ1" i="3" s="1"/>
  <c r="BY1" i="3" s="1"/>
  <c r="BX1" i="3" s="1"/>
  <c r="BW1" i="3" s="1"/>
  <c r="BU1" i="3"/>
  <c r="BE1" i="3"/>
  <c r="BD1" i="3"/>
  <c r="BC1" i="3" s="1"/>
  <c r="AO1" i="3"/>
  <c r="AN1" i="3"/>
  <c r="AM1" i="3"/>
  <c r="Y1" i="3"/>
  <c r="I66" i="3"/>
  <c r="H66" i="3"/>
  <c r="G66" i="3"/>
  <c r="F66" i="3"/>
  <c r="E66" i="3"/>
  <c r="D66" i="3"/>
  <c r="C66" i="3"/>
  <c r="B66" i="3"/>
  <c r="I65" i="3"/>
  <c r="H65" i="3"/>
  <c r="G65" i="3"/>
  <c r="F65" i="3"/>
  <c r="E65" i="3"/>
  <c r="D65" i="3"/>
  <c r="C65" i="3"/>
  <c r="B65" i="3"/>
  <c r="I64" i="3"/>
  <c r="H64" i="3"/>
  <c r="G64" i="3"/>
  <c r="F64" i="3"/>
  <c r="E64" i="3"/>
  <c r="D64" i="3"/>
  <c r="C64" i="3"/>
  <c r="B64" i="3"/>
  <c r="I63" i="3"/>
  <c r="H63" i="3"/>
  <c r="G63" i="3"/>
  <c r="F63" i="3"/>
  <c r="E63" i="3"/>
  <c r="D63" i="3"/>
  <c r="C63" i="3"/>
  <c r="B63" i="3"/>
  <c r="I62" i="3"/>
  <c r="H62" i="3"/>
  <c r="G62" i="3"/>
  <c r="F62" i="3"/>
  <c r="E62" i="3"/>
  <c r="D62" i="3"/>
  <c r="C62" i="3"/>
  <c r="B62" i="3"/>
  <c r="I61" i="3"/>
  <c r="H61" i="3"/>
  <c r="G61" i="3"/>
  <c r="F61" i="3"/>
  <c r="E61" i="3"/>
  <c r="D61" i="3"/>
  <c r="C61" i="3"/>
  <c r="B61" i="3"/>
  <c r="I60" i="3"/>
  <c r="H60" i="3"/>
  <c r="G60" i="3"/>
  <c r="F60" i="3"/>
  <c r="E60" i="3"/>
  <c r="D60" i="3"/>
  <c r="C60" i="3"/>
  <c r="B60" i="3"/>
  <c r="I59" i="3"/>
  <c r="H59" i="3"/>
  <c r="G59" i="3"/>
  <c r="F59" i="3"/>
  <c r="E59" i="3"/>
  <c r="D59" i="3"/>
  <c r="C59" i="3"/>
  <c r="B59" i="3"/>
  <c r="I58" i="3"/>
  <c r="H58" i="3"/>
  <c r="G58" i="3"/>
  <c r="F58" i="3"/>
  <c r="E58" i="3"/>
  <c r="D58" i="3"/>
  <c r="C58" i="3"/>
  <c r="B58" i="3"/>
  <c r="I57" i="3"/>
  <c r="H57" i="3"/>
  <c r="G57" i="3"/>
  <c r="F57" i="3"/>
  <c r="E57" i="3"/>
  <c r="D57" i="3"/>
  <c r="C57" i="3"/>
  <c r="B57" i="3"/>
  <c r="I56" i="3"/>
  <c r="H56" i="3"/>
  <c r="G56" i="3"/>
  <c r="F56" i="3"/>
  <c r="E56" i="3"/>
  <c r="D56" i="3"/>
  <c r="C56" i="3"/>
  <c r="B56" i="3"/>
  <c r="I55" i="3"/>
  <c r="H55" i="3"/>
  <c r="G55" i="3"/>
  <c r="F55" i="3"/>
  <c r="E55" i="3"/>
  <c r="D55" i="3"/>
  <c r="C55" i="3"/>
  <c r="B55" i="3"/>
  <c r="I54" i="3"/>
  <c r="H54" i="3"/>
  <c r="G54" i="3"/>
  <c r="F54" i="3"/>
  <c r="E54" i="3"/>
  <c r="D54" i="3"/>
  <c r="C54" i="3"/>
  <c r="B54" i="3"/>
  <c r="I53" i="3"/>
  <c r="H53" i="3"/>
  <c r="G53" i="3"/>
  <c r="F53" i="3"/>
  <c r="E53" i="3"/>
  <c r="D53" i="3"/>
  <c r="C53" i="3"/>
  <c r="B53" i="3"/>
  <c r="I52" i="3"/>
  <c r="H52" i="3"/>
  <c r="G52" i="3"/>
  <c r="F52" i="3"/>
  <c r="E52" i="3"/>
  <c r="D52" i="3"/>
  <c r="C52" i="3"/>
  <c r="B52" i="3"/>
  <c r="I51" i="3"/>
  <c r="H51" i="3"/>
  <c r="G51" i="3"/>
  <c r="F51" i="3"/>
  <c r="E51" i="3"/>
  <c r="D51" i="3"/>
  <c r="C51" i="3"/>
  <c r="B51" i="3"/>
  <c r="I50" i="3"/>
  <c r="H50" i="3"/>
  <c r="G50" i="3"/>
  <c r="F50" i="3"/>
  <c r="E50" i="3"/>
  <c r="D50" i="3"/>
  <c r="C50" i="3"/>
  <c r="B50" i="3"/>
  <c r="I49" i="3"/>
  <c r="H49" i="3"/>
  <c r="G49" i="3"/>
  <c r="F49" i="3"/>
  <c r="E49" i="3"/>
  <c r="D49" i="3"/>
  <c r="C49" i="3"/>
  <c r="B49" i="3"/>
  <c r="I48" i="3"/>
  <c r="H48" i="3"/>
  <c r="G48" i="3"/>
  <c r="F48" i="3"/>
  <c r="E48" i="3"/>
  <c r="D48" i="3"/>
  <c r="C48" i="3"/>
  <c r="B48" i="3"/>
  <c r="I47" i="3"/>
  <c r="H47" i="3"/>
  <c r="G47" i="3"/>
  <c r="F47" i="3"/>
  <c r="E47" i="3"/>
  <c r="D47" i="3"/>
  <c r="C47" i="3"/>
  <c r="B47" i="3"/>
  <c r="I46" i="3"/>
  <c r="H46" i="3"/>
  <c r="G46" i="3"/>
  <c r="F46" i="3"/>
  <c r="E46" i="3"/>
  <c r="D46" i="3"/>
  <c r="C46" i="3"/>
  <c r="B46" i="3"/>
  <c r="I45" i="3"/>
  <c r="H45" i="3"/>
  <c r="G45" i="3"/>
  <c r="F45" i="3"/>
  <c r="E45" i="3"/>
  <c r="D45" i="3"/>
  <c r="C45" i="3"/>
  <c r="B45" i="3"/>
  <c r="I44" i="3"/>
  <c r="H44" i="3"/>
  <c r="G44" i="3"/>
  <c r="F44" i="3"/>
  <c r="E44" i="3"/>
  <c r="D44" i="3"/>
  <c r="C44" i="3"/>
  <c r="B44" i="3"/>
  <c r="I43" i="3"/>
  <c r="H43" i="3"/>
  <c r="G43" i="3"/>
  <c r="F43" i="3"/>
  <c r="E43" i="3"/>
  <c r="D43" i="3"/>
  <c r="C43" i="3"/>
  <c r="B43" i="3"/>
  <c r="I42" i="3"/>
  <c r="H42" i="3"/>
  <c r="G42" i="3"/>
  <c r="F42" i="3"/>
  <c r="E42" i="3"/>
  <c r="D42" i="3"/>
  <c r="C42" i="3"/>
  <c r="B42" i="3"/>
  <c r="I41" i="3"/>
  <c r="H41" i="3"/>
  <c r="G41" i="3"/>
  <c r="F41" i="3"/>
  <c r="E41" i="3"/>
  <c r="D41" i="3"/>
  <c r="C41" i="3"/>
  <c r="B41" i="3"/>
  <c r="I40" i="3"/>
  <c r="H40" i="3"/>
  <c r="G40" i="3"/>
  <c r="F40" i="3"/>
  <c r="E40" i="3"/>
  <c r="D40" i="3"/>
  <c r="C40" i="3"/>
  <c r="B40" i="3"/>
  <c r="I39" i="3"/>
  <c r="H39" i="3"/>
  <c r="G39" i="3"/>
  <c r="F39" i="3"/>
  <c r="E39" i="3"/>
  <c r="D39" i="3"/>
  <c r="C39" i="3"/>
  <c r="B39" i="3"/>
  <c r="I38" i="3"/>
  <c r="H38" i="3"/>
  <c r="G38" i="3"/>
  <c r="F38" i="3"/>
  <c r="E38" i="3"/>
  <c r="D38" i="3"/>
  <c r="C38" i="3"/>
  <c r="B38" i="3"/>
  <c r="I37" i="3"/>
  <c r="H37" i="3"/>
  <c r="G37" i="3"/>
  <c r="F37" i="3"/>
  <c r="E37" i="3"/>
  <c r="D37" i="3"/>
  <c r="C37" i="3"/>
  <c r="B37" i="3"/>
  <c r="I36" i="3"/>
  <c r="H36" i="3"/>
  <c r="G36" i="3"/>
  <c r="F36" i="3"/>
  <c r="E36" i="3"/>
  <c r="D36" i="3"/>
  <c r="C36" i="3"/>
  <c r="B36" i="3"/>
  <c r="I35" i="3"/>
  <c r="H35" i="3"/>
  <c r="G35" i="3"/>
  <c r="F35" i="3"/>
  <c r="E35" i="3"/>
  <c r="D35" i="3"/>
  <c r="C35" i="3"/>
  <c r="B35" i="3"/>
  <c r="I34" i="3"/>
  <c r="H34" i="3"/>
  <c r="G34" i="3"/>
  <c r="F34" i="3"/>
  <c r="E34" i="3"/>
  <c r="D34" i="3"/>
  <c r="C34" i="3"/>
  <c r="B34" i="3"/>
  <c r="I33" i="3"/>
  <c r="H33" i="3"/>
  <c r="G33" i="3"/>
  <c r="F33" i="3"/>
  <c r="E33" i="3"/>
  <c r="D33" i="3"/>
  <c r="C33" i="3"/>
  <c r="B33" i="3"/>
  <c r="I32" i="3"/>
  <c r="H32" i="3"/>
  <c r="G32" i="3"/>
  <c r="F32" i="3"/>
  <c r="E32" i="3"/>
  <c r="D32" i="3"/>
  <c r="C32" i="3"/>
  <c r="B32" i="3"/>
  <c r="I31" i="3"/>
  <c r="H31" i="3"/>
  <c r="G31" i="3"/>
  <c r="F31" i="3"/>
  <c r="E31" i="3"/>
  <c r="D31" i="3"/>
  <c r="C31" i="3"/>
  <c r="B31" i="3"/>
  <c r="I30" i="3"/>
  <c r="H30" i="3"/>
  <c r="G30" i="3"/>
  <c r="F30" i="3"/>
  <c r="E30" i="3"/>
  <c r="D30" i="3"/>
  <c r="C30" i="3"/>
  <c r="B30" i="3"/>
  <c r="I29" i="3"/>
  <c r="H29" i="3"/>
  <c r="G29" i="3"/>
  <c r="F29" i="3"/>
  <c r="E29" i="3"/>
  <c r="D29" i="3"/>
  <c r="C29" i="3"/>
  <c r="B29" i="3"/>
  <c r="I28" i="3"/>
  <c r="H28" i="3"/>
  <c r="G28" i="3"/>
  <c r="F28" i="3"/>
  <c r="E28" i="3"/>
  <c r="D28" i="3"/>
  <c r="C28" i="3"/>
  <c r="B28" i="3"/>
  <c r="I27" i="3"/>
  <c r="H27" i="3"/>
  <c r="G27" i="3"/>
  <c r="F27" i="3"/>
  <c r="E27" i="3"/>
  <c r="D27" i="3"/>
  <c r="C27" i="3"/>
  <c r="B27" i="3"/>
  <c r="I26" i="3"/>
  <c r="H26" i="3"/>
  <c r="G26" i="3"/>
  <c r="F26" i="3"/>
  <c r="E26" i="3"/>
  <c r="D26" i="3"/>
  <c r="C26" i="3"/>
  <c r="B26" i="3"/>
  <c r="I25" i="3"/>
  <c r="H25" i="3"/>
  <c r="G25" i="3"/>
  <c r="F25" i="3"/>
  <c r="E25" i="3"/>
  <c r="D25" i="3"/>
  <c r="C25" i="3"/>
  <c r="B25" i="3"/>
  <c r="I24" i="3"/>
  <c r="H24" i="3"/>
  <c r="G24" i="3"/>
  <c r="F24" i="3"/>
  <c r="E24" i="3"/>
  <c r="D24" i="3"/>
  <c r="C24" i="3"/>
  <c r="B24" i="3"/>
  <c r="I23" i="3"/>
  <c r="H23" i="3"/>
  <c r="G23" i="3"/>
  <c r="F23" i="3"/>
  <c r="E23" i="3"/>
  <c r="D23" i="3"/>
  <c r="C23" i="3"/>
  <c r="B23" i="3"/>
  <c r="I22" i="3"/>
  <c r="H22" i="3"/>
  <c r="G22" i="3"/>
  <c r="F22" i="3"/>
  <c r="E22" i="3"/>
  <c r="D22" i="3"/>
  <c r="C22" i="3"/>
  <c r="B22" i="3"/>
  <c r="I21" i="3"/>
  <c r="H21" i="3"/>
  <c r="G21" i="3"/>
  <c r="F21" i="3"/>
  <c r="E21" i="3"/>
  <c r="D21" i="3"/>
  <c r="C21" i="3"/>
  <c r="B21" i="3"/>
  <c r="I20" i="3"/>
  <c r="H20" i="3"/>
  <c r="G20" i="3"/>
  <c r="F20" i="3"/>
  <c r="E20" i="3"/>
  <c r="D20" i="3"/>
  <c r="C20" i="3"/>
  <c r="B20" i="3"/>
  <c r="I19" i="3"/>
  <c r="H19" i="3"/>
  <c r="G19" i="3"/>
  <c r="F19" i="3"/>
  <c r="E19" i="3"/>
  <c r="D19" i="3"/>
  <c r="C19" i="3"/>
  <c r="B19" i="3"/>
  <c r="I18" i="3"/>
  <c r="H18" i="3"/>
  <c r="G18" i="3"/>
  <c r="F18" i="3"/>
  <c r="E18" i="3"/>
  <c r="D18" i="3"/>
  <c r="C18" i="3"/>
  <c r="B18" i="3"/>
  <c r="I17" i="3"/>
  <c r="H17" i="3"/>
  <c r="G17" i="3"/>
  <c r="F17" i="3"/>
  <c r="E17" i="3"/>
  <c r="D17" i="3"/>
  <c r="C17" i="3"/>
  <c r="B17" i="3"/>
  <c r="I16" i="3"/>
  <c r="H16" i="3"/>
  <c r="G16" i="3"/>
  <c r="F16" i="3"/>
  <c r="E16" i="3"/>
  <c r="D16" i="3"/>
  <c r="C16" i="3"/>
  <c r="B16" i="3"/>
  <c r="I15" i="3"/>
  <c r="H15" i="3"/>
  <c r="G15" i="3"/>
  <c r="F15" i="3"/>
  <c r="E15" i="3"/>
  <c r="D15" i="3"/>
  <c r="C15" i="3"/>
  <c r="B15" i="3"/>
  <c r="I14" i="3"/>
  <c r="H14" i="3"/>
  <c r="G14" i="3"/>
  <c r="F14" i="3"/>
  <c r="E14" i="3"/>
  <c r="D14" i="3"/>
  <c r="C14" i="3"/>
  <c r="B14" i="3"/>
  <c r="I13" i="3"/>
  <c r="H13" i="3"/>
  <c r="G13" i="3"/>
  <c r="F13" i="3"/>
  <c r="E13" i="3"/>
  <c r="D13" i="3"/>
  <c r="C13" i="3"/>
  <c r="B13" i="3"/>
  <c r="I12" i="3"/>
  <c r="H12" i="3"/>
  <c r="G12" i="3"/>
  <c r="F12" i="3"/>
  <c r="E12" i="3"/>
  <c r="D12" i="3"/>
  <c r="C12" i="3"/>
  <c r="B12" i="3"/>
  <c r="I11" i="3"/>
  <c r="H11" i="3"/>
  <c r="G11" i="3"/>
  <c r="F11" i="3"/>
  <c r="E11" i="3"/>
  <c r="D11" i="3"/>
  <c r="C11" i="3"/>
  <c r="B11" i="3"/>
  <c r="I10" i="3"/>
  <c r="H10" i="3"/>
  <c r="G10" i="3"/>
  <c r="F10" i="3"/>
  <c r="E10" i="3"/>
  <c r="D10" i="3"/>
  <c r="C10" i="3"/>
  <c r="B10" i="3"/>
  <c r="I9" i="3"/>
  <c r="H9" i="3"/>
  <c r="G9" i="3"/>
  <c r="F9" i="3"/>
  <c r="E9" i="3"/>
  <c r="D9" i="3"/>
  <c r="C9" i="3"/>
  <c r="B9" i="3"/>
  <c r="I8" i="3"/>
  <c r="H8" i="3"/>
  <c r="G8" i="3"/>
  <c r="F8" i="3"/>
  <c r="E8" i="3"/>
  <c r="D8" i="3"/>
  <c r="C8" i="3"/>
  <c r="B8" i="3"/>
  <c r="I7" i="3"/>
  <c r="H7" i="3"/>
  <c r="G7" i="3"/>
  <c r="F7" i="3"/>
  <c r="E7" i="3"/>
  <c r="D7" i="3"/>
  <c r="C7" i="3"/>
  <c r="B7" i="3"/>
  <c r="I6" i="3"/>
  <c r="H6" i="3"/>
  <c r="G6" i="3"/>
  <c r="F6" i="3"/>
  <c r="E6" i="3"/>
  <c r="D6" i="3"/>
  <c r="C6" i="3"/>
  <c r="B6" i="3"/>
  <c r="I5" i="3"/>
  <c r="H5" i="3"/>
  <c r="G5" i="3"/>
  <c r="F5" i="3"/>
  <c r="E5" i="3"/>
  <c r="D5" i="3"/>
  <c r="C5" i="3"/>
  <c r="B5" i="3"/>
  <c r="I4" i="3"/>
  <c r="H4" i="3"/>
  <c r="G4" i="3"/>
  <c r="F4" i="3"/>
  <c r="E4" i="3"/>
  <c r="D4" i="3"/>
  <c r="C4" i="3"/>
  <c r="B4" i="3"/>
  <c r="I3" i="3"/>
  <c r="H3" i="3"/>
  <c r="G3" i="3"/>
  <c r="F3" i="3"/>
  <c r="E3" i="3"/>
  <c r="D3" i="3"/>
  <c r="C3" i="3"/>
  <c r="B3" i="3"/>
  <c r="X1" i="3"/>
  <c r="W1" i="3"/>
  <c r="V1" i="3" s="1"/>
  <c r="U1" i="3" s="1"/>
  <c r="T1" i="3" s="1"/>
  <c r="S1" i="3" s="1"/>
  <c r="R1" i="3" s="1"/>
  <c r="Q1" i="3" s="1"/>
  <c r="P1" i="3" s="1"/>
  <c r="O1" i="3" s="1"/>
  <c r="N1" i="3" s="1"/>
  <c r="M1" i="3"/>
  <c r="L1" i="3" s="1"/>
  <c r="K1" i="3" s="1"/>
  <c r="CM10" i="3"/>
  <c r="DS51" i="3" l="1"/>
  <c r="DS62" i="3"/>
  <c r="DS59" i="3"/>
  <c r="DS53" i="3"/>
  <c r="DS10" i="3"/>
  <c r="DS56" i="3"/>
  <c r="DS13" i="3"/>
  <c r="DS50" i="3"/>
  <c r="DS63" i="3"/>
  <c r="DS58" i="3"/>
  <c r="DS16" i="3"/>
  <c r="BB1" i="3"/>
  <c r="BA1" i="3" s="1"/>
  <c r="AZ1" i="3" s="1"/>
  <c r="AY1" i="3" s="1"/>
  <c r="AX1" i="3" s="1"/>
  <c r="AW1" i="3" s="1"/>
  <c r="AV1" i="3" s="1"/>
  <c r="AU1" i="3" s="1"/>
  <c r="AT1" i="3" s="1"/>
  <c r="AS1" i="3" s="1"/>
  <c r="AR1" i="3" s="1"/>
  <c r="AQ1" i="3" s="1"/>
  <c r="DS12" i="3"/>
  <c r="DS61" i="3"/>
  <c r="DS7" i="3"/>
  <c r="DS9" i="3"/>
  <c r="DS47" i="3"/>
  <c r="DS4" i="3"/>
  <c r="DS6" i="3"/>
  <c r="DS14" i="3"/>
  <c r="DS42" i="3"/>
  <c r="DS55" i="3"/>
  <c r="DS60" i="3"/>
  <c r="DS57" i="3"/>
  <c r="DS52" i="3"/>
  <c r="DS24" i="3"/>
  <c r="BN1" i="5"/>
  <c r="BM1" i="5" s="1"/>
  <c r="BL1" i="5" s="1"/>
  <c r="BK1" i="5" s="1"/>
  <c r="BJ1" i="5" s="1"/>
  <c r="BI1" i="5" s="1"/>
  <c r="BH1" i="5" s="1"/>
  <c r="BG1" i="5" s="1"/>
  <c r="EI66" i="5" s="1"/>
  <c r="CM53" i="3"/>
  <c r="BT1" i="3"/>
  <c r="CM4" i="3"/>
  <c r="BC1" i="4"/>
  <c r="BB1" i="4" s="1"/>
  <c r="BA1" i="4" s="1"/>
  <c r="AZ1" i="4" s="1"/>
  <c r="AY1" i="4" s="1"/>
  <c r="AX1" i="4" s="1"/>
  <c r="AW1" i="4" s="1"/>
  <c r="AV1" i="4" s="1"/>
  <c r="AU1" i="4" s="1"/>
  <c r="AT1" i="4" s="1"/>
  <c r="AS1" i="4" s="1"/>
  <c r="AR1" i="4" s="1"/>
  <c r="AQ1" i="4" s="1"/>
  <c r="DS59" i="4"/>
  <c r="DS38" i="4"/>
  <c r="BQ1" i="4"/>
  <c r="CM14" i="3"/>
  <c r="CM12" i="3"/>
  <c r="DS65" i="3"/>
  <c r="CM52" i="3"/>
  <c r="CM49" i="3"/>
  <c r="CM24" i="3"/>
  <c r="CM45" i="3"/>
  <c r="DS54" i="3"/>
  <c r="W1" i="4"/>
  <c r="CM33" i="3"/>
  <c r="CM51" i="3"/>
  <c r="CM62" i="3"/>
  <c r="CM30" i="3"/>
  <c r="CM19" i="3"/>
  <c r="CM5" i="5"/>
  <c r="CM9" i="5"/>
  <c r="CM13" i="5"/>
  <c r="CM17" i="5"/>
  <c r="CM21" i="5"/>
  <c r="CM25" i="5"/>
  <c r="CM29" i="5"/>
  <c r="CM33" i="5"/>
  <c r="CM37" i="5"/>
  <c r="CM41" i="5"/>
  <c r="CM45" i="5"/>
  <c r="CM49" i="5"/>
  <c r="CM53" i="5"/>
  <c r="CM57" i="5"/>
  <c r="CM61" i="5"/>
  <c r="CM65" i="5"/>
  <c r="CM58" i="3"/>
  <c r="CM42" i="3"/>
  <c r="CM55" i="3"/>
  <c r="CM11" i="3"/>
  <c r="CM5" i="3"/>
  <c r="CM50" i="3"/>
  <c r="CM60" i="3"/>
  <c r="DS39" i="3"/>
  <c r="DS27" i="3"/>
  <c r="CM9" i="3"/>
  <c r="DS66" i="5"/>
  <c r="DS65" i="5"/>
  <c r="DS60" i="5"/>
  <c r="DS59" i="5"/>
  <c r="DS58" i="5"/>
  <c r="DS57" i="5"/>
  <c r="DS56" i="5"/>
  <c r="DS55" i="5"/>
  <c r="DS54" i="5"/>
  <c r="DS53" i="5"/>
  <c r="DS48" i="5"/>
  <c r="DS47" i="5"/>
  <c r="DS46" i="5"/>
  <c r="DS45" i="5"/>
  <c r="DS44" i="5"/>
  <c r="DS43" i="5"/>
  <c r="DS42" i="5"/>
  <c r="DS41" i="5"/>
  <c r="DS36" i="5"/>
  <c r="DS35" i="5"/>
  <c r="DS34" i="5"/>
  <c r="DS33" i="5"/>
  <c r="DS32" i="5"/>
  <c r="DS31" i="5"/>
  <c r="DS30" i="5"/>
  <c r="DS29" i="5"/>
  <c r="DS24" i="5"/>
  <c r="DS23" i="5"/>
  <c r="DS22" i="5"/>
  <c r="DS21" i="5"/>
  <c r="DS20" i="5"/>
  <c r="DS19" i="5"/>
  <c r="DS18" i="5"/>
  <c r="DS17" i="5"/>
  <c r="DS12" i="5"/>
  <c r="DS11" i="5"/>
  <c r="DS10" i="5"/>
  <c r="DS9" i="5"/>
  <c r="DS8" i="5"/>
  <c r="DS7" i="5"/>
  <c r="DS6" i="5"/>
  <c r="DS5" i="5"/>
  <c r="BD1" i="5"/>
  <c r="BC1" i="5" s="1"/>
  <c r="BB1" i="5" s="1"/>
  <c r="BA1" i="5" s="1"/>
  <c r="AZ1" i="5" s="1"/>
  <c r="AY1" i="5" s="1"/>
  <c r="AX1" i="5" s="1"/>
  <c r="AW1" i="5" s="1"/>
  <c r="AV1" i="5" s="1"/>
  <c r="AU1" i="5" s="1"/>
  <c r="AT1" i="5" s="1"/>
  <c r="AS1" i="5" s="1"/>
  <c r="AR1" i="5" s="1"/>
  <c r="AQ1" i="5" s="1"/>
  <c r="CM56" i="3"/>
  <c r="CM57" i="3"/>
  <c r="CM61" i="3"/>
  <c r="AL1" i="3"/>
  <c r="AL1" i="4"/>
  <c r="AK1" i="4" s="1"/>
  <c r="AJ1" i="4" s="1"/>
  <c r="AI1" i="4" s="1"/>
  <c r="AH1" i="4" s="1"/>
  <c r="AG1" i="4" s="1"/>
  <c r="AF1" i="4" s="1"/>
  <c r="AE1" i="4" s="1"/>
  <c r="AD1" i="4" s="1"/>
  <c r="AC1" i="4" s="1"/>
  <c r="AB1" i="4" s="1"/>
  <c r="AA1" i="4" s="1"/>
  <c r="DC20" i="4"/>
  <c r="DC19" i="4"/>
  <c r="DC10" i="4"/>
  <c r="DC9" i="4"/>
  <c r="DC8" i="4"/>
  <c r="CM39" i="3"/>
  <c r="CM27" i="3"/>
  <c r="CM4" i="5"/>
  <c r="CM8" i="5"/>
  <c r="CM12" i="5"/>
  <c r="CM16" i="5"/>
  <c r="CM20" i="5"/>
  <c r="CM24" i="5"/>
  <c r="CM28" i="5"/>
  <c r="CM32" i="5"/>
  <c r="CM36" i="5"/>
  <c r="CM40" i="5"/>
  <c r="CM44" i="5"/>
  <c r="CM48" i="5"/>
  <c r="CM52" i="5"/>
  <c r="CM56" i="5"/>
  <c r="CM60" i="5"/>
  <c r="CM64" i="5"/>
  <c r="EI59" i="5"/>
  <c r="EI58" i="5"/>
  <c r="EI57" i="5"/>
  <c r="EI56" i="5"/>
  <c r="EI55" i="5"/>
  <c r="EI54" i="5"/>
  <c r="EI53" i="5"/>
  <c r="EI52" i="5"/>
  <c r="EI51" i="5"/>
  <c r="EI50" i="5"/>
  <c r="EI49" i="5"/>
  <c r="EI48" i="5"/>
  <c r="EI47" i="5"/>
  <c r="EI46" i="5"/>
  <c r="EI45" i="5"/>
  <c r="EI44" i="5"/>
  <c r="EI43" i="5"/>
  <c r="EI42" i="5"/>
  <c r="EI41" i="5"/>
  <c r="EI40" i="5"/>
  <c r="EI39" i="5"/>
  <c r="EI38" i="5"/>
  <c r="EI37" i="5"/>
  <c r="EI36" i="5"/>
  <c r="EI35" i="5"/>
  <c r="EI34" i="5"/>
  <c r="EI33" i="5"/>
  <c r="EI32" i="5"/>
  <c r="EI31" i="5"/>
  <c r="EI30" i="5"/>
  <c r="EI29" i="5"/>
  <c r="EI28" i="5"/>
  <c r="EI27" i="5"/>
  <c r="EI26" i="5"/>
  <c r="EI25" i="5"/>
  <c r="EI24" i="5"/>
  <c r="EI23" i="5"/>
  <c r="EI22" i="5"/>
  <c r="EI21" i="5"/>
  <c r="EI20" i="5"/>
  <c r="EI19" i="5"/>
  <c r="EI18" i="5"/>
  <c r="EI17" i="5"/>
  <c r="EI16" i="5"/>
  <c r="EI15" i="5"/>
  <c r="EI14" i="5"/>
  <c r="EI13" i="5"/>
  <c r="EI12" i="5"/>
  <c r="EI11" i="5"/>
  <c r="EI10" i="5"/>
  <c r="EI9" i="5"/>
  <c r="EI8" i="5"/>
  <c r="EI7" i="5"/>
  <c r="EI6" i="5"/>
  <c r="EI5" i="5"/>
  <c r="EI4" i="5"/>
  <c r="EI3" i="5"/>
  <c r="CM63" i="3"/>
  <c r="CM18" i="3"/>
  <c r="CM8" i="3"/>
  <c r="EI65" i="5"/>
  <c r="DS36" i="3"/>
  <c r="CM64" i="3"/>
  <c r="CM66" i="3"/>
  <c r="CM7" i="3"/>
  <c r="AL1" i="5"/>
  <c r="AK1" i="5" s="1"/>
  <c r="AJ1" i="5" s="1"/>
  <c r="AI1" i="5" s="1"/>
  <c r="AH1" i="5" s="1"/>
  <c r="AG1" i="5" s="1"/>
  <c r="AF1" i="5" s="1"/>
  <c r="AE1" i="5" s="1"/>
  <c r="AD1" i="5" s="1"/>
  <c r="AC1" i="5" s="1"/>
  <c r="AB1" i="5" s="1"/>
  <c r="AA1" i="5" s="1"/>
  <c r="DC66" i="5"/>
  <c r="DC65" i="5"/>
  <c r="DC64" i="5"/>
  <c r="DC63" i="5"/>
  <c r="DC62" i="5"/>
  <c r="DC61" i="5"/>
  <c r="DC60" i="5"/>
  <c r="DC59" i="5"/>
  <c r="DC58" i="5"/>
  <c r="DC57" i="5"/>
  <c r="DC56" i="5"/>
  <c r="DC55" i="5"/>
  <c r="DC54" i="5"/>
  <c r="DC53" i="5"/>
  <c r="DC52" i="5"/>
  <c r="DC51" i="5"/>
  <c r="DC50" i="5"/>
  <c r="DC49" i="5"/>
  <c r="DC48" i="5"/>
  <c r="DC47" i="5"/>
  <c r="DC46" i="5"/>
  <c r="DC45" i="5"/>
  <c r="DC44" i="5"/>
  <c r="DC43" i="5"/>
  <c r="DC42" i="5"/>
  <c r="DC41" i="5"/>
  <c r="DC40" i="5"/>
  <c r="DC39" i="5"/>
  <c r="DC38" i="5"/>
  <c r="DC37" i="5"/>
  <c r="DC36" i="5"/>
  <c r="DC35" i="5"/>
  <c r="DC34" i="5"/>
  <c r="DC33" i="5"/>
  <c r="DC32" i="5"/>
  <c r="DC31" i="5"/>
  <c r="DC30" i="5"/>
  <c r="DC29" i="5"/>
  <c r="DC28" i="5"/>
  <c r="DC27" i="5"/>
  <c r="DC26" i="5"/>
  <c r="DC25" i="5"/>
  <c r="DC24" i="5"/>
  <c r="DC23" i="5"/>
  <c r="DC22" i="5"/>
  <c r="DC21" i="5"/>
  <c r="DC20" i="5"/>
  <c r="DC19" i="5"/>
  <c r="DC18" i="5"/>
  <c r="DC17" i="5"/>
  <c r="DC16" i="5"/>
  <c r="DC15" i="5"/>
  <c r="DC14" i="5"/>
  <c r="DC13" i="5"/>
  <c r="DC12" i="5"/>
  <c r="DC11" i="5"/>
  <c r="DC10" i="5"/>
  <c r="DC9" i="5"/>
  <c r="DC8" i="5"/>
  <c r="DC7" i="5"/>
  <c r="DC6" i="5"/>
  <c r="DC5" i="5"/>
  <c r="DC4" i="5"/>
  <c r="DC3" i="5"/>
  <c r="CM36" i="3"/>
  <c r="CM59" i="3"/>
  <c r="CM13" i="3"/>
  <c r="CM22" i="3"/>
  <c r="CM25" i="3"/>
  <c r="CM28" i="3"/>
  <c r="CM31" i="3"/>
  <c r="CM34" i="3"/>
  <c r="CM37" i="3"/>
  <c r="CM40" i="3"/>
  <c r="CM43" i="3"/>
  <c r="CM46" i="3"/>
  <c r="CM23" i="3"/>
  <c r="CM26" i="3"/>
  <c r="CM29" i="3"/>
  <c r="CM32" i="3"/>
  <c r="CM35" i="3"/>
  <c r="CM38" i="3"/>
  <c r="CM41" i="3"/>
  <c r="CM44" i="3"/>
  <c r="CM20" i="3"/>
  <c r="CM15" i="3"/>
  <c r="CM54" i="3"/>
  <c r="CM65" i="3"/>
  <c r="CM3" i="5"/>
  <c r="CM7" i="5"/>
  <c r="CM11" i="5"/>
  <c r="CM15" i="5"/>
  <c r="CM19" i="5"/>
  <c r="CM23" i="5"/>
  <c r="CM27" i="5"/>
  <c r="CM31" i="5"/>
  <c r="CM35" i="5"/>
  <c r="CM43" i="5"/>
  <c r="CM47" i="5"/>
  <c r="CM51" i="5"/>
  <c r="CM55" i="5"/>
  <c r="CM59" i="5"/>
  <c r="CM63" i="5"/>
  <c r="CM6" i="3"/>
  <c r="CM16" i="3"/>
  <c r="CM21" i="3"/>
  <c r="CM17" i="3"/>
  <c r="CM48" i="3"/>
  <c r="CM47" i="3"/>
  <c r="CM3" i="3"/>
  <c r="DS22" i="3"/>
  <c r="DS25" i="3"/>
  <c r="DS28" i="3"/>
  <c r="DS31" i="3"/>
  <c r="DS34" i="3"/>
  <c r="DS37" i="3"/>
  <c r="DS40" i="3"/>
  <c r="DS43" i="3"/>
  <c r="DS46" i="3"/>
  <c r="DS23" i="3"/>
  <c r="DS26" i="3"/>
  <c r="DS29" i="3"/>
  <c r="DS32" i="3"/>
  <c r="DS35" i="3"/>
  <c r="DS38" i="3"/>
  <c r="DS41" i="3"/>
  <c r="DS44" i="3"/>
  <c r="DS45" i="3"/>
  <c r="DS33" i="3"/>
  <c r="DC23" i="4"/>
  <c r="DC24" i="4"/>
  <c r="DC34" i="4"/>
  <c r="DC38" i="4"/>
  <c r="DC47" i="4"/>
  <c r="DC48" i="4"/>
  <c r="DC49" i="4"/>
  <c r="DC60" i="4"/>
  <c r="DC62" i="4"/>
  <c r="EI60" i="5"/>
  <c r="EI61" i="5"/>
  <c r="EI62" i="5"/>
  <c r="EI63" i="5"/>
  <c r="EI64" i="5"/>
  <c r="J1" i="13"/>
  <c r="DS50" i="4" l="1"/>
  <c r="DS48" i="4"/>
  <c r="DC36" i="4"/>
  <c r="DC46" i="4"/>
  <c r="DC37" i="4"/>
  <c r="DS62" i="4"/>
  <c r="DC35" i="4"/>
  <c r="DS17" i="4"/>
  <c r="DS35" i="4"/>
  <c r="DS47" i="4"/>
  <c r="DC27" i="4"/>
  <c r="DC58" i="4"/>
  <c r="DC26" i="4"/>
  <c r="DC59" i="4"/>
  <c r="DC50" i="4"/>
  <c r="DC25" i="4"/>
  <c r="DS52" i="4"/>
  <c r="DS42" i="4"/>
  <c r="DS44" i="4"/>
  <c r="DS54" i="4"/>
  <c r="DS20" i="4"/>
  <c r="DS8" i="4"/>
  <c r="DS5" i="4"/>
  <c r="DS19" i="4"/>
  <c r="DS4" i="4"/>
  <c r="DS46" i="4"/>
  <c r="DS29" i="4"/>
  <c r="DS14" i="4"/>
  <c r="DS28" i="4"/>
  <c r="DS25" i="4"/>
  <c r="DS40" i="4"/>
  <c r="DS36" i="4"/>
  <c r="DS23" i="4"/>
  <c r="AK1" i="3"/>
  <c r="DC11" i="4"/>
  <c r="DC21" i="4"/>
  <c r="BP1" i="4"/>
  <c r="DS11" i="4"/>
  <c r="DS41" i="4"/>
  <c r="DS39" i="4"/>
  <c r="DS15" i="4"/>
  <c r="DS60" i="4"/>
  <c r="DS49" i="3"/>
  <c r="DC32" i="4"/>
  <c r="DC3" i="4"/>
  <c r="DC13" i="4"/>
  <c r="DS56" i="4"/>
  <c r="DS53" i="4"/>
  <c r="DS51" i="4"/>
  <c r="DS26" i="4"/>
  <c r="DS22" i="4"/>
  <c r="BS1" i="3"/>
  <c r="DS48" i="3"/>
  <c r="DS58" i="4"/>
  <c r="DC33" i="4"/>
  <c r="DC4" i="4"/>
  <c r="DC14" i="4"/>
  <c r="DS31" i="4"/>
  <c r="DS12" i="4"/>
  <c r="DS45" i="4"/>
  <c r="DS37" i="4"/>
  <c r="DS33" i="4"/>
  <c r="DS19" i="3"/>
  <c r="DC12" i="4"/>
  <c r="DC57" i="4"/>
  <c r="DC22" i="4"/>
  <c r="DC44" i="4"/>
  <c r="DC55" i="4"/>
  <c r="DC43" i="4"/>
  <c r="DC31" i="4"/>
  <c r="DC54" i="4"/>
  <c r="DC42" i="4"/>
  <c r="DC30" i="4"/>
  <c r="DC5" i="4"/>
  <c r="DC15" i="4"/>
  <c r="DS13" i="5"/>
  <c r="DS25" i="5"/>
  <c r="DS37" i="5"/>
  <c r="DS49" i="5"/>
  <c r="DS61" i="5"/>
  <c r="V1" i="4"/>
  <c r="DS55" i="4"/>
  <c r="DS21" i="4"/>
  <c r="DS57" i="4"/>
  <c r="DS49" i="4"/>
  <c r="DS10" i="4"/>
  <c r="DS66" i="3"/>
  <c r="DS11" i="3"/>
  <c r="DS17" i="3"/>
  <c r="DC16" i="4"/>
  <c r="DS14" i="5"/>
  <c r="DS26" i="5"/>
  <c r="DS38" i="5"/>
  <c r="DS50" i="5"/>
  <c r="DS62" i="5"/>
  <c r="DS9" i="4"/>
  <c r="DS43" i="4"/>
  <c r="DS61" i="4"/>
  <c r="DS3" i="4"/>
  <c r="DS64" i="3"/>
  <c r="DS18" i="3"/>
  <c r="DS5" i="3"/>
  <c r="DC53" i="4"/>
  <c r="DC61" i="4"/>
  <c r="DC6" i="4"/>
  <c r="DC17" i="4"/>
  <c r="DS3" i="5"/>
  <c r="DS15" i="5"/>
  <c r="DS27" i="5"/>
  <c r="DS39" i="5"/>
  <c r="DS51" i="5"/>
  <c r="DS63" i="5"/>
  <c r="DS7" i="4"/>
  <c r="DS16" i="4"/>
  <c r="DS32" i="4"/>
  <c r="DS13" i="4"/>
  <c r="DS20" i="3"/>
  <c r="DS21" i="3"/>
  <c r="DS8" i="3"/>
  <c r="DS34" i="4"/>
  <c r="DC45" i="4"/>
  <c r="DC56" i="4"/>
  <c r="DC41" i="4"/>
  <c r="DC29" i="4"/>
  <c r="DC52" i="4"/>
  <c r="DC40" i="4"/>
  <c r="DC28" i="4"/>
  <c r="DC51" i="4"/>
  <c r="DC39" i="4"/>
  <c r="DC7" i="4"/>
  <c r="DC18" i="4"/>
  <c r="DS4" i="5"/>
  <c r="DS16" i="5"/>
  <c r="DS28" i="5"/>
  <c r="DS40" i="5"/>
  <c r="DS52" i="5"/>
  <c r="DS64" i="5"/>
  <c r="DS30" i="4"/>
  <c r="DS18" i="4"/>
  <c r="DS27" i="4"/>
  <c r="DS6" i="4"/>
  <c r="DS24" i="4"/>
  <c r="DS3" i="3"/>
  <c r="DS15" i="3"/>
  <c r="DS30" i="3"/>
  <c r="K1" i="13"/>
  <c r="BO1" i="4" l="1"/>
  <c r="U1" i="4"/>
  <c r="AJ1" i="3"/>
  <c r="BR1" i="3"/>
  <c r="L1" i="13"/>
  <c r="BQ1" i="3" l="1"/>
  <c r="T1" i="4"/>
  <c r="BN1" i="4"/>
  <c r="AI1" i="3"/>
  <c r="M1" i="13"/>
  <c r="AH1" i="3" l="1"/>
  <c r="BM1" i="4"/>
  <c r="S1" i="4"/>
  <c r="BP1" i="3"/>
  <c r="O114" i="13"/>
  <c r="P114" i="13" s="1"/>
  <c r="N1" i="13"/>
  <c r="O141" i="13" s="1"/>
  <c r="P141" i="13" s="1"/>
  <c r="BL1" i="4" l="1"/>
  <c r="BO1" i="3"/>
  <c r="R1" i="4"/>
  <c r="AG1" i="3"/>
  <c r="O112" i="13"/>
  <c r="P112" i="13" s="1"/>
  <c r="O152" i="13"/>
  <c r="P152" i="13" s="1"/>
  <c r="O74" i="13"/>
  <c r="P74" i="13" s="1"/>
  <c r="O50" i="13"/>
  <c r="P50" i="13" s="1"/>
  <c r="O67" i="13"/>
  <c r="P67" i="13" s="1"/>
  <c r="O135" i="13"/>
  <c r="P135" i="13" s="1"/>
  <c r="O108" i="13"/>
  <c r="P108" i="13" s="1"/>
  <c r="O149" i="13"/>
  <c r="P149" i="13" s="1"/>
  <c r="O65" i="13"/>
  <c r="P65" i="13" s="1"/>
  <c r="O123" i="13"/>
  <c r="P123" i="13" s="1"/>
  <c r="O138" i="13"/>
  <c r="P138" i="13" s="1"/>
  <c r="O137" i="13"/>
  <c r="P137" i="13" s="1"/>
  <c r="O127" i="13"/>
  <c r="P127" i="13" s="1"/>
  <c r="O119" i="13"/>
  <c r="P119" i="13" s="1"/>
  <c r="O148" i="13"/>
  <c r="P148" i="13" s="1"/>
  <c r="O142" i="13"/>
  <c r="P142" i="13" s="1"/>
  <c r="O140" i="13"/>
  <c r="P140" i="13" s="1"/>
  <c r="O143" i="13"/>
  <c r="P143" i="13" s="1"/>
  <c r="O144" i="13"/>
  <c r="P144" i="13" s="1"/>
  <c r="O68" i="13"/>
  <c r="P68" i="13" s="1"/>
  <c r="O136" i="13"/>
  <c r="P136" i="13" s="1"/>
  <c r="O150" i="13"/>
  <c r="P150" i="13" s="1"/>
  <c r="O145" i="13"/>
  <c r="P145" i="13" s="1"/>
  <c r="O139" i="13"/>
  <c r="P139" i="13" s="1"/>
  <c r="O147" i="13"/>
  <c r="P147" i="13" s="1"/>
  <c r="O2" i="13"/>
  <c r="P2" i="13" s="1"/>
  <c r="O151" i="13"/>
  <c r="P151" i="13" s="1"/>
  <c r="O146" i="13"/>
  <c r="P146" i="13" s="1"/>
  <c r="O99" i="13"/>
  <c r="P99" i="13" s="1"/>
  <c r="O64" i="13"/>
  <c r="P64" i="13" s="1"/>
  <c r="O61" i="13"/>
  <c r="P61" i="13" s="1"/>
  <c r="O102" i="13"/>
  <c r="P102" i="13" s="1"/>
  <c r="O62" i="13"/>
  <c r="P62" i="13" s="1"/>
  <c r="O26" i="13"/>
  <c r="P26" i="13" s="1"/>
  <c r="O113" i="13"/>
  <c r="P113" i="13" s="1"/>
  <c r="O12" i="13"/>
  <c r="P12" i="13" s="1"/>
  <c r="O109" i="13"/>
  <c r="P109" i="13" s="1"/>
  <c r="O110" i="13"/>
  <c r="P110" i="13" s="1"/>
  <c r="O70" i="13"/>
  <c r="P70" i="13" s="1"/>
  <c r="O75" i="13"/>
  <c r="P75" i="13" s="1"/>
  <c r="O63" i="13"/>
  <c r="P63" i="13" s="1"/>
  <c r="O59" i="13"/>
  <c r="P59" i="13" s="1"/>
  <c r="O60" i="13"/>
  <c r="P60" i="13" s="1"/>
  <c r="O69" i="13"/>
  <c r="P69" i="13" s="1"/>
  <c r="O76" i="13"/>
  <c r="P76" i="13" s="1"/>
  <c r="O71" i="13"/>
  <c r="P71" i="13" s="1"/>
  <c r="O66" i="13"/>
  <c r="P66" i="13" s="1"/>
  <c r="O73" i="13"/>
  <c r="P73" i="13" s="1"/>
  <c r="O120" i="13"/>
  <c r="P120" i="13" s="1"/>
  <c r="O132" i="13"/>
  <c r="P132" i="13" s="1"/>
  <c r="O133" i="13"/>
  <c r="P133" i="13" s="1"/>
  <c r="O103" i="13"/>
  <c r="P103" i="13" s="1"/>
  <c r="O72" i="13"/>
  <c r="P72" i="13" s="1"/>
  <c r="O57" i="13"/>
  <c r="P57" i="13" s="1"/>
  <c r="O87" i="13"/>
  <c r="P87" i="13" s="1"/>
  <c r="O104" i="13"/>
  <c r="P104" i="13" s="1"/>
  <c r="O98" i="13"/>
  <c r="P98" i="13" s="1"/>
  <c r="O105" i="13"/>
  <c r="P105" i="13" s="1"/>
  <c r="O24" i="13"/>
  <c r="P24" i="13" s="1"/>
  <c r="O101" i="13"/>
  <c r="P101" i="13" s="1"/>
  <c r="O106" i="13"/>
  <c r="P106" i="13" s="1"/>
  <c r="O3" i="13"/>
  <c r="P3" i="13" s="1"/>
  <c r="O35" i="13"/>
  <c r="P35" i="13" s="1"/>
  <c r="O100" i="13"/>
  <c r="P100" i="13" s="1"/>
  <c r="O7" i="13"/>
  <c r="P7" i="13" s="1"/>
  <c r="O23" i="13"/>
  <c r="P23" i="13" s="1"/>
  <c r="O107" i="13"/>
  <c r="P107" i="13" s="1"/>
  <c r="O122" i="13"/>
  <c r="P122" i="13" s="1"/>
  <c r="O97" i="13"/>
  <c r="P97" i="13" s="1"/>
  <c r="O111" i="13"/>
  <c r="P111" i="13" s="1"/>
  <c r="O85" i="13"/>
  <c r="P85" i="13" s="1"/>
  <c r="O14" i="13"/>
  <c r="P14" i="13" s="1"/>
  <c r="O30" i="13"/>
  <c r="P30" i="13" s="1"/>
  <c r="O84" i="13"/>
  <c r="P84" i="13" s="1"/>
  <c r="O9" i="13"/>
  <c r="P9" i="13" s="1"/>
  <c r="O81" i="13"/>
  <c r="P81" i="13" s="1"/>
  <c r="O25" i="13"/>
  <c r="P25" i="13" s="1"/>
  <c r="O88" i="13"/>
  <c r="P88" i="13" s="1"/>
  <c r="O29" i="13"/>
  <c r="P29" i="13" s="1"/>
  <c r="O10" i="13"/>
  <c r="P10" i="13" s="1"/>
  <c r="O33" i="13"/>
  <c r="P33" i="13" s="1"/>
  <c r="O93" i="13"/>
  <c r="P93" i="13" s="1"/>
  <c r="O44" i="13"/>
  <c r="P44" i="13" s="1"/>
  <c r="O128" i="13"/>
  <c r="P128" i="13" s="1"/>
  <c r="O124" i="13"/>
  <c r="P124" i="13" s="1"/>
  <c r="O121" i="13"/>
  <c r="P121" i="13" s="1"/>
  <c r="O47" i="13"/>
  <c r="P47" i="13" s="1"/>
  <c r="O125" i="13"/>
  <c r="P125" i="13" s="1"/>
  <c r="O15" i="13"/>
  <c r="P15" i="13" s="1"/>
  <c r="O8" i="13"/>
  <c r="P8" i="13" s="1"/>
  <c r="O31" i="13"/>
  <c r="P31" i="13" s="1"/>
  <c r="O28" i="13"/>
  <c r="P28" i="13" s="1"/>
  <c r="O78" i="13"/>
  <c r="P78" i="13" s="1"/>
  <c r="O95" i="13"/>
  <c r="P95" i="13" s="1"/>
  <c r="O82" i="13"/>
  <c r="P82" i="13" s="1"/>
  <c r="O91" i="13"/>
  <c r="P91" i="13" s="1"/>
  <c r="O80" i="13"/>
  <c r="P80" i="13" s="1"/>
  <c r="O92" i="13"/>
  <c r="P92" i="13" s="1"/>
  <c r="O83" i="13"/>
  <c r="P83" i="13" s="1"/>
  <c r="O86" i="13"/>
  <c r="P86" i="13" s="1"/>
  <c r="O90" i="13"/>
  <c r="P90" i="13" s="1"/>
  <c r="O89" i="13"/>
  <c r="P89" i="13" s="1"/>
  <c r="O22" i="13"/>
  <c r="P22" i="13" s="1"/>
  <c r="O19" i="13"/>
  <c r="P19" i="13" s="1"/>
  <c r="O5" i="13"/>
  <c r="P5" i="13" s="1"/>
  <c r="O56" i="13"/>
  <c r="P56" i="13" s="1"/>
  <c r="O18" i="13"/>
  <c r="P18" i="13" s="1"/>
  <c r="O36" i="13"/>
  <c r="P36" i="13" s="1"/>
  <c r="O79" i="13"/>
  <c r="P79" i="13" s="1"/>
  <c r="O48" i="13"/>
  <c r="P48" i="13" s="1"/>
  <c r="O54" i="13"/>
  <c r="P54" i="13" s="1"/>
  <c r="O17" i="13"/>
  <c r="P17" i="13" s="1"/>
  <c r="O21" i="13"/>
  <c r="P21" i="13" s="1"/>
  <c r="O94" i="13"/>
  <c r="P94" i="13" s="1"/>
  <c r="O32" i="13"/>
  <c r="P32" i="13" s="1"/>
  <c r="O117" i="13"/>
  <c r="P117" i="13" s="1"/>
  <c r="O27" i="13"/>
  <c r="P27" i="13" s="1"/>
  <c r="O38" i="13"/>
  <c r="P38" i="13" s="1"/>
  <c r="O6" i="13"/>
  <c r="P6" i="13" s="1"/>
  <c r="O49" i="13"/>
  <c r="P49" i="13" s="1"/>
  <c r="O34" i="13"/>
  <c r="P34" i="13" s="1"/>
  <c r="O37" i="13"/>
  <c r="P37" i="13" s="1"/>
  <c r="O41" i="13"/>
  <c r="P41" i="13" s="1"/>
  <c r="O116" i="13"/>
  <c r="P116" i="13" s="1"/>
  <c r="O55" i="13"/>
  <c r="P55" i="13" s="1"/>
  <c r="O4" i="13"/>
  <c r="P4" i="13" s="1"/>
  <c r="O46" i="13"/>
  <c r="P46" i="13" s="1"/>
  <c r="O130" i="13"/>
  <c r="P130" i="13" s="1"/>
  <c r="O118" i="13"/>
  <c r="P118" i="13" s="1"/>
  <c r="O45" i="13"/>
  <c r="P45" i="13" s="1"/>
  <c r="O131" i="13"/>
  <c r="P131" i="13" s="1"/>
  <c r="O16" i="13"/>
  <c r="P16" i="13" s="1"/>
  <c r="O51" i="13"/>
  <c r="P51" i="13" s="1"/>
  <c r="O129" i="13"/>
  <c r="P129" i="13" s="1"/>
  <c r="O40" i="13"/>
  <c r="P40" i="13" s="1"/>
  <c r="O52" i="13"/>
  <c r="P52" i="13" s="1"/>
  <c r="O42" i="13"/>
  <c r="P42" i="13" s="1"/>
  <c r="O13" i="13"/>
  <c r="P13" i="13" s="1"/>
  <c r="O126" i="13"/>
  <c r="P126" i="13" s="1"/>
  <c r="O11" i="13"/>
  <c r="P11" i="13" s="1"/>
  <c r="O43" i="13"/>
  <c r="P43" i="13" s="1"/>
  <c r="O53" i="13"/>
  <c r="P53" i="13" s="1"/>
  <c r="Q1" i="4" l="1"/>
  <c r="AF1" i="3"/>
  <c r="BN1" i="3"/>
  <c r="BK1" i="4"/>
  <c r="Q135" i="13"/>
  <c r="Q59" i="13"/>
  <c r="Q97" i="13"/>
  <c r="Q78" i="13"/>
  <c r="Q21" i="13"/>
  <c r="Q2" i="13"/>
  <c r="Q116" i="13"/>
  <c r="Q40" i="13"/>
  <c r="AE1" i="3" l="1"/>
  <c r="EI29" i="3"/>
  <c r="BJ1" i="4"/>
  <c r="BM1" i="3"/>
  <c r="BL1" i="3" s="1"/>
  <c r="BK1" i="3" s="1"/>
  <c r="BJ1" i="3" s="1"/>
  <c r="BI1" i="3" s="1"/>
  <c r="BH1" i="3" s="1"/>
  <c r="BG1" i="3" s="1"/>
  <c r="EI22" i="3" s="1"/>
  <c r="EI37" i="3"/>
  <c r="EI64" i="3"/>
  <c r="EI50" i="3"/>
  <c r="EI34" i="3"/>
  <c r="EI16" i="3"/>
  <c r="EI60" i="3"/>
  <c r="EI44" i="3"/>
  <c r="EI18" i="3"/>
  <c r="EI66" i="3"/>
  <c r="EI43" i="3"/>
  <c r="EI12" i="3"/>
  <c r="EI61" i="3"/>
  <c r="EI8" i="3"/>
  <c r="P1" i="4"/>
  <c r="EI27" i="3" l="1"/>
  <c r="EI5" i="3"/>
  <c r="EI9" i="3"/>
  <c r="EI32" i="3"/>
  <c r="EI53" i="3"/>
  <c r="EI36" i="3"/>
  <c r="BI1" i="4"/>
  <c r="EI35" i="3"/>
  <c r="AD1" i="3"/>
  <c r="EI30" i="3"/>
  <c r="EI49" i="3"/>
  <c r="EI20" i="3"/>
  <c r="EI11" i="3"/>
  <c r="EI58" i="3"/>
  <c r="EI51" i="3"/>
  <c r="EI3" i="3"/>
  <c r="EI23" i="3"/>
  <c r="EI56" i="3"/>
  <c r="EI47" i="3"/>
  <c r="EI19" i="3"/>
  <c r="EI63" i="3"/>
  <c r="EI52" i="3"/>
  <c r="EI6" i="3"/>
  <c r="EI41" i="3"/>
  <c r="EI57" i="3"/>
  <c r="EI26" i="3"/>
  <c r="EI14" i="3"/>
  <c r="EI21" i="3"/>
  <c r="EI25" i="3"/>
  <c r="EI54" i="3"/>
  <c r="EI39" i="3"/>
  <c r="O1" i="4"/>
  <c r="EI17" i="3"/>
  <c r="EI45" i="3"/>
  <c r="EI38" i="3"/>
  <c r="EI65" i="3"/>
  <c r="EI13" i="3"/>
  <c r="EI10" i="3"/>
  <c r="EI42" i="3"/>
  <c r="EI28" i="3"/>
  <c r="EI31" i="3"/>
  <c r="EI24" i="3"/>
  <c r="EI59" i="3"/>
  <c r="EI4" i="3"/>
  <c r="EI15" i="3"/>
  <c r="EI46" i="3"/>
  <c r="EI40" i="3"/>
  <c r="EI62" i="3"/>
  <c r="EI33" i="3"/>
  <c r="EI7" i="3"/>
  <c r="EI48" i="3"/>
  <c r="EI55" i="3"/>
  <c r="N1" i="4" l="1"/>
  <c r="DC40" i="3"/>
  <c r="DC31" i="3"/>
  <c r="AC1" i="3"/>
  <c r="AB1" i="3" s="1"/>
  <c r="AA1" i="3" s="1"/>
  <c r="DC46" i="3"/>
  <c r="DC61" i="3"/>
  <c r="DC56" i="3"/>
  <c r="DC16" i="3"/>
  <c r="DC37" i="3"/>
  <c r="DC53" i="3"/>
  <c r="DC44" i="3"/>
  <c r="DC47" i="3"/>
  <c r="DC50" i="3"/>
  <c r="DC66" i="3"/>
  <c r="DC32" i="3"/>
  <c r="DC39" i="3"/>
  <c r="DC45" i="3"/>
  <c r="DC38" i="3"/>
  <c r="DC18" i="3"/>
  <c r="DC51" i="3"/>
  <c r="DC57" i="3"/>
  <c r="DC63" i="3"/>
  <c r="DC43" i="3"/>
  <c r="DC62" i="3"/>
  <c r="DC34" i="3"/>
  <c r="DC55" i="3"/>
  <c r="DC3" i="3"/>
  <c r="DC8" i="3"/>
  <c r="DC21" i="3"/>
  <c r="DC42" i="3"/>
  <c r="DC5" i="3"/>
  <c r="DC14" i="3"/>
  <c r="DC35" i="3"/>
  <c r="DC4" i="3"/>
  <c r="DC29" i="3"/>
  <c r="DC64" i="3"/>
  <c r="DC36" i="3"/>
  <c r="DC6" i="3"/>
  <c r="DC49" i="3"/>
  <c r="DC24" i="3"/>
  <c r="DC65" i="3"/>
  <c r="DC19" i="3"/>
  <c r="BH1" i="4"/>
  <c r="DC41" i="3"/>
  <c r="DC7" i="3"/>
  <c r="DC27" i="3" l="1"/>
  <c r="DC54" i="3"/>
  <c r="DC48" i="3"/>
  <c r="DC52" i="3"/>
  <c r="DC25" i="3"/>
  <c r="DC20" i="3"/>
  <c r="EI45" i="4"/>
  <c r="DC60" i="3"/>
  <c r="DC12" i="3"/>
  <c r="DC33" i="3"/>
  <c r="M1" i="4"/>
  <c r="DC15" i="3"/>
  <c r="DC59" i="3"/>
  <c r="DC58" i="3"/>
  <c r="DC22" i="3"/>
  <c r="DC11" i="3"/>
  <c r="BG1" i="4"/>
  <c r="EI55" i="4" s="1"/>
  <c r="EI44" i="4"/>
  <c r="EI56" i="4"/>
  <c r="EI14" i="4"/>
  <c r="EI19" i="4"/>
  <c r="EI7" i="4"/>
  <c r="EI42" i="4"/>
  <c r="EI26" i="4"/>
  <c r="DC30" i="3"/>
  <c r="DC13" i="3"/>
  <c r="DC17" i="3"/>
  <c r="DC10" i="3"/>
  <c r="DC26" i="3"/>
  <c r="DC9" i="3"/>
  <c r="DC28" i="3"/>
  <c r="DC23" i="3"/>
  <c r="EI61" i="4" l="1"/>
  <c r="EI47" i="4"/>
  <c r="EI58" i="4"/>
  <c r="EI25" i="4"/>
  <c r="EI27" i="4"/>
  <c r="EI32" i="4"/>
  <c r="EI41" i="4"/>
  <c r="EI62" i="4"/>
  <c r="EI20" i="4"/>
  <c r="EI11" i="4"/>
  <c r="EI52" i="4"/>
  <c r="EI18" i="4"/>
  <c r="EI48" i="4"/>
  <c r="EI22" i="4"/>
  <c r="EI43" i="4"/>
  <c r="EI3" i="4"/>
  <c r="EI49" i="4"/>
  <c r="EI15" i="4"/>
  <c r="EI9" i="4"/>
  <c r="EI16" i="4"/>
  <c r="EI46" i="4"/>
  <c r="EI4" i="4"/>
  <c r="EI6" i="4"/>
  <c r="EI37" i="4"/>
  <c r="EI21" i="4"/>
  <c r="EI24" i="4"/>
  <c r="EI57" i="4"/>
  <c r="EI50" i="4"/>
  <c r="EI30" i="4"/>
  <c r="EI29" i="4"/>
  <c r="EI36" i="4"/>
  <c r="EI35" i="4"/>
  <c r="EI10" i="4"/>
  <c r="EI12" i="4"/>
  <c r="EI13" i="4"/>
  <c r="EI28" i="4"/>
  <c r="EI59" i="4"/>
  <c r="EI23" i="4"/>
  <c r="EI31" i="4"/>
  <c r="EI38" i="4"/>
  <c r="EI34" i="4"/>
  <c r="EI5" i="4"/>
  <c r="EI60" i="4"/>
  <c r="EI53" i="4"/>
  <c r="EI17" i="4"/>
  <c r="EI33" i="4"/>
  <c r="EI51" i="4"/>
  <c r="L1" i="4"/>
  <c r="EI39" i="4"/>
  <c r="EI54" i="4"/>
  <c r="EI8" i="4"/>
  <c r="EI40" i="4"/>
  <c r="K1" i="4" l="1"/>
  <c r="CM49" i="4" s="1"/>
  <c r="CM59" i="4"/>
  <c r="CM3" i="4"/>
  <c r="CM62" i="4"/>
  <c r="CM25" i="4"/>
  <c r="CM8" i="4" l="1"/>
  <c r="CM10" i="4"/>
  <c r="CM26" i="4"/>
  <c r="CM46" i="4"/>
  <c r="CM18" i="4"/>
  <c r="CM13" i="4"/>
  <c r="CM14" i="4"/>
  <c r="CM60" i="4"/>
  <c r="CM34" i="4"/>
  <c r="CM36" i="4"/>
  <c r="CM19" i="4"/>
  <c r="CM27" i="4"/>
  <c r="CM52" i="4"/>
  <c r="CM54" i="4"/>
  <c r="CM4" i="4"/>
  <c r="CM38" i="4"/>
  <c r="CM21" i="4"/>
  <c r="CM7" i="4"/>
  <c r="CM35" i="4"/>
  <c r="CM47" i="4"/>
  <c r="CM6" i="4"/>
  <c r="CM57" i="4"/>
  <c r="CM56" i="4"/>
  <c r="CM22" i="4"/>
  <c r="CM45" i="4"/>
  <c r="CM61" i="4"/>
  <c r="CM40" i="4"/>
  <c r="CM12" i="4"/>
  <c r="CM48" i="4"/>
  <c r="CM28" i="4"/>
  <c r="CM50" i="4"/>
  <c r="CM55" i="4"/>
  <c r="CM32" i="4"/>
  <c r="CM9" i="4"/>
  <c r="CM23" i="4"/>
  <c r="CM11" i="4"/>
  <c r="CM15" i="4"/>
  <c r="CM37" i="4"/>
  <c r="CM5" i="4"/>
  <c r="CM43" i="4"/>
  <c r="CM20" i="4"/>
  <c r="CM39" i="4"/>
  <c r="CM30" i="4"/>
  <c r="CM41" i="4"/>
  <c r="CM51" i="4"/>
  <c r="CM24" i="4"/>
  <c r="CM42" i="4"/>
  <c r="CM31" i="4"/>
  <c r="CM17" i="4"/>
  <c r="CM33" i="4"/>
  <c r="CM29" i="4"/>
  <c r="CM53" i="4"/>
  <c r="CM58" i="4"/>
  <c r="CM16" i="4"/>
  <c r="CM44" i="4"/>
</calcChain>
</file>

<file path=xl/sharedStrings.xml><?xml version="1.0" encoding="utf-8"?>
<sst xmlns="http://schemas.openxmlformats.org/spreadsheetml/2006/main" count="3021" uniqueCount="357">
  <si>
    <t>f</t>
  </si>
  <si>
    <t>,</t>
  </si>
  <si>
    <t>C</t>
  </si>
  <si>
    <t>F</t>
  </si>
  <si>
    <t>E</t>
  </si>
  <si>
    <t/>
  </si>
  <si>
    <t>0x0000,0x0000,0x0000,0x0000,0x0000,0x0000,0x0000,0x0000,0x0000,0x0000,//sp</t>
  </si>
  <si>
    <t>0x1000,0x1000,0x1000,0x1000,0x1000,0x1000,0x0000,0x1000,0x0000,0x0000,//!</t>
  </si>
  <si>
    <t>0x2800,0x2800,0x2800,0x0000,0x0000,0x0000,0x0000,0x0000,0x0000,0x0000,//"</t>
  </si>
  <si>
    <t>0x2400,0x2400,0x7C00,0x2400,0x4800,0x7C00,0x4800,0x4800,0x0000,0x0000,//#</t>
  </si>
  <si>
    <t>0x3800,0x5400,0x5000,0x3800,0x1400,0x5400,0x5400,0x3800,0x1000,0x0000,//$</t>
  </si>
  <si>
    <t>0x2000,0x5400,0x5800,0x3000,0x2800,0x5400,0x1400,0x0800,0x0000,0x0000,//%</t>
  </si>
  <si>
    <t>0x1000,0x2800,0x2800,0x1000,0x3400,0x4800,0x4800,0x3400,0x0000,0x0000,//&amp;</t>
  </si>
  <si>
    <t>0x1000,0x1000,0x1000,0x0000,0x0000,0x0000,0x0000,0x0000,0x0000,0x0000,//'</t>
  </si>
  <si>
    <t>0x0800,0x1000,0x2000,0x2000,0x2000,0x2000,0x2000,0x2000,0x1000,0x0800,//(</t>
  </si>
  <si>
    <t>0x2000,0x1000,0x0800,0x0800,0x0800,0x0800,0x0800,0x0800,0x1000,0x2000,//)</t>
  </si>
  <si>
    <t>0x1000,0x3800,0x1000,0x2800,0x0000,0x0000,0x0000,0x0000,0x0000,0x0000,//*</t>
  </si>
  <si>
    <t>0x0000,0x0000,0x1000,0x1000,0x7C00,0x1000,0x1000,0x0000,0x0000,0x0000,//+</t>
  </si>
  <si>
    <t>0x0000,0x0000,0x0000,0x0000,0x0000,0x0000,0x0000,0x1000,0x1000,0x1000,//,</t>
  </si>
  <si>
    <t>0x0000,0x0000,0x0000,0x0000,0x0000,0x3800,0x0000,0x0000,0x0000,0x0000,//-</t>
  </si>
  <si>
    <t>0x0000,0x0000,0x0000,0x0000,0x0000,0x0000,0x0000,0x1000,0x0000,0x0000,//.</t>
  </si>
  <si>
    <t>0x0800,0x0800,0x1000,0x1000,0x1000,0x1000,0x2000,0x2000,0x0000,0x0000,///</t>
  </si>
  <si>
    <t>0x3800,0x4400,0x4400,0x5400,0x4400,0x4400,0x4400,0x3800,0x0000,0x0000,//0</t>
  </si>
  <si>
    <t>0x1000,0x3000,0x5000,0x1000,0x1000,0x1000,0x1000,0x1000,0x0000,0x0000,//1</t>
  </si>
  <si>
    <t>0x3800,0x4400,0x4400,0x0400,0x0800,0x1000,0x2000,0x7C00,0x0000,0x0000,//2</t>
  </si>
  <si>
    <t>0x3800,0x4400,0x0400,0x1800,0x0400,0x0400,0x4400,0x3800,0x0000,0x0000,//3</t>
  </si>
  <si>
    <t>0x0800,0x1800,0x2800,0x2800,0x4800,0x7C00,0x0800,0x0800,0x0000,0x0000,//4</t>
  </si>
  <si>
    <t>0x7C00,0x4000,0x4000,0x7800,0x0400,0x0400,0x4400,0x3800,0x0000,0x0000,//5</t>
  </si>
  <si>
    <t>0x3800,0x4400,0x4000,0x7800,0x4400,0x4400,0x4400,0x3800,0x0000,0x0000,//6</t>
  </si>
  <si>
    <t>0x7C00,0x0400,0x0800,0x1000,0x1000,0x2000,0x2000,0x2000,0x0000,0x0000,//7</t>
  </si>
  <si>
    <t>0x3800,0x4400,0x4400,0x3800,0x4400,0x4400,0x4400,0x3800,0x0000,0x0000,//8</t>
  </si>
  <si>
    <t>0x3800,0x4400,0x4400,0x4400,0x3C00,0x0400,0x4400,0x3800,0x0000,0x0000,//9</t>
  </si>
  <si>
    <t>0x0000,0x0000,0x1000,0x0000,0x0000,0x0000,0x0000,0x1000,0x0000,0x0000,//:</t>
  </si>
  <si>
    <t>0x0000,0x0000,0x0000,0x1000,0x0000,0x0000,0x0000,0x1000,0x1000,0x1000,//;</t>
  </si>
  <si>
    <t>0x0000,0x0000,0x0C00,0x3000,0x4000,0x3000,0x0C00,0x0000,0x0000,0x0000,//&lt;</t>
  </si>
  <si>
    <t>0x0000,0x0000,0x0000,0x7C00,0x0000,0x7C00,0x0000,0x0000,0x0000,0x0000,//=</t>
  </si>
  <si>
    <t>0x0000,0x0000,0x6000,0x1800,0x0400,0x1800,0x6000,0x0000,0x0000,0x0000,//&gt;</t>
  </si>
  <si>
    <t>0x3800,0x4400,0x0400,0x0800,0x1000,0x1000,0x0000,0x1000,0x0000,0x0000,//?</t>
  </si>
  <si>
    <t>0x3800,0x4400,0x4C00,0x5400,0x5C00,0x4000,0x4000,0x3800,0x0000,0x0000,//@</t>
  </si>
  <si>
    <t>0x1000,0x2800,0x2800,0x2800,0x2800,0x7C00,0x4400,0x4400,0x0000,0x0000,//A</t>
  </si>
  <si>
    <t>0x7800,0x4400,0x4400,0x7800,0x4400,0x4400,0x4400,0x7800,0x0000,0x0000,//B</t>
  </si>
  <si>
    <t>0x3800,0x4400,0x4000,0x4000,0x4000,0x4000,0x4400,0x3800,0x0000,0x0000,//C</t>
  </si>
  <si>
    <t>0x7000,0x4800,0x4400,0x4400,0x4400,0x4400,0x4800,0x7000,0x0000,0x0000,//D</t>
  </si>
  <si>
    <t>0x7C00,0x4000,0x4000,0x7C00,0x4000,0x4000,0x4000,0x7C00,0x0000,0x0000,//E</t>
  </si>
  <si>
    <t>0x7C00,0x4000,0x4000,0x7800,0x4000,0x4000,0x4000,0x4000,0x0000,0x0000,//F</t>
  </si>
  <si>
    <t>0x3800,0x4400,0x4000,0x4000,0x5C00,0x4400,0x4400,0x3800,0x0000,0x0000,//G</t>
  </si>
  <si>
    <t>0x4400,0x4400,0x4400,0x7C00,0x4400,0x4400,0x4400,0x4400,0x0000,0x0000,//H</t>
  </si>
  <si>
    <t>0x3800,0x1000,0x1000,0x1000,0x1000,0x1000,0x1000,0x3800,0x0000,0x0000,//I</t>
  </si>
  <si>
    <t>0x0400,0x0400,0x0400,0x0400,0x0400,0x0400,0x4400,0x3800,0x0000,0x0000,//J</t>
  </si>
  <si>
    <t>0x4400,0x4800,0x5000,0x6000,0x5000,0x4800,0x4800,0x4400,0x0000,0x0000,//K</t>
  </si>
  <si>
    <t>0x4000,0x4000,0x4000,0x4000,0x4000,0x4000,0x4000,0x7C00,0x0000,0x0000,//L</t>
  </si>
  <si>
    <t>0x4400,0x6C00,0x6C00,0x5400,0x4400,0x4400,0x4400,0x4400,0x0000,0x0000,//M</t>
  </si>
  <si>
    <t>0x4400,0x6400,0x6400,0x5400,0x5400,0x4C00,0x4C00,0x4400,0x0000,0x0000,//N</t>
  </si>
  <si>
    <t>0x3800,0x4400,0x4400,0x4400,0x4400,0x4400,0x4400,0x3800,0x0000,0x0000,//O</t>
  </si>
  <si>
    <t>0x7800,0x4400,0x4400,0x4400,0x7800,0x4000,0x4000,0x4000,0x0000,0x0000,//P</t>
  </si>
  <si>
    <t>0x3800,0x4400,0x4400,0x4400,0x4400,0x4400,0x5400,0x3800,0x0400,0x0000,//Q</t>
  </si>
  <si>
    <t>0x7800,0x4400,0x4400,0x4400,0x7800,0x4800,0x4800,0x4400,0x0000,0x0000,//R</t>
  </si>
  <si>
    <t>0x3800,0x4400,0x4000,0x3000,0x0800,0x0400,0x4400,0x3800,0x0000,0x0000,//S</t>
  </si>
  <si>
    <t>0x7C00,0x1000,0x1000,0x1000,0x1000,0x1000,0x1000,0x1000,0x0000,0x0000,//T</t>
  </si>
  <si>
    <t>0x4400,0x4400,0x4400,0x4400,0x4400,0x4400,0x4400,0x3800,0x0000,0x0000,//U</t>
  </si>
  <si>
    <t>0x4400,0x4400,0x4400,0x2800,0x2800,0x2800,0x1000,0x1000,0x0000,0x0000,//V</t>
  </si>
  <si>
    <t>0x4400,0x4400,0x5400,0x5400,0x5400,0x6C00,0x2800,0x2800,0x0000,0x0000,//W</t>
  </si>
  <si>
    <t>0x4400,0x2800,0x2800,0x1000,0x1000,0x2800,0x2800,0x4400,0x0000,0x0000,//X</t>
  </si>
  <si>
    <t>0x4400,0x4400,0x2800,0x2800,0x1000,0x1000,0x1000,0x1000,0x0000,0x0000,//Y</t>
  </si>
  <si>
    <t>0x7C00,0x0400,0x0800,0x1000,0x1000,0x2000,0x4000,0x7C00,0x0000,0x0000,//Z</t>
  </si>
  <si>
    <t>0x1800,0x1000,0x1000,0x1000,0x1000,0x1000,0x1000,0x1000,0x1000,0x1800,//[</t>
  </si>
  <si>
    <t>0x2000,0x2000,0x1000,0x1000,0x1000,0x1000,0x0800,0x0800,0x0000,0x0000,/*\*/</t>
  </si>
  <si>
    <t>0x3000,0x1000,0x1000,0x1000,0x1000,0x1000,0x1000,0x1000,0x1000,0x3000,//]</t>
  </si>
  <si>
    <t>0x1000,0x2800,0x2800,0x4400,0x0000,0x0000,0x0000,0x0000,0x0000,0x0000,//^</t>
  </si>
  <si>
    <t>0x0000,0x0000,0x0000,0x0000,0x0000,0x0000,0x0000,0x0000,0x0000,0xFE00,//_</t>
  </si>
  <si>
    <t>0x2000,0x1000,0x0000,0x0000,0x0000,0x0000,0x0000,0x0000,0x0000,0x0000,//`</t>
  </si>
  <si>
    <t>0x0000,0x0000,0x3800,0x4400,0x3C00,0x4400,0x4C00,0x3400,0x0000,0x0000,//a</t>
  </si>
  <si>
    <t>0x4000,0x4000,0x5800,0x6400,0x4400,0x4400,0x6400,0x5800,0x0000,0x0000,//b</t>
  </si>
  <si>
    <t>0x0000,0x0000,0x3800,0x4400,0x4000,0x4000,0x4400,0x3800,0x0000,0x0000,//c</t>
  </si>
  <si>
    <t>0x0400,0x0400,0x3400,0x4C00,0x4400,0x4400,0x4C00,0x3400,0x0000,0x0000,//d</t>
  </si>
  <si>
    <t>0x0000,0x0000,0x3800,0x4400,0x7C00,0x4000,0x4400,0x3800,0x0000,0x0000,//e</t>
  </si>
  <si>
    <t>0x0C00,0x1000,0x7C00,0x1000,0x1000,0x1000,0x1000,0x1000,0x0000,0x0000,//f</t>
  </si>
  <si>
    <t>0x0000,0x0000,0x3400,0x4C00,0x4400,0x4400,0x4C00,0x3400,0x0400,0x7800,//g</t>
  </si>
  <si>
    <t>0x4000,0x4000,0x5800,0x6400,0x4400,0x4400,0x4400,0x4400,0x0000,0x0000,//h</t>
  </si>
  <si>
    <t>0x1000,0x0000,0x7000,0x1000,0x1000,0x1000,0x1000,0x1000,0x0000,0x0000,//i</t>
  </si>
  <si>
    <t>0x1000,0x0000,0x7000,0x1000,0x1000,0x1000,0x1000,0x1000,0x1000,0xE000,//j</t>
  </si>
  <si>
    <t>0x4000,0x4000,0x4800,0x5000,0x6000,0x5000,0x4800,0x4400,0x0000,0x0000,//k</t>
  </si>
  <si>
    <t>0x7000,0x1000,0x1000,0x1000,0x1000,0x1000,0x1000,0x1000,0x0000,0x0000,//l</t>
  </si>
  <si>
    <t>0x0000,0x0000,0x7800,0x5400,0x5400,0x5400,0x5400,0x5400,0x0000,0x0000,//m</t>
  </si>
  <si>
    <t>0x0000,0x0000,0x5800,0x6400,0x4400,0x4400,0x4400,0x4400,0x0000,0x0000,//n</t>
  </si>
  <si>
    <t>0x0000,0x0000,0x3800,0x4400,0x4400,0x4400,0x4400,0x3800,0x0000,0x0000,//o</t>
  </si>
  <si>
    <t>0x0000,0x0000,0x5800,0x6400,0x4400,0x4400,0x6400,0x5800,0x4000,0x4000,//p</t>
  </si>
  <si>
    <t>0x0000,0x0000,0x3400,0x4C00,0x4400,0x4400,0x4C00,0x3400,0x0400,0x0400,//q</t>
  </si>
  <si>
    <t>0x0000,0x0000,0x5800,0x6400,0x4000,0x4000,0x4000,0x4000,0x0000,0x0000,//r</t>
  </si>
  <si>
    <t>0x0000,0x0000,0x3800,0x4400,0x3000,0x0800,0x4400,0x3800,0x0000,0x0000,//s</t>
  </si>
  <si>
    <t>0x2000,0x2000,0x7800,0x2000,0x2000,0x2000,0x2000,0x1800,0x0000,0x0000,//t</t>
  </si>
  <si>
    <t>0x0000,0x0000,0x4400,0x4400,0x4400,0x4400,0x4C00,0x3400,0x0000,0x0000,//u</t>
  </si>
  <si>
    <t>0x0000,0x0000,0x4400,0x4400,0x2800,0x2800,0x2800,0x1000,0x0000,0x0000,//v</t>
  </si>
  <si>
    <t>0x0000,0x0000,0x5400,0x5400,0x5400,0x6C00,0x2800,0x2800,0x0000,0x0000,//w</t>
  </si>
  <si>
    <t>0x0000,0x0000,0x4400,0x2800,0x1000,0x1000,0x2800,0x4400,0x0000,0x0000,//x</t>
  </si>
  <si>
    <t>0x0000,0x0000,0x4400,0x4400,0x2800,0x2800,0x1000,0x1000,0x1000,0x6000,//y</t>
  </si>
  <si>
    <t>0x0000,0x0000,0x7C00,0x0800,0x1000,0x2000,0x4000,0x7C00,0x0000,0x0000,//z</t>
  </si>
  <si>
    <t>0x1800,0x1000,0x1000,0x1000,0x2000,0x2000,0x1000,0x1000,0x1000,0x1800,//{</t>
  </si>
  <si>
    <t>0x1000,0x1000,0x1000,0x1000,0x1000,0x1000,0x1000,0x1000,0x1000,0x1000,//|</t>
  </si>
  <si>
    <t>0x3000,0x1000,0x1000,0x1000,0x0800,0x0800,0x1000,0x1000,0x1000,0x3000,//}</t>
  </si>
  <si>
    <t>0x0000,0x0000,0x0000,0x7400,0x4C00,0x0000,0x0000,0x0000,0x0000,0x0000,//~</t>
  </si>
  <si>
    <t>!</t>
  </si>
  <si>
    <t>"</t>
  </si>
  <si>
    <t>#</t>
  </si>
  <si>
    <t>$</t>
  </si>
  <si>
    <t>%</t>
  </si>
  <si>
    <t>&amp;</t>
  </si>
  <si>
    <t>(</t>
  </si>
  <si>
    <t>)</t>
  </si>
  <si>
    <t>*</t>
  </si>
  <si>
    <t>+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</si>
  <si>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</si>
  <si>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</si>
  <si>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</si>
  <si>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</si>
  <si>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</si>
  <si>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</si>
  <si>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</si>
  <si>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</si>
  <si>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</si>
  <si>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</si>
  <si>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</si>
  <si>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</si>
  <si>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D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</si>
  <si>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</si>
  <si>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</si>
  <si>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</si>
  <si>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</si>
  <si>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</si>
  <si>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</si>
  <si>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</si>
  <si>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</si>
  <si>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</si>
  <si>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</si>
  <si>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</si>
  <si>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</si>
  <si>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</si>
  <si>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</si>
  <si>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</si>
  <si>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</si>
  <si>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</si>
  <si>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</si>
  <si>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</si>
  <si>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</si>
  <si>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</si>
  <si>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\*/</t>
  </si>
  <si>
    <t>]</t>
  </si>
  <si>
    <t>^</t>
  </si>
  <si>
    <t>_</t>
  </si>
  <si>
    <t>`</t>
  </si>
  <si>
    <t>a</t>
  </si>
  <si>
    <t>b</t>
  </si>
  <si>
    <t>c</t>
  </si>
  <si>
    <t>d</t>
  </si>
  <si>
    <t>e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</si>
  <si>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</si>
  <si>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</si>
  <si>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</si>
  <si>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</si>
  <si>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</si>
  <si>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</si>
  <si>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</si>
  <si>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</si>
  <si>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</si>
  <si>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</si>
  <si>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</si>
  <si>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</si>
  <si>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</si>
  <si>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</si>
  <si>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</si>
  <si>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</si>
  <si>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</si>
  <si>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</si>
  <si>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</si>
  <si>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</si>
  <si>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</si>
  <si>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</si>
  <si>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</si>
  <si>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</si>
  <si>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11111110</t>
  </si>
  <si>
    <t>11100000</t>
  </si>
  <si>
    <t>00000000</t>
  </si>
  <si>
    <t>00010000</t>
  </si>
  <si>
    <t>00101000</t>
  </si>
  <si>
    <t>00100100</t>
  </si>
  <si>
    <t>01111100</t>
  </si>
  <si>
    <t>01001000</t>
  </si>
  <si>
    <t>00111000</t>
  </si>
  <si>
    <t>01010100</t>
  </si>
  <si>
    <t>01010000</t>
  </si>
  <si>
    <t>00010100</t>
  </si>
  <si>
    <t>00100000</t>
  </si>
  <si>
    <t>01011000</t>
  </si>
  <si>
    <t>00110000</t>
  </si>
  <si>
    <t>00001000</t>
  </si>
  <si>
    <t>00110100</t>
  </si>
  <si>
    <t>01000100</t>
  </si>
  <si>
    <t>00000100</t>
  </si>
  <si>
    <t>00011000</t>
  </si>
  <si>
    <t>01000000</t>
  </si>
  <si>
    <t>01111000</t>
  </si>
  <si>
    <t>00111100</t>
  </si>
  <si>
    <t>00001100</t>
  </si>
  <si>
    <t>01100000</t>
  </si>
  <si>
    <t>01001100</t>
  </si>
  <si>
    <t>01011100</t>
  </si>
  <si>
    <t>01110000</t>
  </si>
  <si>
    <t>01101100</t>
  </si>
  <si>
    <t>01100100</t>
  </si>
  <si>
    <t>01110100</t>
  </si>
  <si>
    <t>Initialize</t>
  </si>
  <si>
    <t>Manual</t>
  </si>
  <si>
    <t>Auto</t>
  </si>
  <si>
    <t>Settings</t>
  </si>
  <si>
    <t>Maintenance</t>
  </si>
  <si>
    <t>sp</t>
  </si>
  <si>
    <t>abcdefghijklmnopqrstuvwxyz</t>
  </si>
  <si>
    <t xml:space="preserve"> </t>
  </si>
  <si>
    <t>0x00,0x00,0x2E,0x00,0x00,//char'!'(0x21/33)</t>
  </si>
  <si>
    <t>0x06,0x00,0x06,0x00,0x00,//char'"'(0x22/34)</t>
  </si>
  <si>
    <t>0x14,0x7F,0x14,0x7F,0x14,//char'#'(0x23/35)</t>
  </si>
  <si>
    <t>0x06,0x49,0x7F,0x49,0x30,//char'$'(0x24/36)</t>
  </si>
  <si>
    <t>0x24,0x10,0x08,0x24,0x00,//char'%'(0x25/37)</t>
  </si>
  <si>
    <t>0x36,0x49,0x36,0x50,0x00,//char'&amp;'(0x26/38)</t>
  </si>
  <si>
    <t>0x00,0x00,0x00,0x06,0x00,//char'''(0x27/39)</t>
  </si>
  <si>
    <t>0x00,0x41,0x36,0x00,0x00,//char'('(0x28/40)</t>
  </si>
  <si>
    <t>0x00,0x36,0x41,0x00,0x00,//char')'(0x29/41)</t>
  </si>
  <si>
    <t>0x00,0x08,0x00,0x00,0x00,//char'*'(0x2A/42)</t>
  </si>
  <si>
    <t>0x00,0x08,0x1C,0x08,0x00,//char'+'(0x2B/43)</t>
  </si>
  <si>
    <t>0x40,0x20,0x00,0x00,0x00,//char','(0x2C/44)</t>
  </si>
  <si>
    <t>0x00,0x08,0x08,0x00,0x00,//char'-'(0x2D/45)</t>
  </si>
  <si>
    <t>0x20,0x00,0x00,0x00,0x00,//char'.'(0x2E/46)</t>
  </si>
  <si>
    <t>0x00,0x30,0x06,0x00,0x00,//char'/'(0x2F/47)</t>
  </si>
  <si>
    <t>0x36,0x41,0x41,0x36,0x00,//char'0'(0x30/48)</t>
  </si>
  <si>
    <t>0x00,0x00,0x00,0x36,0x00,//char'1'(0x31/49)</t>
  </si>
  <si>
    <t>0x30,0x49,0x49,0x06,0x00,//char'2'(0x32/50)</t>
  </si>
  <si>
    <t>0x00,0x49,0x49,0x36,0x00,//char'3'(0x33/51)</t>
  </si>
  <si>
    <t>0x06,0x08,0x08,0x36,0x00,//char'4'(0x34/52)</t>
  </si>
  <si>
    <t>0x06,0x49,0x49,0x30,0x00,//char'5'(0x35/53)</t>
  </si>
  <si>
    <t>0x36,0x49,0x49,0x30,0x00,//char'6'(0x36/54)</t>
  </si>
  <si>
    <t>0x00,0x01,0x01,0x36,0x00,//char'7'(0x37/55)</t>
  </si>
  <si>
    <t>0x36,0x49,0x49,0x36,0x00,//char'8'(0x38/56)</t>
  </si>
  <si>
    <t>0x06,0x49,0x49,0x36,0x00,//char'9'(0x39/57)</t>
  </si>
  <si>
    <t>0x00,0x14,0x00,0x00,0x00,//char':'(0x3A/58)</t>
  </si>
  <si>
    <t>0x20,0x14,0x00,0x00,0x00,//char';'(0x3B/59)</t>
  </si>
  <si>
    <t>0x00,0x08,0x14,0x22,0x00,//char'&lt;'(0x3C/60)</t>
  </si>
  <si>
    <t>0x00,0x14,0x14,0x14,0x00,//char'='(0x3D/61)</t>
  </si>
  <si>
    <t>0x00,0x22,0x14,0x08,0x00,//char'&gt;'(0x3E/62)</t>
  </si>
  <si>
    <t>0x00,0x01,0x31,0x06,0x00,//char'?'(0x3F/63)</t>
  </si>
  <si>
    <t>0x36,0x49,0x55,0x59,0x2E,//char'@'(0x40/64)</t>
  </si>
  <si>
    <t>0x36,0x09,0x09,0x36,0x00,//char'A'(0x41/65)</t>
  </si>
  <si>
    <t>0x77,0x49,0x49,0x36,0x00,//char'B'(0x42/66)</t>
  </si>
  <si>
    <t>0x36,0x41,0x41,0x00,0x00,//char'C'(0x43/67)</t>
  </si>
  <si>
    <t>0x77,0x41,0x41,0x36,0x00,//char'D'(0x44/68)</t>
  </si>
  <si>
    <t>0x36,0x49,0x49,0x00,0x00,//char'E'(0x45/69)</t>
  </si>
  <si>
    <t>0x36,0x09,0x09,0x00,0x00,//char'F'(0x46/70)</t>
  </si>
  <si>
    <t>0x36,0x41,0x51,0x30,0x00,//char'G'(0x47/71)</t>
  </si>
  <si>
    <t>0x36,0x08,0x08,0x36,0x00,//char'H'(0x48/72)</t>
  </si>
  <si>
    <t>0x00,0x00,0x36,0x00,0x00,//char'I'(0x49/73)</t>
  </si>
  <si>
    <t>0x00,0x40,0x40,0x36,0x00,//char'J'(0x4A/74)</t>
  </si>
  <si>
    <t>0x36,0x08,0x14,0x22,0x00,//char'K'(0x4B/75)</t>
  </si>
  <si>
    <t>0x36,0x40,0x40,0x00,0x00,//char'L'(0x4C/76)</t>
  </si>
  <si>
    <t>0x36,0x01,0x06,0x01,0x36,//char'M'(0x4D/77)</t>
  </si>
  <si>
    <t>0x36,0x04,0x10,0x36,0x00,//char'N'(0x4E/78)</t>
  </si>
  <si>
    <t>0x36,0x41,0x41,0x36,0x00,//char'O'(0x4F/79)</t>
  </si>
  <si>
    <t>0x36,0x09,0x09,0x06,0x00,//char'P'(0x50/80)</t>
  </si>
  <si>
    <t>0x36,0x41,0x21,0x56,0x00,//char'Q'(0x51/81)</t>
  </si>
  <si>
    <t>0x36,0x09,0x19,0x26,0x00,//char'R'(0x52/82)</t>
  </si>
  <si>
    <t>0x06,0x49,0x49,0x30,0x00,//char'S'(0x53/83)</t>
  </si>
  <si>
    <t>0x00,0x01,0x37,0x01,0x00,//char'T'(0x54/84)</t>
  </si>
  <si>
    <t>0x36,0x40,0x40,0x36,0x00,//char'U'(0x55/85)</t>
  </si>
  <si>
    <t>0x36,0x40,0x36,0x00,0x00,//char'V'(0x56/86)</t>
  </si>
  <si>
    <t>0x36,0x40,0x30,0x40,0x36,//char'W'(0x57/87)</t>
  </si>
  <si>
    <t>0x36,0x08,0x08,0x36,0x00,//char'X'(0x58/88)</t>
  </si>
  <si>
    <t>0x06,0x48,0x48,0x36,0x00,//char'Y'(0x59/89)</t>
  </si>
  <si>
    <t>0x20,0x51,0x49,0x45,0x02,//char'Z'(0x5A/90)</t>
  </si>
  <si>
    <t>0x77,0x41,0x41,0x00,0x00,//char'['(0x5B/91)</t>
  </si>
  <si>
    <t>0x00,0x06,0x30,0x00,0x00,//char'\'(0x5C/92)</t>
  </si>
  <si>
    <t>0x00,0x41,0x41,0x77,0x00,//char']'(0x5D/93)</t>
  </si>
  <si>
    <t>0x00,0x02,0x01,0x02,0x00,//char'^'(0x5E/94)</t>
  </si>
  <si>
    <t>0x00,0x40,0x40,0x00,0x00,//char'_'(0x5F/95)</t>
  </si>
  <si>
    <t>0x00,0x01,0x02,0x00,0x00,//char'`'(0x60/96)</t>
  </si>
  <si>
    <t>0x20,0x54,0x54,0x38,0x40,//char'a'(0x61/97)</t>
  </si>
  <si>
    <t>0x00,0x36,0x48,0x30,0x00,//char'b'(0x62/98)</t>
  </si>
  <si>
    <t>0x30,0x48,0x48,0x00,0x00,//char'c'(0x63/99)</t>
  </si>
  <si>
    <t>0x30,0x48,0x48,0x76,0x00,//char'd'(0x64/100)</t>
  </si>
  <si>
    <t>0x38,0x54,0x54,0x08,0x00,//char'e'(0x65/101)</t>
  </si>
  <si>
    <t>0x08,0x6C,0x0A,0x00,0x00,//char'f'(0x66/102)</t>
  </si>
  <si>
    <t>0x08,0x54,0x54,0x38,0x00,//char'g'(0x67/103)</t>
  </si>
  <si>
    <t>0x36,0x08,0x08,0x30,0x00,//char'h'(0x68/104)</t>
  </si>
  <si>
    <t>0x00,0x34,0x00,0x00,0x00,//char'i'(0x69/105)</t>
  </si>
  <si>
    <t>0x00,0x40,0x34,0x00,0x00,//char'j'(0x6A/106)</t>
  </si>
  <si>
    <t>0x36,0x10,0x28,0x00,0x00,//char'k'(0x6B/107)</t>
  </si>
  <si>
    <t>0x36,0x00,0x00,0x00,0x00,//char'l'(0x6C/108)</t>
  </si>
  <si>
    <t>0x30,0x08,0x10,0x08,0x30,//char'm'(0x6D/109)</t>
  </si>
  <si>
    <t>0x30,0x08,0x08,0x30,0x00,//char'n'(0x6E/110)</t>
  </si>
  <si>
    <t>0x30,0x48,0x48,0x30,0x00,//char'o'(0x6F/111)</t>
  </si>
  <si>
    <t>0x78,0x14,0x14,0x08,0x00,//char'p'(0x70/112)</t>
  </si>
  <si>
    <t>0x08,0x14,0x14,0x68,0x00,//char'q'(0x71/113)</t>
  </si>
  <si>
    <t>0x30,0x08,0x08,0x00,0x00,//char'r'(0x72/114)</t>
  </si>
  <si>
    <t>0x08,0x54,0x54,0x20,0x00,//char's'(0x73/115)</t>
  </si>
  <si>
    <t>0x08,0x2C,0x48,0x00,0x00,//char't'(0x74/116)</t>
  </si>
  <si>
    <t>0x30,0x40,0x40,0x30,0x00,//char'u'(0x75/117)</t>
  </si>
  <si>
    <t>0x30,0x40,0x30,0x00,0x00,//char'v'(0x76/118)</t>
  </si>
  <si>
    <t>0x30,0x40,0x20,0x40,0x30,//char'w'(0x77/119)</t>
  </si>
  <si>
    <t>0x28,0x10,0x10,0x28,0x00,//char'x'(0x78/120)</t>
  </si>
  <si>
    <t>0x08,0x50,0x50,0x38,0x00,//char'y'(0x79/121)</t>
  </si>
  <si>
    <t>0x24,0x34,0x2C,0x24,0x00,//char'z'(0x7A/122)</t>
  </si>
  <si>
    <t>0x08,0x36,0x41,0x00,0x00,//char'{'(0x7B/123)</t>
  </si>
  <si>
    <t>0x00,0x36,0x00,0x00,0x00,//char'|'(0x7C/124)</t>
  </si>
  <si>
    <t>0x00,0x41,0x36,0x08,0x00,//char'}'(0x7D/125)</t>
  </si>
  <si>
    <t>0x08,0x08,0x10,0x10,0x00,//char'~'(0x7E/126)</t>
  </si>
  <si>
    <t>0x00,0x00,0x00,0x00,0x00,//char' '(0x20/32)</t>
  </si>
  <si>
    <t>0000000</t>
  </si>
  <si>
    <t>0101110</t>
  </si>
  <si>
    <t>0000110</t>
  </si>
  <si>
    <t>0010100</t>
  </si>
  <si>
    <t>1111111</t>
  </si>
  <si>
    <t>1001001</t>
  </si>
  <si>
    <t>0110000</t>
  </si>
  <si>
    <t>0100100</t>
  </si>
  <si>
    <t>0010000</t>
  </si>
  <si>
    <t>0001000</t>
  </si>
  <si>
    <t>0110110</t>
  </si>
  <si>
    <t>1010000</t>
  </si>
  <si>
    <t>1000001</t>
  </si>
  <si>
    <t>0011100</t>
  </si>
  <si>
    <t>1000000</t>
  </si>
  <si>
    <t>0100000</t>
  </si>
  <si>
    <t>0000001</t>
  </si>
  <si>
    <t>0100010</t>
  </si>
  <si>
    <t>0110001</t>
  </si>
  <si>
    <t>1010101</t>
  </si>
  <si>
    <t>1011001</t>
  </si>
  <si>
    <t>0001001</t>
  </si>
  <si>
    <t>1110111</t>
  </si>
  <si>
    <t>1010001</t>
  </si>
  <si>
    <t>0000100</t>
  </si>
  <si>
    <t>0100001</t>
  </si>
  <si>
    <t>1010110</t>
  </si>
  <si>
    <t>0011001</t>
  </si>
  <si>
    <t>0100110</t>
  </si>
  <si>
    <t>0110111</t>
  </si>
  <si>
    <t>1001000</t>
  </si>
  <si>
    <t>1000101</t>
  </si>
  <si>
    <t>0000010</t>
  </si>
  <si>
    <t>1010100</t>
  </si>
  <si>
    <t>0111000</t>
  </si>
  <si>
    <t>1110110</t>
  </si>
  <si>
    <t>1101100</t>
  </si>
  <si>
    <t>0001010</t>
  </si>
  <si>
    <t>0110100</t>
  </si>
  <si>
    <t>0101000</t>
  </si>
  <si>
    <t>1111000</t>
  </si>
  <si>
    <t>1101000</t>
  </si>
  <si>
    <t>0101100</t>
  </si>
  <si>
    <t>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</si>
</sst>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theme="1"/>
      <name val="Verdana"/>
      <family val="2"/>
    </font>
    <font>
      <sz val="10"/>
      <color theme="0"/>
      <name val="LCDDot"/>
    </font>
    <font>
      <sz val="100"/>
      <color theme="1"/>
      <name val="Verdana"/>
      <family val="2"/>
    </font>
    <font>
      <sz val="120"/>
      <name val="LCDDot"/>
    </font>
    <font>
      <sz val="12"/>
      <color rgb="FF000000"/>
      <name val="Courier New"/>
      <family val="3"/>
    </font>
    <font>
      <sz val="8"/>
      <name val="Verdana"/>
      <family val="2"/>
    </font>
    <font>
      <sz val="50"/>
      <color theme="1"/>
      <name val="Verdana"/>
      <family val="2"/>
    </font>
    <font>
      <sz val="36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quotePrefix="1"/>
    <xf numFmtId="0" fontId="0" fillId="0" borderId="0" xfId="0" applyAlignment="1">
      <alignment textRotation="90"/>
    </xf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3" borderId="0" xfId="0" applyFill="1"/>
    <xf numFmtId="0" fontId="0" fillId="0" borderId="0" xfId="0" quotePrefix="1" applyFill="1"/>
    <xf numFmtId="0" fontId="0" fillId="3" borderId="0" xfId="0" quotePrefix="1" applyFill="1"/>
    <xf numFmtId="0" fontId="0" fillId="2" borderId="0" xfId="0" quotePrefix="1" applyFill="1"/>
    <xf numFmtId="0" fontId="0" fillId="4" borderId="0" xfId="0" applyFill="1"/>
    <xf numFmtId="0" fontId="0" fillId="2" borderId="0" xfId="0" applyFill="1" applyAlignment="1">
      <alignment textRotation="90"/>
    </xf>
    <xf numFmtId="0" fontId="1" fillId="6" borderId="0" xfId="0" applyFont="1" applyFill="1"/>
    <xf numFmtId="0" fontId="2" fillId="0" borderId="0" xfId="0" applyFont="1"/>
    <xf numFmtId="0" fontId="3" fillId="5" borderId="0" xfId="0" applyFont="1" applyFill="1"/>
    <xf numFmtId="0" fontId="4" fillId="0" borderId="0" xfId="0" applyFont="1" applyAlignment="1">
      <alignment horizontal="left" vertical="center" indent="1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 textRotation="90"/>
    </xf>
    <xf numFmtId="0" fontId="7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303"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885825</xdr:colOff>
      <xdr:row>19</xdr:row>
      <xdr:rowOff>95250</xdr:rowOff>
    </xdr:from>
    <xdr:to>
      <xdr:col>1</xdr:col>
      <xdr:colOff>1095349</xdr:colOff>
      <xdr:row>21</xdr:row>
      <xdr:rowOff>66648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5925" y="2447925"/>
          <a:ext cx="209524" cy="2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887016</xdr:colOff>
      <xdr:row>27</xdr:row>
      <xdr:rowOff>86916</xdr:rowOff>
    </xdr:from>
    <xdr:to>
      <xdr:col>1</xdr:col>
      <xdr:colOff>1096540</xdr:colOff>
      <xdr:row>29</xdr:row>
      <xdr:rowOff>46409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116" y="3430191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890588</xdr:colOff>
      <xdr:row>35</xdr:row>
      <xdr:rowOff>61913</xdr:rowOff>
    </xdr:from>
    <xdr:to>
      <xdr:col>1</xdr:col>
      <xdr:colOff>1100112</xdr:colOff>
      <xdr:row>37</xdr:row>
      <xdr:rowOff>21406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0688" y="4395788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965937</xdr:colOff>
      <xdr:row>52</xdr:row>
      <xdr:rowOff>3572</xdr:rowOff>
    </xdr:from>
    <xdr:to>
      <xdr:col>1</xdr:col>
      <xdr:colOff>1146889</xdr:colOff>
      <xdr:row>53</xdr:row>
      <xdr:rowOff>58318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66037" y="6442472"/>
          <a:ext cx="180952" cy="178571"/>
        </a:xfrm>
        <a:prstGeom prst="rect">
          <a:avLst/>
        </a:prstGeom>
      </xdr:spPr>
    </xdr:pic>
    <xdr:clientData/>
  </xdr:twoCellAnchor>
  <xdr:twoCellAnchor editAs="oneCell">
    <xdr:from>
      <xdr:col>1</xdr:col>
      <xdr:colOff>876299</xdr:colOff>
      <xdr:row>59</xdr:row>
      <xdr:rowOff>45536</xdr:rowOff>
    </xdr:from>
    <xdr:to>
      <xdr:col>1</xdr:col>
      <xdr:colOff>1156554</xdr:colOff>
      <xdr:row>61</xdr:row>
      <xdr:rowOff>93154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76399" y="7351211"/>
          <a:ext cx="280255" cy="2952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1771650</xdr:colOff>
          <xdr:row>0</xdr:row>
          <xdr:rowOff>723900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1771650</xdr:colOff>
          <xdr:row>0</xdr:row>
          <xdr:rowOff>723900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7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1CA45-6E8A-4575-9223-337E5C7F87DB}">
  <sheetPr codeName="Sheet2"/>
  <dimension ref="A1:EX66"/>
  <sheetViews>
    <sheetView showGridLines="0" zoomScale="40" zoomScaleNormal="40" workbookViewId="0">
      <selection activeCell="BO15" sqref="BO15"/>
    </sheetView>
  </sheetViews>
  <sheetFormatPr defaultRowHeight="12.75" x14ac:dyDescent="0.2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 x14ac:dyDescent="0.2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25" x14ac:dyDescent="0.2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 x14ac:dyDescent="0.2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>
        <v>1</v>
      </c>
      <c r="Z3" s="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CM3" t="str">
        <f>CONCATENATE("0x",DEC2HEX(Z3*Z$1+Y3*Y$1+X3*X$1+W3*W$1+V3*V$1+U3*U$1+T3*T$1+S3*S$1+R3*R$1+Q3*Q$1+P3*P$1+O3*O$1+N3*N$1+M3*M$1+L3*L$1+K3*K$1,4))</f>
        <v>0x0003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0xFFFF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0xFF00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 x14ac:dyDescent="0.2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Y4">
        <v>1</v>
      </c>
      <c r="AA4">
        <v>1</v>
      </c>
      <c r="AC4">
        <v>1</v>
      </c>
      <c r="AE4">
        <v>1</v>
      </c>
      <c r="AG4">
        <v>1</v>
      </c>
      <c r="AI4">
        <v>1</v>
      </c>
      <c r="AK4">
        <v>1</v>
      </c>
      <c r="AM4">
        <v>1</v>
      </c>
      <c r="AO4">
        <v>1</v>
      </c>
      <c r="AQ4">
        <v>1</v>
      </c>
      <c r="AS4">
        <v>1</v>
      </c>
      <c r="AU4">
        <v>1</v>
      </c>
      <c r="AW4">
        <v>1</v>
      </c>
      <c r="AX4">
        <v>1</v>
      </c>
      <c r="CM4" t="str">
        <f t="shared" ref="CM4:CM66" si="5">CONCATENATE("0x",DEC2HEX(Z4*Z$1+Y4*Y$1+X4*X$1+W4*W$1+V4*V$1+U4*U$1+T4*T$1+S4*S$1+R4*R$1+Q4*Q$1+P4*P$1+O4*O$1+N4*N$1+M4*M$1+L4*L$1+K4*K$1,4))</f>
        <v>0x0002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66" si="6">CONCATENATE("0x",DEC2HEX(AP4*AP$1+AO4*AO$1+AN4*AN$1+AM4*AM$1+AL4*AL$1+AK4*AK$1+AJ4*AJ$1+AI4*AI$1+AH4*AH$1+AG4*AG$1+AF4*AF$1+AE4*AE$1+AD4*AD$1+AC4*AC$1+AB4*AB$1+AA4*AA$1,4))</f>
        <v>0xAAAA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6" si="7">CONCATENATE("0x",DEC2HEX(BF4*BF$1+BE4*BE$1+BD4*BD$1+BC4*BC$1+BB4*BB$1+BA4*BA$1+AZ4*AZ$1+AY4*AY$1+AX4*AX$1+AW4*AW$1+AV4*AV$1+AU4*AU$1+AT4*AT$1+AS4*AS$1+AR4*AR$1+AQ4*AQ$1,4))</f>
        <v>0xAB00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6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 x14ac:dyDescent="0.2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Y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  <c r="AL5">
        <v>1</v>
      </c>
      <c r="AN5">
        <v>1</v>
      </c>
      <c r="AP5">
        <v>1</v>
      </c>
      <c r="AR5">
        <v>1</v>
      </c>
      <c r="AT5">
        <v>1</v>
      </c>
      <c r="AV5">
        <v>1</v>
      </c>
      <c r="AX5">
        <v>1</v>
      </c>
      <c r="CM5" t="str">
        <f t="shared" si="5"/>
        <v>0x0003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0x5555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0x5500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 x14ac:dyDescent="0.2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Y6">
        <v>1</v>
      </c>
      <c r="AA6">
        <v>1</v>
      </c>
      <c r="AC6">
        <v>1</v>
      </c>
      <c r="AE6">
        <v>1</v>
      </c>
      <c r="AG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S6">
        <v>1</v>
      </c>
      <c r="AU6">
        <v>1</v>
      </c>
      <c r="AW6">
        <v>1</v>
      </c>
      <c r="AX6">
        <v>1</v>
      </c>
      <c r="CM6" t="str">
        <f t="shared" si="5"/>
        <v>0x0002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0xAAFF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0xAB00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 x14ac:dyDescent="0.2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Y7">
        <v>1</v>
      </c>
      <c r="Z7">
        <v>1</v>
      </c>
      <c r="AB7">
        <v>1</v>
      </c>
      <c r="AD7">
        <v>1</v>
      </c>
      <c r="AF7">
        <v>1</v>
      </c>
      <c r="AH7">
        <v>1</v>
      </c>
      <c r="AI7">
        <v>1</v>
      </c>
      <c r="AP7">
        <v>1</v>
      </c>
      <c r="AR7">
        <v>1</v>
      </c>
      <c r="AT7">
        <v>1</v>
      </c>
      <c r="AV7">
        <v>1</v>
      </c>
      <c r="AX7">
        <v>1</v>
      </c>
      <c r="CM7" t="str">
        <f t="shared" si="5"/>
        <v>0x0003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0x5581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0x5500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 x14ac:dyDescent="0.2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Y8">
        <v>1</v>
      </c>
      <c r="AA8">
        <v>1</v>
      </c>
      <c r="AC8">
        <v>1</v>
      </c>
      <c r="AE8">
        <v>1</v>
      </c>
      <c r="AG8">
        <v>1</v>
      </c>
      <c r="AI8">
        <v>1</v>
      </c>
      <c r="AK8">
        <v>1</v>
      </c>
      <c r="AL8">
        <v>1</v>
      </c>
      <c r="AM8">
        <v>1</v>
      </c>
      <c r="AN8">
        <v>1</v>
      </c>
      <c r="AP8">
        <v>1</v>
      </c>
      <c r="AQ8">
        <v>1</v>
      </c>
      <c r="AS8">
        <v>1</v>
      </c>
      <c r="AU8">
        <v>1</v>
      </c>
      <c r="AW8">
        <v>1</v>
      </c>
      <c r="AX8">
        <v>1</v>
      </c>
      <c r="CM8" t="str">
        <f t="shared" si="5"/>
        <v>0x0002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0xAABD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0xAB00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 x14ac:dyDescent="0.2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Y9">
        <v>1</v>
      </c>
      <c r="Z9">
        <v>1</v>
      </c>
      <c r="AB9">
        <v>1</v>
      </c>
      <c r="AD9">
        <v>1</v>
      </c>
      <c r="AF9">
        <v>1</v>
      </c>
      <c r="AH9">
        <v>1</v>
      </c>
      <c r="AI9">
        <v>1</v>
      </c>
      <c r="AK9">
        <v>1</v>
      </c>
      <c r="AL9">
        <v>1</v>
      </c>
      <c r="AM9">
        <v>1</v>
      </c>
      <c r="AN9">
        <v>1</v>
      </c>
      <c r="AP9">
        <v>1</v>
      </c>
      <c r="AR9">
        <v>1</v>
      </c>
      <c r="AT9">
        <v>1</v>
      </c>
      <c r="AV9">
        <v>1</v>
      </c>
      <c r="AX9">
        <v>1</v>
      </c>
      <c r="CM9" t="str">
        <f t="shared" si="5"/>
        <v>0x0003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0x55BD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0x5500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 x14ac:dyDescent="0.2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Y10">
        <v>1</v>
      </c>
      <c r="AA10">
        <v>1</v>
      </c>
      <c r="AC10">
        <v>1</v>
      </c>
      <c r="AE10">
        <v>1</v>
      </c>
      <c r="AG10">
        <v>1</v>
      </c>
      <c r="AI10">
        <v>1</v>
      </c>
      <c r="AK10">
        <v>1</v>
      </c>
      <c r="AL10">
        <v>1</v>
      </c>
      <c r="AM10">
        <v>1</v>
      </c>
      <c r="AN10">
        <v>1</v>
      </c>
      <c r="AP10">
        <v>1</v>
      </c>
      <c r="AQ10">
        <v>1</v>
      </c>
      <c r="AS10">
        <v>1</v>
      </c>
      <c r="AU10">
        <v>1</v>
      </c>
      <c r="AW10">
        <v>1</v>
      </c>
      <c r="AX10">
        <v>1</v>
      </c>
      <c r="CM10" t="str">
        <f t="shared" si="5"/>
        <v>0x0002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0xAABD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0xAB00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 x14ac:dyDescent="0.2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Y11">
        <v>1</v>
      </c>
      <c r="Z11">
        <v>1</v>
      </c>
      <c r="AB11">
        <v>1</v>
      </c>
      <c r="AD11">
        <v>1</v>
      </c>
      <c r="AF11">
        <v>1</v>
      </c>
      <c r="AH11">
        <v>1</v>
      </c>
      <c r="AI11">
        <v>1</v>
      </c>
      <c r="AK11">
        <v>1</v>
      </c>
      <c r="AL11">
        <v>1</v>
      </c>
      <c r="AM11">
        <v>1</v>
      </c>
      <c r="AN11">
        <v>1</v>
      </c>
      <c r="AP11">
        <v>1</v>
      </c>
      <c r="AR11">
        <v>1</v>
      </c>
      <c r="AT11">
        <v>1</v>
      </c>
      <c r="AV11">
        <v>1</v>
      </c>
      <c r="AX11">
        <v>1</v>
      </c>
      <c r="CM11" t="str">
        <f t="shared" si="5"/>
        <v>0x0003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0x55BD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0x5500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 x14ac:dyDescent="0.2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Y12">
        <v>1</v>
      </c>
      <c r="AA12">
        <v>1</v>
      </c>
      <c r="AC12">
        <v>1</v>
      </c>
      <c r="AE12">
        <v>1</v>
      </c>
      <c r="AG12">
        <v>1</v>
      </c>
      <c r="AI12">
        <v>1</v>
      </c>
      <c r="AK12">
        <v>1</v>
      </c>
      <c r="AL12">
        <v>1</v>
      </c>
      <c r="AM12">
        <v>1</v>
      </c>
      <c r="AN12">
        <v>1</v>
      </c>
      <c r="AP12">
        <v>1</v>
      </c>
      <c r="AQ12">
        <v>1</v>
      </c>
      <c r="AS12">
        <v>1</v>
      </c>
      <c r="AU12">
        <v>1</v>
      </c>
      <c r="AW12">
        <v>1</v>
      </c>
      <c r="AX12">
        <v>1</v>
      </c>
      <c r="CM12" t="str">
        <f t="shared" si="5"/>
        <v>0x0002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0xAABD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0xAB00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 x14ac:dyDescent="0.2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Y13">
        <v>1</v>
      </c>
      <c r="Z13">
        <v>1</v>
      </c>
      <c r="AB13">
        <v>1</v>
      </c>
      <c r="AD13">
        <v>1</v>
      </c>
      <c r="AF13">
        <v>1</v>
      </c>
      <c r="AH13">
        <v>1</v>
      </c>
      <c r="AI13">
        <v>1</v>
      </c>
      <c r="AK13">
        <v>1</v>
      </c>
      <c r="AL13">
        <v>1</v>
      </c>
      <c r="AM13">
        <v>1</v>
      </c>
      <c r="AN13">
        <v>1</v>
      </c>
      <c r="AP13">
        <v>1</v>
      </c>
      <c r="AR13">
        <v>1</v>
      </c>
      <c r="AT13">
        <v>1</v>
      </c>
      <c r="AV13">
        <v>1</v>
      </c>
      <c r="AX13">
        <v>1</v>
      </c>
      <c r="CM13" t="str">
        <f t="shared" si="5"/>
        <v>0xFFFB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0x55BD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0x5500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 x14ac:dyDescent="0.2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Y14">
        <v>1</v>
      </c>
      <c r="AA14">
        <v>1</v>
      </c>
      <c r="AC14">
        <v>1</v>
      </c>
      <c r="AE14">
        <v>1</v>
      </c>
      <c r="AG14">
        <v>1</v>
      </c>
      <c r="AI14">
        <v>1</v>
      </c>
      <c r="AK14">
        <v>1</v>
      </c>
      <c r="AL14">
        <v>1</v>
      </c>
      <c r="AM14">
        <v>1</v>
      </c>
      <c r="AN14">
        <v>1</v>
      </c>
      <c r="AP14">
        <v>1</v>
      </c>
      <c r="AQ14">
        <v>1</v>
      </c>
      <c r="AS14">
        <v>1</v>
      </c>
      <c r="AU14">
        <v>1</v>
      </c>
      <c r="AW14">
        <v>1</v>
      </c>
      <c r="AX14">
        <v>1</v>
      </c>
      <c r="CM14" t="str">
        <f t="shared" si="5"/>
        <v>0xFFFA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6"/>
        <v>0xAABD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0xAB00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 x14ac:dyDescent="0.2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K15">
        <v>1</v>
      </c>
      <c r="L15">
        <v>1</v>
      </c>
      <c r="N15">
        <v>1</v>
      </c>
      <c r="O15">
        <v>1</v>
      </c>
      <c r="P15">
        <v>1</v>
      </c>
      <c r="R15">
        <v>1</v>
      </c>
      <c r="S15">
        <v>1</v>
      </c>
      <c r="T15">
        <v>1</v>
      </c>
      <c r="V15">
        <v>1</v>
      </c>
      <c r="W15">
        <v>1</v>
      </c>
      <c r="Y15">
        <v>1</v>
      </c>
      <c r="Z15">
        <v>1</v>
      </c>
      <c r="AB15">
        <v>1</v>
      </c>
      <c r="AD15">
        <v>1</v>
      </c>
      <c r="AF15">
        <v>1</v>
      </c>
      <c r="AH15">
        <v>1</v>
      </c>
      <c r="AI15">
        <v>1</v>
      </c>
      <c r="AK15">
        <v>1</v>
      </c>
      <c r="AL15">
        <v>1</v>
      </c>
      <c r="AM15">
        <v>1</v>
      </c>
      <c r="AN15">
        <v>1</v>
      </c>
      <c r="AP15">
        <v>1</v>
      </c>
      <c r="AR15">
        <v>1</v>
      </c>
      <c r="AT15">
        <v>1</v>
      </c>
      <c r="AV15">
        <v>1</v>
      </c>
      <c r="AX15">
        <v>1</v>
      </c>
      <c r="CM15" t="str">
        <f t="shared" si="5"/>
        <v>0xDDDB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0x55BD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0x5500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 x14ac:dyDescent="0.2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I16">
        <v>1</v>
      </c>
      <c r="AK16">
        <v>1</v>
      </c>
      <c r="AL16">
        <v>1</v>
      </c>
      <c r="AM16">
        <v>1</v>
      </c>
      <c r="AN16">
        <v>1</v>
      </c>
      <c r="AP16">
        <v>1</v>
      </c>
      <c r="AQ16">
        <v>1</v>
      </c>
      <c r="AS16">
        <v>1</v>
      </c>
      <c r="AU16">
        <v>1</v>
      </c>
      <c r="AW16">
        <v>1</v>
      </c>
      <c r="AX16">
        <v>1</v>
      </c>
      <c r="CM16" t="str">
        <f t="shared" si="5"/>
        <v>0xFFFF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0xFEBD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0xAB00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 x14ac:dyDescent="0.2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K17">
        <v>1</v>
      </c>
      <c r="L17">
        <v>1</v>
      </c>
      <c r="M17">
        <v>1</v>
      </c>
      <c r="N17">
        <v>1</v>
      </c>
      <c r="P17">
        <v>1</v>
      </c>
      <c r="Q17">
        <v>1</v>
      </c>
      <c r="R17">
        <v>1</v>
      </c>
      <c r="AF17">
        <v>1</v>
      </c>
      <c r="AH17">
        <v>1</v>
      </c>
      <c r="AI17">
        <v>1</v>
      </c>
      <c r="AK17">
        <v>1</v>
      </c>
      <c r="AL17">
        <v>1</v>
      </c>
      <c r="AM17">
        <v>1</v>
      </c>
      <c r="AN17">
        <v>1</v>
      </c>
      <c r="AP17">
        <v>1</v>
      </c>
      <c r="AR17">
        <v>1</v>
      </c>
      <c r="AT17">
        <v>1</v>
      </c>
      <c r="AV17">
        <v>1</v>
      </c>
      <c r="AX17">
        <v>1</v>
      </c>
      <c r="CM17" t="str">
        <f t="shared" si="5"/>
        <v>0xF700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0x05BD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0x5500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 x14ac:dyDescent="0.2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F18">
        <v>1</v>
      </c>
      <c r="AG18">
        <v>1</v>
      </c>
      <c r="AI18">
        <v>1</v>
      </c>
      <c r="AL18">
        <v>1</v>
      </c>
      <c r="AM18">
        <v>1</v>
      </c>
      <c r="AP18">
        <v>1</v>
      </c>
      <c r="AQ18">
        <v>1</v>
      </c>
      <c r="AS18">
        <v>1</v>
      </c>
      <c r="AU18">
        <v>1</v>
      </c>
      <c r="AW18">
        <v>1</v>
      </c>
      <c r="AX18">
        <v>1</v>
      </c>
      <c r="CM18" t="str">
        <f t="shared" si="5"/>
        <v>0xFF3F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0xE699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0xAB00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 x14ac:dyDescent="0.2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N19">
        <v>1</v>
      </c>
      <c r="O19">
        <v>1</v>
      </c>
      <c r="P19">
        <v>1</v>
      </c>
      <c r="R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F19">
        <v>1</v>
      </c>
      <c r="AH19">
        <v>1</v>
      </c>
      <c r="AI19">
        <v>1</v>
      </c>
      <c r="AJ19">
        <v>1</v>
      </c>
      <c r="AL19">
        <v>1</v>
      </c>
      <c r="AM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CM19" t="str">
        <f t="shared" si="5"/>
        <v>0xDD3F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0xE5DB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0xFF00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 x14ac:dyDescent="0.2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E20">
        <v>1</v>
      </c>
      <c r="AF20">
        <v>1</v>
      </c>
      <c r="AG20">
        <v>1</v>
      </c>
      <c r="AI20">
        <v>1</v>
      </c>
      <c r="AJ20">
        <v>1</v>
      </c>
      <c r="AL20">
        <v>1</v>
      </c>
      <c r="AM20">
        <v>1</v>
      </c>
      <c r="AO20">
        <v>1</v>
      </c>
      <c r="CM20" t="str">
        <f t="shared" si="5"/>
        <v>0xFFBF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0xEEDA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 x14ac:dyDescent="0.2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M21">
        <v>1</v>
      </c>
      <c r="N21">
        <v>1</v>
      </c>
      <c r="P21">
        <v>1</v>
      </c>
      <c r="Q21">
        <v>1</v>
      </c>
      <c r="R21">
        <v>1</v>
      </c>
      <c r="S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E21">
        <v>1</v>
      </c>
      <c r="AF21">
        <v>1</v>
      </c>
      <c r="AH21">
        <v>1</v>
      </c>
      <c r="AJ21">
        <v>1</v>
      </c>
      <c r="AL21">
        <v>1</v>
      </c>
      <c r="AM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CM21" t="str">
        <f t="shared" si="5"/>
        <v>0xF7BF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0xED5B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0xFFFF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0xFE00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 x14ac:dyDescent="0.2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E22">
        <v>1</v>
      </c>
      <c r="AG22">
        <v>1</v>
      </c>
      <c r="AI22">
        <v>1</v>
      </c>
      <c r="AJ22">
        <v>1</v>
      </c>
      <c r="AL22">
        <v>1</v>
      </c>
      <c r="AM22">
        <v>1</v>
      </c>
      <c r="AO22">
        <v>1</v>
      </c>
      <c r="AP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J22">
        <v>1</v>
      </c>
      <c r="BK22">
        <v>1</v>
      </c>
      <c r="BL22">
        <v>1</v>
      </c>
      <c r="BM22">
        <v>1</v>
      </c>
      <c r="CM22" t="str">
        <f t="shared" si="5"/>
        <v>0xFFBF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0xEADB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0x7DF7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0xDE00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 x14ac:dyDescent="0.2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P23">
        <v>1</v>
      </c>
      <c r="R23">
        <v>1</v>
      </c>
      <c r="S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E23">
        <v>1</v>
      </c>
      <c r="AF23">
        <v>1</v>
      </c>
      <c r="AH23">
        <v>1</v>
      </c>
      <c r="AJ23">
        <v>1</v>
      </c>
      <c r="AL23">
        <v>1</v>
      </c>
      <c r="AM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CM23" t="str">
        <f t="shared" si="5"/>
        <v>0xDDBF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6"/>
        <v>0xED5B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0xFFFF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0xFE00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 x14ac:dyDescent="0.2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E24">
        <v>1</v>
      </c>
      <c r="AG24">
        <v>1</v>
      </c>
      <c r="AI24">
        <v>1</v>
      </c>
      <c r="AJ24">
        <v>1</v>
      </c>
      <c r="AL24">
        <v>1</v>
      </c>
      <c r="AM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CM24" t="str">
        <f t="shared" si="5"/>
        <v>0xFFBF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6"/>
        <v>0xEADB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0xFFFF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0xFE00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 x14ac:dyDescent="0.2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M25">
        <v>1</v>
      </c>
      <c r="N25">
        <v>1</v>
      </c>
      <c r="P25">
        <v>1</v>
      </c>
      <c r="Q25">
        <v>1</v>
      </c>
      <c r="R25">
        <v>1</v>
      </c>
      <c r="S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E25">
        <v>1</v>
      </c>
      <c r="AF25">
        <v>1</v>
      </c>
      <c r="AH25">
        <v>1</v>
      </c>
      <c r="AJ25">
        <v>1</v>
      </c>
      <c r="AL25">
        <v>1</v>
      </c>
      <c r="AM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M25">
        <v>1</v>
      </c>
      <c r="CM25" t="str">
        <f t="shared" si="5"/>
        <v>0xF7BF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6"/>
        <v>0xED5B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0xFFFE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0xFA00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 x14ac:dyDescent="0.2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E26">
        <v>1</v>
      </c>
      <c r="AG26">
        <v>1</v>
      </c>
      <c r="AI26">
        <v>1</v>
      </c>
      <c r="AJ26">
        <v>1</v>
      </c>
      <c r="AL26">
        <v>1</v>
      </c>
      <c r="AM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CM26" t="str">
        <f t="shared" si="5"/>
        <v>0xFFBF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6"/>
        <v>0xEADB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0xF003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0xFE00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 x14ac:dyDescent="0.2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P27">
        <v>1</v>
      </c>
      <c r="R27">
        <v>1</v>
      </c>
      <c r="S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E27">
        <v>1</v>
      </c>
      <c r="AF27">
        <v>1</v>
      </c>
      <c r="AH27">
        <v>1</v>
      </c>
      <c r="AI27">
        <v>1</v>
      </c>
      <c r="AL27">
        <v>1</v>
      </c>
      <c r="AM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CM27" t="str">
        <f t="shared" si="5"/>
        <v>0xDD9F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6"/>
        <v>0xCD99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0xF7FB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0xFE00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 x14ac:dyDescent="0.2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D28">
        <v>1</v>
      </c>
      <c r="AE28">
        <v>1</v>
      </c>
      <c r="AG28">
        <v>1</v>
      </c>
      <c r="AI28">
        <v>1</v>
      </c>
      <c r="AK28">
        <v>1</v>
      </c>
      <c r="AL28">
        <v>1</v>
      </c>
      <c r="AM28">
        <v>1</v>
      </c>
      <c r="AN28">
        <v>1</v>
      </c>
      <c r="AP28">
        <v>1</v>
      </c>
      <c r="AR28">
        <v>1</v>
      </c>
      <c r="AS28">
        <v>1</v>
      </c>
      <c r="AT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E28">
        <v>1</v>
      </c>
      <c r="BF28">
        <v>1</v>
      </c>
      <c r="BG28">
        <v>1</v>
      </c>
      <c r="BH28">
        <v>1</v>
      </c>
      <c r="BJ28">
        <v>1</v>
      </c>
      <c r="BK28">
        <v>1</v>
      </c>
      <c r="BL28">
        <v>1</v>
      </c>
      <c r="BM28">
        <v>1</v>
      </c>
      <c r="CM28" t="str">
        <f t="shared" si="5"/>
        <v>0xFFDF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6"/>
        <v>0xDABD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0x77FB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0xDE00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 x14ac:dyDescent="0.2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M29">
        <v>1</v>
      </c>
      <c r="N29">
        <v>1</v>
      </c>
      <c r="P29">
        <v>1</v>
      </c>
      <c r="Q29">
        <v>1</v>
      </c>
      <c r="R29">
        <v>1</v>
      </c>
      <c r="T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D29">
        <v>1</v>
      </c>
      <c r="AF29">
        <v>1</v>
      </c>
      <c r="AH29">
        <v>1</v>
      </c>
      <c r="AI29">
        <v>1</v>
      </c>
      <c r="AK29">
        <v>1</v>
      </c>
      <c r="AL29">
        <v>1</v>
      </c>
      <c r="AM29">
        <v>1</v>
      </c>
      <c r="AN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CM29" t="str">
        <f t="shared" si="5"/>
        <v>0xF75F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6"/>
        <v>0xD5BD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0xF7FB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0xFE00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 x14ac:dyDescent="0.2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D30">
        <v>1</v>
      </c>
      <c r="AE30">
        <v>1</v>
      </c>
      <c r="AG30">
        <v>1</v>
      </c>
      <c r="AI30">
        <v>1</v>
      </c>
      <c r="AK30">
        <v>1</v>
      </c>
      <c r="AL30">
        <v>1</v>
      </c>
      <c r="AM30">
        <v>1</v>
      </c>
      <c r="AN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CM30" t="str">
        <f t="shared" si="5"/>
        <v>0xFFDF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6"/>
        <v>0xDABD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0xF7FB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0xFE00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 x14ac:dyDescent="0.2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O31">
        <v>1</v>
      </c>
      <c r="P31">
        <v>1</v>
      </c>
      <c r="R31">
        <v>1</v>
      </c>
      <c r="S31">
        <v>1</v>
      </c>
      <c r="T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D31">
        <v>1</v>
      </c>
      <c r="AF31">
        <v>1</v>
      </c>
      <c r="AH31">
        <v>1</v>
      </c>
      <c r="AI31">
        <v>1</v>
      </c>
      <c r="AK31">
        <v>1</v>
      </c>
      <c r="AL31">
        <v>1</v>
      </c>
      <c r="AM31">
        <v>1</v>
      </c>
      <c r="AN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E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M31">
        <v>1</v>
      </c>
      <c r="CM31" t="str">
        <f t="shared" si="5"/>
        <v>0xDDDF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6"/>
        <v>0xD5BD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0xF7FA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0xFA00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 x14ac:dyDescent="0.2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D32">
        <v>1</v>
      </c>
      <c r="AE32">
        <v>1</v>
      </c>
      <c r="AG32">
        <v>1</v>
      </c>
      <c r="AI32">
        <v>1</v>
      </c>
      <c r="AK32">
        <v>1</v>
      </c>
      <c r="AL32">
        <v>1</v>
      </c>
      <c r="AM32">
        <v>1</v>
      </c>
      <c r="AN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CM32" t="str">
        <f t="shared" si="5"/>
        <v>0xFFDF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6"/>
        <v>0xDABD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0xF7FB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0xFE00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 x14ac:dyDescent="0.2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M33">
        <v>1</v>
      </c>
      <c r="N33">
        <v>1</v>
      </c>
      <c r="P33">
        <v>1</v>
      </c>
      <c r="Q33">
        <v>1</v>
      </c>
      <c r="R33">
        <v>1</v>
      </c>
      <c r="T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D33">
        <v>1</v>
      </c>
      <c r="AF33">
        <v>1</v>
      </c>
      <c r="AH33">
        <v>1</v>
      </c>
      <c r="AI33">
        <v>1</v>
      </c>
      <c r="AK33">
        <v>1</v>
      </c>
      <c r="AL33">
        <v>1</v>
      </c>
      <c r="AM33">
        <v>1</v>
      </c>
      <c r="AN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CM33" t="str">
        <f t="shared" si="5"/>
        <v>0xF75F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6"/>
        <v>0xD5BD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0xF3F3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0xFE00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 x14ac:dyDescent="0.2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D34">
        <v>1</v>
      </c>
      <c r="AE34">
        <v>1</v>
      </c>
      <c r="AG34">
        <v>1</v>
      </c>
      <c r="AI34">
        <v>1</v>
      </c>
      <c r="AK34">
        <v>1</v>
      </c>
      <c r="AL34">
        <v>1</v>
      </c>
      <c r="AM34">
        <v>1</v>
      </c>
      <c r="AN34">
        <v>1</v>
      </c>
      <c r="AP34">
        <v>1</v>
      </c>
      <c r="AR34">
        <v>1</v>
      </c>
      <c r="AS34">
        <v>1</v>
      </c>
      <c r="AT34">
        <v>1</v>
      </c>
      <c r="AU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J34">
        <v>1</v>
      </c>
      <c r="BK34">
        <v>1</v>
      </c>
      <c r="BL34">
        <v>1</v>
      </c>
      <c r="BM34">
        <v>1</v>
      </c>
      <c r="CM34" t="str">
        <f t="shared" si="5"/>
        <v>0xFFDF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6"/>
        <v>0xDABD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0x7BF7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0xDE00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 x14ac:dyDescent="0.2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O35">
        <v>1</v>
      </c>
      <c r="P35">
        <v>1</v>
      </c>
      <c r="R35">
        <v>1</v>
      </c>
      <c r="S35">
        <v>1</v>
      </c>
      <c r="T35">
        <v>1</v>
      </c>
      <c r="W35">
        <v>1</v>
      </c>
      <c r="X35">
        <v>1</v>
      </c>
      <c r="Y35">
        <v>1</v>
      </c>
      <c r="Z35">
        <v>1</v>
      </c>
      <c r="AA35">
        <v>1</v>
      </c>
      <c r="AD35">
        <v>1</v>
      </c>
      <c r="AF35">
        <v>1</v>
      </c>
      <c r="AH35">
        <v>1</v>
      </c>
      <c r="AI35">
        <v>1</v>
      </c>
      <c r="AK35">
        <v>1</v>
      </c>
      <c r="AL35">
        <v>1</v>
      </c>
      <c r="AM35">
        <v>1</v>
      </c>
      <c r="AN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CM35" t="str">
        <f t="shared" si="5"/>
        <v>0xDDCF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6"/>
        <v>0x95BD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0xFBF7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0xFE00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 x14ac:dyDescent="0.2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I36">
        <v>1</v>
      </c>
      <c r="AK36">
        <v>1</v>
      </c>
      <c r="AL36">
        <v>1</v>
      </c>
      <c r="AM36">
        <v>1</v>
      </c>
      <c r="AN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CM36" t="str">
        <f t="shared" si="5"/>
        <v>0xFFEF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6"/>
        <v>0xBABD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0xFBF7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0xFE00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 x14ac:dyDescent="0.2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M37">
        <v>1</v>
      </c>
      <c r="N37">
        <v>1</v>
      </c>
      <c r="P37">
        <v>1</v>
      </c>
      <c r="Q37">
        <v>1</v>
      </c>
      <c r="R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F37">
        <v>1</v>
      </c>
      <c r="AH37">
        <v>1</v>
      </c>
      <c r="AI37">
        <v>1</v>
      </c>
      <c r="AK37">
        <v>1</v>
      </c>
      <c r="AL37">
        <v>1</v>
      </c>
      <c r="AM37">
        <v>1</v>
      </c>
      <c r="AN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D37">
        <v>1</v>
      </c>
      <c r="BE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M37">
        <v>1</v>
      </c>
      <c r="CM37" t="str">
        <f t="shared" si="5"/>
        <v>0xF76F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6"/>
        <v>0xB5BD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0xFBF6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0xFA00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 x14ac:dyDescent="0.2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E38">
        <v>1</v>
      </c>
      <c r="AG38">
        <v>1</v>
      </c>
      <c r="AI38">
        <v>1</v>
      </c>
      <c r="AK38">
        <v>1</v>
      </c>
      <c r="AL38">
        <v>1</v>
      </c>
      <c r="AM38">
        <v>1</v>
      </c>
      <c r="AN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CM38" t="str">
        <f t="shared" si="5"/>
        <v>0xFFEF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6"/>
        <v>0xAABD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0xFBF7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0xFE00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 x14ac:dyDescent="0.2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O39">
        <v>1</v>
      </c>
      <c r="P39">
        <v>1</v>
      </c>
      <c r="R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F39">
        <v>1</v>
      </c>
      <c r="AH39">
        <v>1</v>
      </c>
      <c r="AI39">
        <v>1</v>
      </c>
      <c r="AK39">
        <v>1</v>
      </c>
      <c r="AL39">
        <v>1</v>
      </c>
      <c r="AM39">
        <v>1</v>
      </c>
      <c r="AN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CM39" t="str">
        <f t="shared" si="5"/>
        <v>0xDDEF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6"/>
        <v>0xB5BD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0xFBF7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0xFE00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 x14ac:dyDescent="0.2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W40">
        <v>1</v>
      </c>
      <c r="X40">
        <v>1</v>
      </c>
      <c r="Y40">
        <v>1</v>
      </c>
      <c r="Z40">
        <v>1</v>
      </c>
      <c r="AA40">
        <v>1</v>
      </c>
      <c r="AC40">
        <v>1</v>
      </c>
      <c r="AE40">
        <v>1</v>
      </c>
      <c r="AG40">
        <v>1</v>
      </c>
      <c r="AI40">
        <v>1</v>
      </c>
      <c r="AK40">
        <v>1</v>
      </c>
      <c r="AL40">
        <v>1</v>
      </c>
      <c r="AM40">
        <v>1</v>
      </c>
      <c r="AN40">
        <v>1</v>
      </c>
      <c r="AP40">
        <v>1</v>
      </c>
      <c r="AR40">
        <v>1</v>
      </c>
      <c r="AS40">
        <v>1</v>
      </c>
      <c r="AT40">
        <v>1</v>
      </c>
      <c r="AU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J40">
        <v>1</v>
      </c>
      <c r="BK40">
        <v>1</v>
      </c>
      <c r="BL40">
        <v>1</v>
      </c>
      <c r="BM40">
        <v>1</v>
      </c>
      <c r="CM40" t="str">
        <f t="shared" si="5"/>
        <v>0xFFEF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6"/>
        <v>0xAABD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0x7BF7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0xDE00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 x14ac:dyDescent="0.2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M41">
        <v>1</v>
      </c>
      <c r="N41">
        <v>1</v>
      </c>
      <c r="P41">
        <v>1</v>
      </c>
      <c r="Q41">
        <v>1</v>
      </c>
      <c r="R41">
        <v>1</v>
      </c>
      <c r="T41">
        <v>1</v>
      </c>
      <c r="U41">
        <v>1</v>
      </c>
      <c r="W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F41">
        <v>1</v>
      </c>
      <c r="AH41">
        <v>1</v>
      </c>
      <c r="AI41">
        <v>1</v>
      </c>
      <c r="AK41">
        <v>1</v>
      </c>
      <c r="AL41">
        <v>1</v>
      </c>
      <c r="AM41">
        <v>1</v>
      </c>
      <c r="AN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CM41" t="str">
        <f t="shared" si="5"/>
        <v>0xF76F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6"/>
        <v>0xB5BD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0xFBF7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0xFE00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 x14ac:dyDescent="0.2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W42">
        <v>1</v>
      </c>
      <c r="X42">
        <v>1</v>
      </c>
      <c r="Y42">
        <v>1</v>
      </c>
      <c r="Z42">
        <v>1</v>
      </c>
      <c r="AA42">
        <v>1</v>
      </c>
      <c r="AC42">
        <v>1</v>
      </c>
      <c r="AE42">
        <v>1</v>
      </c>
      <c r="AG42">
        <v>1</v>
      </c>
      <c r="AI42">
        <v>1</v>
      </c>
      <c r="AK42">
        <v>1</v>
      </c>
      <c r="AL42">
        <v>1</v>
      </c>
      <c r="AM42">
        <v>1</v>
      </c>
      <c r="AN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CM42" t="str">
        <f t="shared" si="5"/>
        <v>0xFFEF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6"/>
        <v>0xAABD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0xFBF7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0xFE00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 x14ac:dyDescent="0.2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O43">
        <v>1</v>
      </c>
      <c r="P43">
        <v>1</v>
      </c>
      <c r="R43">
        <v>1</v>
      </c>
      <c r="S43">
        <v>1</v>
      </c>
      <c r="T43">
        <v>1</v>
      </c>
      <c r="U43">
        <v>1</v>
      </c>
      <c r="W43">
        <v>1</v>
      </c>
      <c r="X43">
        <v>1</v>
      </c>
      <c r="Y43">
        <v>1</v>
      </c>
      <c r="Z43">
        <v>1</v>
      </c>
      <c r="AA43">
        <v>1</v>
      </c>
      <c r="AC43">
        <v>1</v>
      </c>
      <c r="AD43">
        <v>1</v>
      </c>
      <c r="AF43">
        <v>1</v>
      </c>
      <c r="AH43">
        <v>1</v>
      </c>
      <c r="AI43">
        <v>1</v>
      </c>
      <c r="AK43">
        <v>1</v>
      </c>
      <c r="AL43">
        <v>1</v>
      </c>
      <c r="AM43">
        <v>1</v>
      </c>
      <c r="AN43">
        <v>1</v>
      </c>
      <c r="AP43">
        <v>1</v>
      </c>
      <c r="AQ43">
        <v>1</v>
      </c>
      <c r="AR43">
        <v>1</v>
      </c>
      <c r="AS43">
        <v>1</v>
      </c>
      <c r="AU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D43">
        <v>1</v>
      </c>
      <c r="BE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M43">
        <v>1</v>
      </c>
      <c r="CM43" t="str">
        <f t="shared" si="5"/>
        <v>0xDDEF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6"/>
        <v>0xB5BD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0xEBF6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0xFA00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 x14ac:dyDescent="0.2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W44">
        <v>1</v>
      </c>
      <c r="X44">
        <v>1</v>
      </c>
      <c r="Y44">
        <v>1</v>
      </c>
      <c r="Z44">
        <v>1</v>
      </c>
      <c r="AA44">
        <v>1</v>
      </c>
      <c r="AD44">
        <v>1</v>
      </c>
      <c r="AE44">
        <v>1</v>
      </c>
      <c r="AG44">
        <v>1</v>
      </c>
      <c r="AI44">
        <v>1</v>
      </c>
      <c r="AK44">
        <v>1</v>
      </c>
      <c r="AL44">
        <v>1</v>
      </c>
      <c r="AM44">
        <v>1</v>
      </c>
      <c r="AN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X44">
        <v>1</v>
      </c>
      <c r="AY44">
        <v>1</v>
      </c>
      <c r="AZ44">
        <v>1</v>
      </c>
      <c r="BA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CM44" t="str">
        <f t="shared" si="5"/>
        <v>0xFFCF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6"/>
        <v>0x9ABD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0xF9E7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0xFE00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 x14ac:dyDescent="0.2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M45">
        <v>1</v>
      </c>
      <c r="N45">
        <v>1</v>
      </c>
      <c r="P45">
        <v>1</v>
      </c>
      <c r="Q45">
        <v>1</v>
      </c>
      <c r="R45">
        <v>1</v>
      </c>
      <c r="T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F45">
        <v>1</v>
      </c>
      <c r="AH45">
        <v>1</v>
      </c>
      <c r="AI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X45">
        <v>1</v>
      </c>
      <c r="AY45">
        <v>1</v>
      </c>
      <c r="AZ45">
        <v>1</v>
      </c>
      <c r="BA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CM45" t="str">
        <f t="shared" si="5"/>
        <v>0xF75F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6"/>
        <v>0xD581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0xFDEF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0xFE00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 x14ac:dyDescent="0.2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D46">
        <v>1</v>
      </c>
      <c r="AE46">
        <v>1</v>
      </c>
      <c r="AG46">
        <v>1</v>
      </c>
      <c r="AI46">
        <v>1</v>
      </c>
      <c r="AJ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X46">
        <v>1</v>
      </c>
      <c r="AY46">
        <v>1</v>
      </c>
      <c r="AZ46">
        <v>1</v>
      </c>
      <c r="BA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J46">
        <v>1</v>
      </c>
      <c r="BK46">
        <v>1</v>
      </c>
      <c r="BL46">
        <v>1</v>
      </c>
      <c r="BM46">
        <v>1</v>
      </c>
      <c r="CM46" t="str">
        <f t="shared" si="5"/>
        <v>0xFFDF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6"/>
        <v>0xDADF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0x7DEF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0xDE00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 x14ac:dyDescent="0.2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O47">
        <v>1</v>
      </c>
      <c r="P47">
        <v>1</v>
      </c>
      <c r="R47">
        <v>1</v>
      </c>
      <c r="S47">
        <v>1</v>
      </c>
      <c r="T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X47">
        <v>1</v>
      </c>
      <c r="AY47">
        <v>1</v>
      </c>
      <c r="AZ47">
        <v>1</v>
      </c>
      <c r="BA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CM47" t="str">
        <f t="shared" si="5"/>
        <v>0xDDDF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6"/>
        <v>0xDFDF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0xFDEF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0xFE00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 x14ac:dyDescent="0.2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W48">
        <v>1</v>
      </c>
      <c r="X48">
        <v>1</v>
      </c>
      <c r="Y48">
        <v>1</v>
      </c>
      <c r="Z48">
        <v>1</v>
      </c>
      <c r="AA48">
        <v>1</v>
      </c>
      <c r="AD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X48">
        <v>1</v>
      </c>
      <c r="AY48">
        <v>1</v>
      </c>
      <c r="AZ48">
        <v>1</v>
      </c>
      <c r="BA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CM48" t="str">
        <f t="shared" si="5"/>
        <v>0xFFCF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6"/>
        <v>0x901F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0xFDEF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0xFE00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 x14ac:dyDescent="0.2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M49">
        <v>1</v>
      </c>
      <c r="N49">
        <v>1</v>
      </c>
      <c r="P49">
        <v>1</v>
      </c>
      <c r="Q49">
        <v>1</v>
      </c>
      <c r="R49">
        <v>1</v>
      </c>
      <c r="T49">
        <v>1</v>
      </c>
      <c r="U49">
        <v>1</v>
      </c>
      <c r="W49">
        <v>1</v>
      </c>
      <c r="X49">
        <v>1</v>
      </c>
      <c r="Y49">
        <v>1</v>
      </c>
      <c r="Z49">
        <v>1</v>
      </c>
      <c r="AA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L49">
        <v>1</v>
      </c>
      <c r="AM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U49">
        <v>1</v>
      </c>
      <c r="AV49">
        <v>1</v>
      </c>
      <c r="AX49">
        <v>1</v>
      </c>
      <c r="AY49">
        <v>1</v>
      </c>
      <c r="AZ49">
        <v>1</v>
      </c>
      <c r="BA49">
        <v>1</v>
      </c>
      <c r="BC49">
        <v>1</v>
      </c>
      <c r="BD49">
        <v>1</v>
      </c>
      <c r="BE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M49">
        <v>1</v>
      </c>
      <c r="CM49" t="str">
        <f t="shared" si="5"/>
        <v>0xF76F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6"/>
        <v>0xBFDB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0xEDEE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0xFA00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 x14ac:dyDescent="0.2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W50">
        <v>1</v>
      </c>
      <c r="X50">
        <v>1</v>
      </c>
      <c r="Y50">
        <v>1</v>
      </c>
      <c r="Z50">
        <v>1</v>
      </c>
      <c r="AA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X50">
        <v>1</v>
      </c>
      <c r="AY50">
        <v>1</v>
      </c>
      <c r="AZ50">
        <v>1</v>
      </c>
      <c r="BA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CM50" t="str">
        <f t="shared" si="5"/>
        <v>0xFFEF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6"/>
        <v>0xBFDF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0xFDEF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0xFE00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 x14ac:dyDescent="0.2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N51">
        <v>1</v>
      </c>
      <c r="O51">
        <v>1</v>
      </c>
      <c r="P51">
        <v>1</v>
      </c>
      <c r="R51">
        <v>1</v>
      </c>
      <c r="S51">
        <v>1</v>
      </c>
      <c r="T51">
        <v>1</v>
      </c>
      <c r="U51">
        <v>1</v>
      </c>
      <c r="AC51">
        <v>1</v>
      </c>
      <c r="AD51">
        <v>1</v>
      </c>
      <c r="AE51">
        <v>1</v>
      </c>
      <c r="AF51">
        <v>1</v>
      </c>
      <c r="AH51">
        <v>1</v>
      </c>
      <c r="AI51">
        <v>1</v>
      </c>
      <c r="AJ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X51">
        <v>1</v>
      </c>
      <c r="AY51">
        <v>1</v>
      </c>
      <c r="AZ51">
        <v>1</v>
      </c>
      <c r="BA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CM51" t="str">
        <f t="shared" si="5"/>
        <v>0xDDE0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6"/>
        <v>0x3DDF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0xFDEF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0xFE00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 x14ac:dyDescent="0.2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X52">
        <v>1</v>
      </c>
      <c r="AY52">
        <v>1</v>
      </c>
      <c r="AZ52">
        <v>1</v>
      </c>
      <c r="BA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J52">
        <v>1</v>
      </c>
      <c r="BK52">
        <v>1</v>
      </c>
      <c r="BL52">
        <v>1</v>
      </c>
      <c r="BM52">
        <v>1</v>
      </c>
      <c r="CM52" t="str">
        <f t="shared" si="5"/>
        <v>0xFFFF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6"/>
        <v>0xFFDF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0x7DEF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0xDE00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x14ac:dyDescent="0.2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K53">
        <v>1</v>
      </c>
      <c r="L53">
        <v>1</v>
      </c>
      <c r="M53">
        <v>1</v>
      </c>
      <c r="N53">
        <v>1</v>
      </c>
      <c r="P53">
        <v>1</v>
      </c>
      <c r="Q53">
        <v>1</v>
      </c>
      <c r="R53">
        <v>1</v>
      </c>
      <c r="T53">
        <v>1</v>
      </c>
      <c r="U53">
        <v>1</v>
      </c>
      <c r="V53">
        <v>1</v>
      </c>
      <c r="X53">
        <v>1</v>
      </c>
      <c r="Y53">
        <v>1</v>
      </c>
      <c r="Z53">
        <v>1</v>
      </c>
      <c r="AB53">
        <v>1</v>
      </c>
      <c r="AC53">
        <v>1</v>
      </c>
      <c r="AD53">
        <v>1</v>
      </c>
      <c r="AF53">
        <v>1</v>
      </c>
      <c r="AG53">
        <v>1</v>
      </c>
      <c r="AH53">
        <v>1</v>
      </c>
      <c r="AJ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X53">
        <v>1</v>
      </c>
      <c r="AY53">
        <v>1</v>
      </c>
      <c r="AZ53">
        <v>1</v>
      </c>
      <c r="BA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CM53" t="str">
        <f t="shared" si="5"/>
        <v>0xF777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6"/>
        <v>0x775F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0xFDEF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0xFE00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x14ac:dyDescent="0.2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X54">
        <v>1</v>
      </c>
      <c r="AY54">
        <v>1</v>
      </c>
      <c r="AZ54">
        <v>1</v>
      </c>
      <c r="BA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CM54" t="str">
        <f t="shared" si="5"/>
        <v>0xFFFF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6"/>
        <v>0xFFDF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0xFDEF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0xFE00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x14ac:dyDescent="0.2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K55">
        <v>1</v>
      </c>
      <c r="L55">
        <v>1</v>
      </c>
      <c r="N55">
        <v>1</v>
      </c>
      <c r="O55">
        <v>1</v>
      </c>
      <c r="P55">
        <v>1</v>
      </c>
      <c r="R55">
        <v>1</v>
      </c>
      <c r="S55">
        <v>1</v>
      </c>
      <c r="T55">
        <v>1</v>
      </c>
      <c r="V55">
        <v>1</v>
      </c>
      <c r="W55">
        <v>1</v>
      </c>
      <c r="X55">
        <v>1</v>
      </c>
      <c r="Z55">
        <v>1</v>
      </c>
      <c r="AA55">
        <v>1</v>
      </c>
      <c r="AB55">
        <v>1</v>
      </c>
      <c r="AD55">
        <v>1</v>
      </c>
      <c r="AE55">
        <v>1</v>
      </c>
      <c r="AF55">
        <v>1</v>
      </c>
      <c r="AH55">
        <v>1</v>
      </c>
      <c r="AI55">
        <v>1</v>
      </c>
      <c r="AJ55">
        <v>1</v>
      </c>
      <c r="AL55">
        <v>1</v>
      </c>
      <c r="AM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U55">
        <v>1</v>
      </c>
      <c r="AV55">
        <v>1</v>
      </c>
      <c r="AX55">
        <v>1</v>
      </c>
      <c r="AY55">
        <v>1</v>
      </c>
      <c r="AZ55">
        <v>1</v>
      </c>
      <c r="BA55">
        <v>1</v>
      </c>
      <c r="BC55">
        <v>1</v>
      </c>
      <c r="BD55">
        <v>1</v>
      </c>
      <c r="BE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M55">
        <v>1</v>
      </c>
      <c r="CM55" t="str">
        <f t="shared" si="5"/>
        <v>0xDDDD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6"/>
        <v>0xDDDB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0xEDEE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0xFA00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x14ac:dyDescent="0.2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X56">
        <v>1</v>
      </c>
      <c r="AY56">
        <v>1</v>
      </c>
      <c r="AZ56">
        <v>1</v>
      </c>
      <c r="BA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CM56" t="str">
        <f t="shared" si="5"/>
        <v>0xFFFF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6"/>
        <v>0xFFDF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0xFDEF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0xFE00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x14ac:dyDescent="0.2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K57">
        <v>1</v>
      </c>
      <c r="L57">
        <v>1</v>
      </c>
      <c r="M57">
        <v>1</v>
      </c>
      <c r="N57">
        <v>1</v>
      </c>
      <c r="P57">
        <v>1</v>
      </c>
      <c r="Q57">
        <v>1</v>
      </c>
      <c r="R57">
        <v>1</v>
      </c>
      <c r="T57">
        <v>1</v>
      </c>
      <c r="U57">
        <v>1</v>
      </c>
      <c r="V57">
        <v>1</v>
      </c>
      <c r="X57">
        <v>1</v>
      </c>
      <c r="Y57">
        <v>1</v>
      </c>
      <c r="Z57">
        <v>1</v>
      </c>
      <c r="AB57">
        <v>1</v>
      </c>
      <c r="AC57">
        <v>1</v>
      </c>
      <c r="AD57">
        <v>1</v>
      </c>
      <c r="AF57">
        <v>1</v>
      </c>
      <c r="AG57">
        <v>1</v>
      </c>
      <c r="AH57">
        <v>1</v>
      </c>
      <c r="AJ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X57">
        <v>1</v>
      </c>
      <c r="AY57">
        <v>1</v>
      </c>
      <c r="AZ57">
        <v>1</v>
      </c>
      <c r="BA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CM57" t="str">
        <f t="shared" si="5"/>
        <v>0xF777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6"/>
        <v>0x775F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0xFDEF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0xFE00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x14ac:dyDescent="0.2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X58">
        <v>1</v>
      </c>
      <c r="AY58">
        <v>1</v>
      </c>
      <c r="AZ58">
        <v>1</v>
      </c>
      <c r="BA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J58">
        <v>1</v>
      </c>
      <c r="BK58">
        <v>1</v>
      </c>
      <c r="BL58">
        <v>1</v>
      </c>
      <c r="BM58">
        <v>1</v>
      </c>
      <c r="CM58" t="str">
        <f t="shared" si="5"/>
        <v>0xFFFF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6"/>
        <v>0xFFDF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0x7DEF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0xDE00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x14ac:dyDescent="0.2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X59">
        <v>1</v>
      </c>
      <c r="AY59">
        <v>1</v>
      </c>
      <c r="AZ59">
        <v>1</v>
      </c>
      <c r="BA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CM59" t="str">
        <f t="shared" si="5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6"/>
        <v>0x001F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0xFDEF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0xFE00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x14ac:dyDescent="0.2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X60">
        <v>1</v>
      </c>
      <c r="AY60">
        <v>1</v>
      </c>
      <c r="AZ60">
        <v>1</v>
      </c>
      <c r="BA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CM60" t="str">
        <f t="shared" si="5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6"/>
        <v>0x001F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0xFDEF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0xFE00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x14ac:dyDescent="0.2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AL61">
        <v>1</v>
      </c>
      <c r="AM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U61">
        <v>1</v>
      </c>
      <c r="AV61">
        <v>1</v>
      </c>
      <c r="BC61">
        <v>1</v>
      </c>
      <c r="BD61">
        <v>1</v>
      </c>
      <c r="BE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M61">
        <v>1</v>
      </c>
      <c r="CM61" t="str">
        <f t="shared" si="5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6"/>
        <v>0x001B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0xEC0E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0xFA00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x14ac:dyDescent="0.2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CM62" t="str">
        <f t="shared" si="5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6"/>
        <v>0x001F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0xFFFF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0xFE00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 x14ac:dyDescent="0.2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CM63" t="str">
        <f t="shared" si="5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6"/>
        <v>0x001F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7"/>
        <v>0xFFFF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8"/>
        <v>0xFE00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 x14ac:dyDescent="0.2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AL64">
        <v>1</v>
      </c>
      <c r="AM64">
        <v>1</v>
      </c>
      <c r="AN64">
        <v>1</v>
      </c>
      <c r="AO64">
        <v>1</v>
      </c>
      <c r="AP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J64">
        <v>1</v>
      </c>
      <c r="BK64">
        <v>1</v>
      </c>
      <c r="BL64">
        <v>1</v>
      </c>
      <c r="BM64">
        <v>1</v>
      </c>
      <c r="CM64" t="str">
        <f t="shared" si="5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6"/>
        <v>0x001F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7"/>
        <v>0x7DF7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8"/>
        <v>0xDE00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 x14ac:dyDescent="0.2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CM65" t="str">
        <f t="shared" si="5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6"/>
        <v>0x001F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7"/>
        <v>0xFFFF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8"/>
        <v>0xFE00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 x14ac:dyDescent="0.2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CM66" t="str">
        <f t="shared" si="5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6"/>
        <v>0x001F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7"/>
        <v>0xFFFF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8"/>
        <v>0xFE00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N63:BV66 K3:BV28 BE59:BV62 BC59:BD66 K65:BB66 AW59:BB64 K47:AM64 AW41:BV58 K29:AP46 AV29:BV40">
    <cfRule type="expression" dxfId="302" priority="19">
      <formula>K3=""</formula>
    </cfRule>
    <cfRule type="expression" dxfId="301" priority="20">
      <formula>K3&lt;&gt;""</formula>
    </cfRule>
  </conditionalFormatting>
  <conditionalFormatting sqref="BE63:BM68">
    <cfRule type="expression" dxfId="300" priority="17">
      <formula>BE63=""</formula>
    </cfRule>
    <cfRule type="expression" dxfId="299" priority="18">
      <formula>BE63&lt;&gt;""</formula>
    </cfRule>
  </conditionalFormatting>
  <conditionalFormatting sqref="AN59:AV64 AN56:AN58">
    <cfRule type="expression" dxfId="298" priority="15">
      <formula>AN56=""</formula>
    </cfRule>
    <cfRule type="expression" dxfId="297" priority="16">
      <formula>AN56&lt;&gt;""</formula>
    </cfRule>
  </conditionalFormatting>
  <conditionalFormatting sqref="AN53:AV58 AQ59:AT61 AN50:AN52">
    <cfRule type="expression" dxfId="296" priority="13">
      <formula>AN50=""</formula>
    </cfRule>
    <cfRule type="expression" dxfId="295" priority="14">
      <formula>AN50&lt;&gt;""</formula>
    </cfRule>
  </conditionalFormatting>
  <conditionalFormatting sqref="AQ47:AT55 AN47:AP52 AU47:AV52">
    <cfRule type="expression" dxfId="294" priority="11">
      <formula>AN47=""</formula>
    </cfRule>
    <cfRule type="expression" dxfId="293" priority="12">
      <formula>AN47&lt;&gt;""</formula>
    </cfRule>
  </conditionalFormatting>
  <conditionalFormatting sqref="AQ41:AV46 AQ47:AT49">
    <cfRule type="expression" dxfId="292" priority="9">
      <formula>AQ41=""</formula>
    </cfRule>
    <cfRule type="expression" dxfId="291" priority="10">
      <formula>AQ41&lt;&gt;""</formula>
    </cfRule>
  </conditionalFormatting>
  <conditionalFormatting sqref="AQ35:AU40 AQ41:AT43">
    <cfRule type="expression" dxfId="290" priority="7">
      <formula>AQ35=""</formula>
    </cfRule>
    <cfRule type="expression" dxfId="289" priority="8">
      <formula>AQ35&lt;&gt;""</formula>
    </cfRule>
  </conditionalFormatting>
  <conditionalFormatting sqref="AQ29:AU34 AQ35:AT37">
    <cfRule type="expression" dxfId="288" priority="5">
      <formula>AQ29=""</formula>
    </cfRule>
    <cfRule type="expression" dxfId="287" priority="6">
      <formula>AQ29&lt;&gt;""</formula>
    </cfRule>
  </conditionalFormatting>
  <conditionalFormatting sqref="CD63:CL66 BW3:CL62">
    <cfRule type="expression" dxfId="286" priority="3">
      <formula>BW3=""</formula>
    </cfRule>
    <cfRule type="expression" dxfId="285" priority="4">
      <formula>BW3&lt;&gt;""</formula>
    </cfRule>
  </conditionalFormatting>
  <conditionalFormatting sqref="BW63:CC68">
    <cfRule type="expression" dxfId="284" priority="1">
      <formula>BW63=""</formula>
    </cfRule>
    <cfRule type="expression" dxfId="283" priority="2">
      <formula>BW63&lt;&gt;""</formula>
    </cfRule>
  </conditionalFormatting>
  <pageMargins left="0.7" right="0.7" top="0.75" bottom="0.75" header="0.3" footer="0.3"/>
  <pageSetup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000EA-7B8D-481F-9A96-7AFA271D075A}">
  <sheetPr codeName="Sheet11"/>
  <dimension ref="A1:P513"/>
  <sheetViews>
    <sheetView zoomScale="84" zoomScaleNormal="84" workbookViewId="0">
      <pane xSplit="2" ySplit="9" topLeftCell="C283" activePane="bottomRight" state="frozen"/>
      <selection pane="topRight" activeCell="B1" sqref="B1"/>
      <selection pane="bottomLeft" activeCell="A10" sqref="A10"/>
      <selection pane="bottomRight" activeCell="J314" sqref="J314:J320"/>
    </sheetView>
  </sheetViews>
  <sheetFormatPr defaultRowHeight="9.75" customHeight="1" x14ac:dyDescent="0.2"/>
  <cols>
    <col min="1" max="1" width="10.5" bestFit="1" customWidth="1"/>
    <col min="2" max="2" width="16.5" style="28" bestFit="1" customWidth="1"/>
    <col min="3" max="7" width="2.125" customWidth="1"/>
    <col min="10" max="10" width="41.75" style="24" customWidth="1"/>
    <col min="16" max="16" width="9" style="29"/>
  </cols>
  <sheetData>
    <row r="1" spans="1:16" ht="9.75" customHeight="1" x14ac:dyDescent="0.2">
      <c r="B1" s="28">
        <v>80</v>
      </c>
      <c r="C1">
        <v>128</v>
      </c>
      <c r="D1">
        <v>64</v>
      </c>
      <c r="E1">
        <v>32</v>
      </c>
      <c r="F1">
        <v>16</v>
      </c>
      <c r="G1">
        <v>8</v>
      </c>
      <c r="P1" s="25"/>
    </row>
    <row r="2" spans="1:16" ht="9.75" customHeight="1" x14ac:dyDescent="0.2">
      <c r="A2" s="32">
        <v>32</v>
      </c>
      <c r="B2" s="34" t="s">
        <v>215</v>
      </c>
      <c r="H2">
        <f t="shared" ref="H2:H8" si="0">C2*C$1+D2*D$1+E2*E$1+F2*F$1+G2*G$1</f>
        <v>0</v>
      </c>
      <c r="I2" t="str">
        <f t="shared" ref="I2:I128" si="1">DEC2HEX(H2,2)</f>
        <v>00</v>
      </c>
      <c r="J2" s="35" t="str">
        <f>CONCATENATE("0x",I2,",0x",I3,",0x",I4,",0x",I5,",0x",I6,",0x",I7,",0x",I8,", //",B2)</f>
        <v>0x00,0x00,0x00,0x00,0x00,0x00,0x00, //sp</v>
      </c>
      <c r="P2" s="25"/>
    </row>
    <row r="3" spans="1:16" ht="9.75" customHeight="1" x14ac:dyDescent="0.2">
      <c r="A3" s="32"/>
      <c r="B3" s="34"/>
      <c r="H3">
        <f t="shared" si="0"/>
        <v>0</v>
      </c>
      <c r="I3" t="str">
        <f t="shared" si="1"/>
        <v>00</v>
      </c>
      <c r="J3" s="35"/>
      <c r="P3" s="25"/>
    </row>
    <row r="4" spans="1:16" ht="9.75" customHeight="1" x14ac:dyDescent="0.2">
      <c r="A4" s="32"/>
      <c r="B4" s="34"/>
      <c r="H4">
        <f t="shared" si="0"/>
        <v>0</v>
      </c>
      <c r="I4" t="str">
        <f t="shared" si="1"/>
        <v>00</v>
      </c>
      <c r="J4" s="35"/>
      <c r="P4" s="25"/>
    </row>
    <row r="5" spans="1:16" ht="9.75" customHeight="1" x14ac:dyDescent="0.2">
      <c r="A5" s="32"/>
      <c r="B5" s="34"/>
      <c r="H5">
        <f t="shared" si="0"/>
        <v>0</v>
      </c>
      <c r="I5" t="str">
        <f t="shared" si="1"/>
        <v>00</v>
      </c>
      <c r="J5" s="35"/>
      <c r="P5" s="25"/>
    </row>
    <row r="6" spans="1:16" ht="9.75" customHeight="1" x14ac:dyDescent="0.2">
      <c r="A6" s="32"/>
      <c r="B6" s="34"/>
      <c r="H6">
        <f t="shared" si="0"/>
        <v>0</v>
      </c>
      <c r="I6" t="str">
        <f t="shared" si="1"/>
        <v>00</v>
      </c>
      <c r="J6" s="35"/>
      <c r="P6" s="25"/>
    </row>
    <row r="7" spans="1:16" ht="9.75" customHeight="1" x14ac:dyDescent="0.2">
      <c r="A7" s="32"/>
      <c r="B7" s="34"/>
      <c r="H7">
        <f t="shared" si="0"/>
        <v>0</v>
      </c>
      <c r="I7" t="str">
        <f t="shared" si="1"/>
        <v>00</v>
      </c>
      <c r="J7" s="35"/>
      <c r="P7" s="25"/>
    </row>
    <row r="8" spans="1:16" ht="9.75" customHeight="1" x14ac:dyDescent="0.2">
      <c r="A8" s="32"/>
      <c r="B8" s="34"/>
      <c r="H8">
        <f t="shared" si="0"/>
        <v>0</v>
      </c>
      <c r="I8" t="str">
        <f t="shared" si="1"/>
        <v>00</v>
      </c>
      <c r="J8" s="35"/>
      <c r="P8" s="25"/>
    </row>
    <row r="9" spans="1:16" ht="9.75" customHeight="1" x14ac:dyDescent="0.2">
      <c r="A9" s="32"/>
      <c r="B9" s="27"/>
      <c r="J9" s="25"/>
      <c r="P9" s="25"/>
    </row>
    <row r="10" spans="1:16" ht="9.75" customHeight="1" x14ac:dyDescent="0.2">
      <c r="A10" s="32">
        <v>33</v>
      </c>
      <c r="B10" s="34" t="s">
        <v>101</v>
      </c>
      <c r="E10">
        <v>1</v>
      </c>
      <c r="H10">
        <f t="shared" ref="H10:H16" si="2">C10*C$1+D10*D$1+E10*E$1+F10*F$1+G10*G$1</f>
        <v>32</v>
      </c>
      <c r="I10" t="str">
        <f t="shared" si="1"/>
        <v>20</v>
      </c>
      <c r="J10" s="35" t="str">
        <f>CONCATENATE("0x",I10,",0x",I11,",0x",I12,",0x",I13,",0x",I14,",0x",I15,",0x",I16,", //",B10)</f>
        <v>0x20,0x20,0x20,0x20,0x20,0x00,0x20, //!</v>
      </c>
      <c r="P10" s="25"/>
    </row>
    <row r="11" spans="1:16" ht="9.75" customHeight="1" x14ac:dyDescent="0.2">
      <c r="A11" s="32"/>
      <c r="B11" s="34"/>
      <c r="E11">
        <v>1</v>
      </c>
      <c r="H11">
        <f t="shared" si="2"/>
        <v>32</v>
      </c>
      <c r="I11" t="str">
        <f t="shared" si="1"/>
        <v>20</v>
      </c>
      <c r="J11" s="35"/>
      <c r="P11" s="25"/>
    </row>
    <row r="12" spans="1:16" ht="9.75" customHeight="1" x14ac:dyDescent="0.2">
      <c r="A12" s="32"/>
      <c r="B12" s="34"/>
      <c r="E12">
        <v>1</v>
      </c>
      <c r="H12">
        <f t="shared" si="2"/>
        <v>32</v>
      </c>
      <c r="I12" t="str">
        <f t="shared" si="1"/>
        <v>20</v>
      </c>
      <c r="J12" s="35"/>
      <c r="P12" s="25"/>
    </row>
    <row r="13" spans="1:16" ht="9.75" customHeight="1" x14ac:dyDescent="0.2">
      <c r="A13" s="32"/>
      <c r="B13" s="34"/>
      <c r="E13">
        <v>1</v>
      </c>
      <c r="H13">
        <f t="shared" si="2"/>
        <v>32</v>
      </c>
      <c r="I13" t="str">
        <f t="shared" si="1"/>
        <v>20</v>
      </c>
      <c r="J13" s="35"/>
      <c r="P13" s="25"/>
    </row>
    <row r="14" spans="1:16" ht="9.75" customHeight="1" x14ac:dyDescent="0.2">
      <c r="A14" s="32"/>
      <c r="B14" s="34"/>
      <c r="E14">
        <v>1</v>
      </c>
      <c r="H14">
        <f t="shared" si="2"/>
        <v>32</v>
      </c>
      <c r="I14" t="str">
        <f t="shared" si="1"/>
        <v>20</v>
      </c>
      <c r="J14" s="35"/>
      <c r="P14" s="25"/>
    </row>
    <row r="15" spans="1:16" ht="9.75" customHeight="1" x14ac:dyDescent="0.2">
      <c r="A15" s="32"/>
      <c r="B15" s="34"/>
      <c r="H15">
        <f t="shared" si="2"/>
        <v>0</v>
      </c>
      <c r="I15" t="str">
        <f t="shared" si="1"/>
        <v>00</v>
      </c>
      <c r="J15" s="35"/>
      <c r="P15" s="25"/>
    </row>
    <row r="16" spans="1:16" ht="9.75" customHeight="1" x14ac:dyDescent="0.2">
      <c r="A16" s="32"/>
      <c r="B16" s="34"/>
      <c r="E16">
        <v>1</v>
      </c>
      <c r="H16">
        <f t="shared" si="2"/>
        <v>32</v>
      </c>
      <c r="I16" t="str">
        <f t="shared" si="1"/>
        <v>20</v>
      </c>
      <c r="J16" s="35"/>
      <c r="P16" s="25"/>
    </row>
    <row r="17" spans="1:16" ht="9.75" customHeight="1" x14ac:dyDescent="0.2">
      <c r="A17" s="32"/>
      <c r="B17" s="27"/>
      <c r="J17" s="25"/>
      <c r="P17" s="25"/>
    </row>
    <row r="18" spans="1:16" ht="9.75" customHeight="1" x14ac:dyDescent="0.2">
      <c r="A18" s="32">
        <v>34</v>
      </c>
      <c r="B18" s="34" t="s">
        <v>102</v>
      </c>
      <c r="D18">
        <v>1</v>
      </c>
      <c r="F18">
        <v>1</v>
      </c>
      <c r="H18">
        <f t="shared" ref="H18:H24" si="3">C18*C$1+D18*D$1+E18*E$1+F18*F$1+G18*G$1</f>
        <v>80</v>
      </c>
      <c r="I18" t="str">
        <f t="shared" si="1"/>
        <v>50</v>
      </c>
      <c r="J18" s="35" t="str">
        <f>CONCATENATE("0x",I18,",0x",I19,",0x",I20,",0x",I21,",0x",I22,",0x",I23,",0x",I24,", //",B18)</f>
        <v>0x50,0x50,0x50,0x00,0x00,0x00,0x00, //"</v>
      </c>
      <c r="P18" s="25"/>
    </row>
    <row r="19" spans="1:16" ht="9.75" customHeight="1" x14ac:dyDescent="0.2">
      <c r="A19" s="32"/>
      <c r="B19" s="34"/>
      <c r="D19">
        <v>1</v>
      </c>
      <c r="F19">
        <v>1</v>
      </c>
      <c r="H19">
        <f t="shared" si="3"/>
        <v>80</v>
      </c>
      <c r="I19" t="str">
        <f t="shared" si="1"/>
        <v>50</v>
      </c>
      <c r="J19" s="35"/>
      <c r="P19" s="25"/>
    </row>
    <row r="20" spans="1:16" ht="9.75" customHeight="1" x14ac:dyDescent="0.2">
      <c r="A20" s="32"/>
      <c r="B20" s="34"/>
      <c r="D20">
        <v>1</v>
      </c>
      <c r="F20">
        <v>1</v>
      </c>
      <c r="H20">
        <f t="shared" si="3"/>
        <v>80</v>
      </c>
      <c r="I20" t="str">
        <f t="shared" si="1"/>
        <v>50</v>
      </c>
      <c r="J20" s="35"/>
      <c r="P20" s="25"/>
    </row>
    <row r="21" spans="1:16" ht="9.75" customHeight="1" x14ac:dyDescent="0.2">
      <c r="A21" s="32"/>
      <c r="B21" s="34"/>
      <c r="H21">
        <f t="shared" si="3"/>
        <v>0</v>
      </c>
      <c r="I21" t="str">
        <f t="shared" si="1"/>
        <v>00</v>
      </c>
      <c r="J21" s="35"/>
      <c r="P21" s="25"/>
    </row>
    <row r="22" spans="1:16" ht="9.75" customHeight="1" x14ac:dyDescent="0.2">
      <c r="A22" s="32"/>
      <c r="B22" s="34"/>
      <c r="H22">
        <f t="shared" si="3"/>
        <v>0</v>
      </c>
      <c r="I22" t="str">
        <f t="shared" si="1"/>
        <v>00</v>
      </c>
      <c r="J22" s="35"/>
      <c r="P22" s="25"/>
    </row>
    <row r="23" spans="1:16" ht="9.75" customHeight="1" x14ac:dyDescent="0.2">
      <c r="A23" s="32"/>
      <c r="B23" s="34"/>
      <c r="H23">
        <f t="shared" si="3"/>
        <v>0</v>
      </c>
      <c r="I23" t="str">
        <f t="shared" si="1"/>
        <v>00</v>
      </c>
      <c r="J23" s="35"/>
      <c r="P23" s="25"/>
    </row>
    <row r="24" spans="1:16" ht="9.75" customHeight="1" x14ac:dyDescent="0.2">
      <c r="A24" s="32"/>
      <c r="B24" s="34"/>
      <c r="H24">
        <f t="shared" si="3"/>
        <v>0</v>
      </c>
      <c r="I24" t="str">
        <f t="shared" si="1"/>
        <v>00</v>
      </c>
      <c r="J24" s="35"/>
      <c r="P24" s="25"/>
    </row>
    <row r="25" spans="1:16" ht="9.75" customHeight="1" x14ac:dyDescent="0.2">
      <c r="A25" s="32"/>
      <c r="B25" s="27"/>
      <c r="J25" s="25"/>
      <c r="P25" s="25"/>
    </row>
    <row r="26" spans="1:16" ht="9.75" customHeight="1" x14ac:dyDescent="0.2">
      <c r="A26" s="32">
        <v>35</v>
      </c>
      <c r="B26" s="34" t="s">
        <v>103</v>
      </c>
      <c r="F26">
        <v>1</v>
      </c>
      <c r="H26">
        <f t="shared" ref="H26:H32" si="4">C26*C$1+D26*D$1+E26*E$1+F26*F$1+G26*G$1</f>
        <v>16</v>
      </c>
      <c r="I26" t="str">
        <f t="shared" si="1"/>
        <v>10</v>
      </c>
      <c r="J26" s="35" t="str">
        <f>CONCATENATE("0x",I26,",0x",I27,",0x",I28,",0x",I29,",0x",I30,",0x",I31,",0x",I32,", //",B26)</f>
        <v>0x10,0x30,0x70,0xF0,0x70,0x30,0x10, //#</v>
      </c>
      <c r="P26" s="25"/>
    </row>
    <row r="27" spans="1:16" ht="9.75" customHeight="1" x14ac:dyDescent="0.2">
      <c r="A27" s="32"/>
      <c r="B27" s="34"/>
      <c r="E27">
        <v>1</v>
      </c>
      <c r="F27">
        <v>1</v>
      </c>
      <c r="H27">
        <f t="shared" si="4"/>
        <v>48</v>
      </c>
      <c r="I27" t="str">
        <f t="shared" si="1"/>
        <v>30</v>
      </c>
      <c r="J27" s="35"/>
      <c r="P27" s="25"/>
    </row>
    <row r="28" spans="1:16" ht="9.75" customHeight="1" x14ac:dyDescent="0.2">
      <c r="A28" s="32"/>
      <c r="B28" s="34"/>
      <c r="D28">
        <v>1</v>
      </c>
      <c r="E28">
        <v>1</v>
      </c>
      <c r="F28">
        <v>1</v>
      </c>
      <c r="H28">
        <f t="shared" si="4"/>
        <v>112</v>
      </c>
      <c r="I28" t="str">
        <f t="shared" si="1"/>
        <v>70</v>
      </c>
      <c r="J28" s="35"/>
      <c r="P28" s="25"/>
    </row>
    <row r="29" spans="1:16" ht="9.75" customHeight="1" x14ac:dyDescent="0.2">
      <c r="A29" s="32"/>
      <c r="B29" s="34"/>
      <c r="C29">
        <v>1</v>
      </c>
      <c r="D29">
        <v>1</v>
      </c>
      <c r="E29">
        <v>1</v>
      </c>
      <c r="F29">
        <v>1</v>
      </c>
      <c r="H29">
        <f t="shared" si="4"/>
        <v>240</v>
      </c>
      <c r="I29" t="str">
        <f t="shared" si="1"/>
        <v>F0</v>
      </c>
      <c r="J29" s="35"/>
      <c r="P29" s="25"/>
    </row>
    <row r="30" spans="1:16" ht="9.75" customHeight="1" x14ac:dyDescent="0.2">
      <c r="A30" s="32"/>
      <c r="B30" s="34"/>
      <c r="D30">
        <v>1</v>
      </c>
      <c r="E30">
        <v>1</v>
      </c>
      <c r="F30">
        <v>1</v>
      </c>
      <c r="H30">
        <f t="shared" si="4"/>
        <v>112</v>
      </c>
      <c r="I30" t="str">
        <f t="shared" si="1"/>
        <v>70</v>
      </c>
      <c r="J30" s="35"/>
      <c r="P30" s="25"/>
    </row>
    <row r="31" spans="1:16" ht="9.75" customHeight="1" x14ac:dyDescent="0.2">
      <c r="A31" s="32"/>
      <c r="B31" s="34"/>
      <c r="E31">
        <v>1</v>
      </c>
      <c r="F31">
        <v>1</v>
      </c>
      <c r="H31">
        <f t="shared" si="4"/>
        <v>48</v>
      </c>
      <c r="I31" t="str">
        <f t="shared" si="1"/>
        <v>30</v>
      </c>
      <c r="J31" s="35"/>
      <c r="P31" s="25"/>
    </row>
    <row r="32" spans="1:16" ht="9.75" customHeight="1" x14ac:dyDescent="0.2">
      <c r="A32" s="32"/>
      <c r="B32" s="34"/>
      <c r="F32">
        <v>1</v>
      </c>
      <c r="H32">
        <f t="shared" si="4"/>
        <v>16</v>
      </c>
      <c r="I32" t="str">
        <f t="shared" si="1"/>
        <v>10</v>
      </c>
      <c r="J32" s="35"/>
      <c r="P32" s="25"/>
    </row>
    <row r="33" spans="1:16" ht="9.75" customHeight="1" x14ac:dyDescent="0.2">
      <c r="A33" s="32"/>
      <c r="B33" s="27"/>
      <c r="J33" s="25"/>
      <c r="P33" s="25"/>
    </row>
    <row r="34" spans="1:16" ht="9.75" customHeight="1" x14ac:dyDescent="0.2">
      <c r="A34" s="32">
        <v>36</v>
      </c>
      <c r="B34" s="34" t="s">
        <v>104</v>
      </c>
      <c r="H34">
        <f t="shared" ref="H34:H40" si="5">C34*C$1+D34*D$1+E34*E$1+F34*F$1+G34*G$1</f>
        <v>0</v>
      </c>
      <c r="I34" t="str">
        <f t="shared" si="1"/>
        <v>00</v>
      </c>
      <c r="J34" s="35" t="str">
        <f>CONCATENATE("0x",I34,",0x",I35,",0x",I36,",0x",I37,",0x",I38,",0x",I39,",0x",I40,", //",B34)</f>
        <v>0x00,0x20,0x20,0x70,0x70,0xF8,0xF8, //$</v>
      </c>
      <c r="P34" s="25"/>
    </row>
    <row r="35" spans="1:16" ht="9.75" customHeight="1" x14ac:dyDescent="0.2">
      <c r="A35" s="32"/>
      <c r="B35" s="34"/>
      <c r="E35">
        <v>1</v>
      </c>
      <c r="H35">
        <f t="shared" si="5"/>
        <v>32</v>
      </c>
      <c r="I35" t="str">
        <f t="shared" si="1"/>
        <v>20</v>
      </c>
      <c r="J35" s="35"/>
      <c r="P35" s="25"/>
    </row>
    <row r="36" spans="1:16" ht="9.75" customHeight="1" x14ac:dyDescent="0.2">
      <c r="A36" s="32"/>
      <c r="B36" s="34"/>
      <c r="E36">
        <v>1</v>
      </c>
      <c r="H36">
        <f t="shared" si="5"/>
        <v>32</v>
      </c>
      <c r="I36" t="str">
        <f t="shared" si="1"/>
        <v>20</v>
      </c>
      <c r="J36" s="35"/>
      <c r="P36" s="25"/>
    </row>
    <row r="37" spans="1:16" ht="9.75" customHeight="1" x14ac:dyDescent="0.2">
      <c r="A37" s="32"/>
      <c r="B37" s="34"/>
      <c r="D37">
        <v>1</v>
      </c>
      <c r="E37">
        <v>1</v>
      </c>
      <c r="F37">
        <v>1</v>
      </c>
      <c r="H37">
        <f t="shared" si="5"/>
        <v>112</v>
      </c>
      <c r="I37" t="str">
        <f t="shared" si="1"/>
        <v>70</v>
      </c>
      <c r="J37" s="35"/>
      <c r="P37" s="25"/>
    </row>
    <row r="38" spans="1:16" ht="9.75" customHeight="1" x14ac:dyDescent="0.2">
      <c r="A38" s="32"/>
      <c r="B38" s="34"/>
      <c r="D38">
        <v>1</v>
      </c>
      <c r="E38">
        <v>1</v>
      </c>
      <c r="F38">
        <v>1</v>
      </c>
      <c r="H38">
        <f t="shared" si="5"/>
        <v>112</v>
      </c>
      <c r="I38" t="str">
        <f t="shared" si="1"/>
        <v>70</v>
      </c>
      <c r="J38" s="35"/>
      <c r="P38" s="25"/>
    </row>
    <row r="39" spans="1:16" ht="9.75" customHeight="1" x14ac:dyDescent="0.2">
      <c r="A39" s="32"/>
      <c r="B39" s="34"/>
      <c r="C39">
        <v>1</v>
      </c>
      <c r="D39">
        <v>1</v>
      </c>
      <c r="E39">
        <v>1</v>
      </c>
      <c r="F39">
        <v>1</v>
      </c>
      <c r="G39">
        <v>1</v>
      </c>
      <c r="H39">
        <f t="shared" si="5"/>
        <v>248</v>
      </c>
      <c r="I39" t="str">
        <f t="shared" si="1"/>
        <v>F8</v>
      </c>
      <c r="J39" s="35"/>
      <c r="P39" s="25"/>
    </row>
    <row r="40" spans="1:16" ht="9.75" customHeight="1" x14ac:dyDescent="0.2">
      <c r="A40" s="32"/>
      <c r="B40" s="34"/>
      <c r="C40">
        <v>1</v>
      </c>
      <c r="D40">
        <v>1</v>
      </c>
      <c r="E40">
        <v>1</v>
      </c>
      <c r="F40">
        <v>1</v>
      </c>
      <c r="G40">
        <v>1</v>
      </c>
      <c r="H40">
        <f t="shared" si="5"/>
        <v>248</v>
      </c>
      <c r="I40" t="str">
        <f t="shared" si="1"/>
        <v>F8</v>
      </c>
      <c r="J40" s="35"/>
      <c r="P40" s="25"/>
    </row>
    <row r="41" spans="1:16" ht="9.75" customHeight="1" x14ac:dyDescent="0.2">
      <c r="A41" s="32"/>
      <c r="B41" s="27"/>
      <c r="J41" s="25"/>
      <c r="P41" s="25"/>
    </row>
    <row r="42" spans="1:16" ht="9.75" customHeight="1" x14ac:dyDescent="0.2">
      <c r="A42" s="32">
        <v>37</v>
      </c>
      <c r="B42" s="34" t="s">
        <v>105</v>
      </c>
      <c r="D42">
        <v>1</v>
      </c>
      <c r="G42">
        <v>1</v>
      </c>
      <c r="H42">
        <f t="shared" ref="H42:H48" si="6">C42*C$1+D42*D$1+E42*E$1+F42*F$1+G42*G$1</f>
        <v>72</v>
      </c>
      <c r="I42" t="str">
        <f t="shared" si="1"/>
        <v>48</v>
      </c>
      <c r="J42" s="35" t="str">
        <f>CONCATENATE("0x",I42,",0x",I43,",0x",I44,",0x",I45,",0x",I46,",0x",I47,",0x",I48,", //",B42)</f>
        <v>0x48,0xA8,0x50,0x20,0x50,0xA8,0x90, //%</v>
      </c>
      <c r="P42" s="25"/>
    </row>
    <row r="43" spans="1:16" ht="9.75" customHeight="1" x14ac:dyDescent="0.2">
      <c r="A43" s="32"/>
      <c r="B43" s="34"/>
      <c r="C43">
        <v>1</v>
      </c>
      <c r="E43">
        <v>1</v>
      </c>
      <c r="G43">
        <v>1</v>
      </c>
      <c r="H43">
        <f t="shared" si="6"/>
        <v>168</v>
      </c>
      <c r="I43" t="str">
        <f t="shared" si="1"/>
        <v>A8</v>
      </c>
      <c r="J43" s="35"/>
      <c r="P43" s="25"/>
    </row>
    <row r="44" spans="1:16" ht="9.75" customHeight="1" x14ac:dyDescent="0.2">
      <c r="A44" s="32"/>
      <c r="B44" s="34"/>
      <c r="D44">
        <v>1</v>
      </c>
      <c r="F44">
        <v>1</v>
      </c>
      <c r="H44">
        <f t="shared" si="6"/>
        <v>80</v>
      </c>
      <c r="I44" t="str">
        <f t="shared" si="1"/>
        <v>50</v>
      </c>
      <c r="J44" s="35"/>
      <c r="P44" s="25"/>
    </row>
    <row r="45" spans="1:16" ht="9.75" customHeight="1" x14ac:dyDescent="0.2">
      <c r="A45" s="32"/>
      <c r="B45" s="34"/>
      <c r="E45">
        <v>1</v>
      </c>
      <c r="H45">
        <f t="shared" si="6"/>
        <v>32</v>
      </c>
      <c r="I45" t="str">
        <f t="shared" si="1"/>
        <v>20</v>
      </c>
      <c r="J45" s="35"/>
      <c r="P45" s="25"/>
    </row>
    <row r="46" spans="1:16" ht="9.75" customHeight="1" x14ac:dyDescent="0.2">
      <c r="A46" s="32"/>
      <c r="B46" s="34"/>
      <c r="D46">
        <v>1</v>
      </c>
      <c r="F46">
        <v>1</v>
      </c>
      <c r="H46">
        <f t="shared" si="6"/>
        <v>80</v>
      </c>
      <c r="I46" t="str">
        <f t="shared" si="1"/>
        <v>50</v>
      </c>
      <c r="J46" s="35"/>
      <c r="P46" s="25"/>
    </row>
    <row r="47" spans="1:16" ht="9.75" customHeight="1" x14ac:dyDescent="0.2">
      <c r="A47" s="32"/>
      <c r="B47" s="34"/>
      <c r="C47">
        <v>1</v>
      </c>
      <c r="E47">
        <v>1</v>
      </c>
      <c r="G47">
        <v>1</v>
      </c>
      <c r="H47">
        <f t="shared" si="6"/>
        <v>168</v>
      </c>
      <c r="I47" t="str">
        <f t="shared" si="1"/>
        <v>A8</v>
      </c>
      <c r="J47" s="35"/>
      <c r="P47" s="25"/>
    </row>
    <row r="48" spans="1:16" ht="9.75" customHeight="1" x14ac:dyDescent="0.2">
      <c r="A48" s="32"/>
      <c r="B48" s="34"/>
      <c r="C48">
        <v>1</v>
      </c>
      <c r="F48">
        <v>1</v>
      </c>
      <c r="H48">
        <f t="shared" si="6"/>
        <v>144</v>
      </c>
      <c r="I48" t="str">
        <f t="shared" si="1"/>
        <v>90</v>
      </c>
      <c r="J48" s="35"/>
      <c r="P48" s="25"/>
    </row>
    <row r="49" spans="1:16" ht="9.75" customHeight="1" x14ac:dyDescent="0.2">
      <c r="A49" s="32"/>
      <c r="B49" s="27"/>
      <c r="J49" s="25"/>
      <c r="P49" s="25"/>
    </row>
    <row r="50" spans="1:16" ht="9.75" customHeight="1" x14ac:dyDescent="0.2">
      <c r="A50" s="32">
        <v>38</v>
      </c>
      <c r="B50" s="33" t="s">
        <v>106</v>
      </c>
      <c r="H50">
        <f t="shared" ref="H50:H56" si="7">C50*C$1+D50*D$1+E50*E$1+F50*F$1+G50*G$1</f>
        <v>0</v>
      </c>
      <c r="I50" t="str">
        <f t="shared" si="1"/>
        <v>00</v>
      </c>
      <c r="J50" s="35" t="str">
        <f>CONCATENATE("0x",I50,",0x",I51,",0x",I52,",0x",I53,",0x",I54,",0x",I55,",0x",I56,", //",B50)</f>
        <v>0x00,0xF8,0xF8,0x70,0x70,0x20,0x20, //&amp;</v>
      </c>
      <c r="P50" s="25"/>
    </row>
    <row r="51" spans="1:16" ht="9.75" customHeight="1" x14ac:dyDescent="0.2">
      <c r="A51" s="32"/>
      <c r="B51" s="34"/>
      <c r="C51">
        <v>1</v>
      </c>
      <c r="D51">
        <v>1</v>
      </c>
      <c r="E51">
        <v>1</v>
      </c>
      <c r="F51">
        <v>1</v>
      </c>
      <c r="G51">
        <v>1</v>
      </c>
      <c r="H51">
        <f t="shared" si="7"/>
        <v>248</v>
      </c>
      <c r="I51" t="str">
        <f t="shared" si="1"/>
        <v>F8</v>
      </c>
      <c r="J51" s="35"/>
      <c r="P51" s="25"/>
    </row>
    <row r="52" spans="1:16" ht="9.75" customHeight="1" x14ac:dyDescent="0.2">
      <c r="A52" s="32"/>
      <c r="B52" s="34"/>
      <c r="C52">
        <v>1</v>
      </c>
      <c r="D52">
        <v>1</v>
      </c>
      <c r="E52">
        <v>1</v>
      </c>
      <c r="F52">
        <v>1</v>
      </c>
      <c r="G52">
        <v>1</v>
      </c>
      <c r="H52">
        <f t="shared" si="7"/>
        <v>248</v>
      </c>
      <c r="I52" t="str">
        <f t="shared" si="1"/>
        <v>F8</v>
      </c>
      <c r="J52" s="35"/>
      <c r="P52" s="25"/>
    </row>
    <row r="53" spans="1:16" ht="9.75" customHeight="1" x14ac:dyDescent="0.2">
      <c r="A53" s="32"/>
      <c r="B53" s="34"/>
      <c r="D53">
        <v>1</v>
      </c>
      <c r="E53">
        <v>1</v>
      </c>
      <c r="F53">
        <v>1</v>
      </c>
      <c r="H53">
        <f t="shared" si="7"/>
        <v>112</v>
      </c>
      <c r="I53" t="str">
        <f t="shared" si="1"/>
        <v>70</v>
      </c>
      <c r="J53" s="35"/>
      <c r="P53" s="25"/>
    </row>
    <row r="54" spans="1:16" ht="9.75" customHeight="1" x14ac:dyDescent="0.2">
      <c r="A54" s="32"/>
      <c r="B54" s="34"/>
      <c r="D54">
        <v>1</v>
      </c>
      <c r="E54">
        <v>1</v>
      </c>
      <c r="F54">
        <v>1</v>
      </c>
      <c r="H54">
        <f t="shared" si="7"/>
        <v>112</v>
      </c>
      <c r="I54" t="str">
        <f t="shared" si="1"/>
        <v>70</v>
      </c>
      <c r="J54" s="35"/>
      <c r="P54" s="25"/>
    </row>
    <row r="55" spans="1:16" ht="9.75" customHeight="1" x14ac:dyDescent="0.2">
      <c r="A55" s="32"/>
      <c r="B55" s="34"/>
      <c r="E55">
        <v>1</v>
      </c>
      <c r="H55">
        <f t="shared" si="7"/>
        <v>32</v>
      </c>
      <c r="I55" t="str">
        <f t="shared" si="1"/>
        <v>20</v>
      </c>
      <c r="J55" s="35"/>
      <c r="P55" s="25"/>
    </row>
    <row r="56" spans="1:16" ht="9.75" customHeight="1" x14ac:dyDescent="0.2">
      <c r="A56" s="32"/>
      <c r="B56" s="34"/>
      <c r="E56">
        <v>1</v>
      </c>
      <c r="H56">
        <f t="shared" si="7"/>
        <v>32</v>
      </c>
      <c r="I56" t="str">
        <f t="shared" si="1"/>
        <v>20</v>
      </c>
      <c r="J56" s="35"/>
      <c r="P56" s="25"/>
    </row>
    <row r="57" spans="1:16" ht="9.75" customHeight="1" x14ac:dyDescent="0.2">
      <c r="A57" s="32"/>
      <c r="B57" s="27"/>
      <c r="J57" s="25"/>
      <c r="P57" s="25"/>
    </row>
    <row r="58" spans="1:16" ht="9.75" customHeight="1" x14ac:dyDescent="0.2">
      <c r="A58" s="32">
        <v>39</v>
      </c>
      <c r="B58" s="33" t="s">
        <v>356</v>
      </c>
      <c r="E58">
        <v>1</v>
      </c>
      <c r="H58">
        <f t="shared" ref="H58:H64" si="8">C58*C$1+D58*D$1+E58*E$1+F58*F$1+G58*G$1</f>
        <v>32</v>
      </c>
      <c r="I58" t="str">
        <f t="shared" si="1"/>
        <v>20</v>
      </c>
      <c r="J58" s="35" t="str">
        <f>CONCATENATE("0x",I58,",0x",I59,",0x",I60,",0x",I61,",0x",I62,",0x",I63,",0x",I64,", //",B58)</f>
        <v>0x20,0x20,0x20,0x00,0x00,0x00,0x00, //'</v>
      </c>
      <c r="P58" s="25"/>
    </row>
    <row r="59" spans="1:16" ht="9.75" customHeight="1" x14ac:dyDescent="0.2">
      <c r="A59" s="32"/>
      <c r="B59" s="34"/>
      <c r="E59">
        <v>1</v>
      </c>
      <c r="H59">
        <f t="shared" si="8"/>
        <v>32</v>
      </c>
      <c r="I59" t="str">
        <f t="shared" si="1"/>
        <v>20</v>
      </c>
      <c r="J59" s="35"/>
      <c r="P59" s="25"/>
    </row>
    <row r="60" spans="1:16" ht="9.75" customHeight="1" x14ac:dyDescent="0.2">
      <c r="A60" s="32"/>
      <c r="B60" s="34"/>
      <c r="E60">
        <v>1</v>
      </c>
      <c r="H60">
        <f t="shared" si="8"/>
        <v>32</v>
      </c>
      <c r="I60" t="str">
        <f t="shared" si="1"/>
        <v>20</v>
      </c>
      <c r="J60" s="35"/>
      <c r="P60" s="25"/>
    </row>
    <row r="61" spans="1:16" ht="9.75" customHeight="1" x14ac:dyDescent="0.2">
      <c r="A61" s="32"/>
      <c r="B61" s="34"/>
      <c r="H61">
        <f t="shared" si="8"/>
        <v>0</v>
      </c>
      <c r="I61" t="str">
        <f t="shared" si="1"/>
        <v>00</v>
      </c>
      <c r="J61" s="35"/>
      <c r="P61" s="25"/>
    </row>
    <row r="62" spans="1:16" ht="9.75" customHeight="1" x14ac:dyDescent="0.2">
      <c r="A62" s="32"/>
      <c r="B62" s="34"/>
      <c r="H62">
        <f t="shared" si="8"/>
        <v>0</v>
      </c>
      <c r="I62" t="str">
        <f t="shared" si="1"/>
        <v>00</v>
      </c>
      <c r="J62" s="35"/>
      <c r="P62" s="25"/>
    </row>
    <row r="63" spans="1:16" ht="9.75" customHeight="1" x14ac:dyDescent="0.2">
      <c r="A63" s="32"/>
      <c r="B63" s="34"/>
      <c r="H63">
        <f t="shared" si="8"/>
        <v>0</v>
      </c>
      <c r="I63" t="str">
        <f t="shared" si="1"/>
        <v>00</v>
      </c>
      <c r="J63" s="35"/>
      <c r="P63" s="25"/>
    </row>
    <row r="64" spans="1:16" ht="9.75" customHeight="1" x14ac:dyDescent="0.2">
      <c r="A64" s="32"/>
      <c r="B64" s="34"/>
      <c r="H64">
        <f t="shared" si="8"/>
        <v>0</v>
      </c>
      <c r="I64" t="str">
        <f t="shared" si="1"/>
        <v>00</v>
      </c>
      <c r="J64" s="35"/>
      <c r="P64" s="25"/>
    </row>
    <row r="65" spans="1:16" ht="9.75" customHeight="1" x14ac:dyDescent="0.2">
      <c r="A65" s="32"/>
      <c r="B65" s="27"/>
      <c r="J65" s="25"/>
      <c r="P65" s="25"/>
    </row>
    <row r="66" spans="1:16" ht="9.75" customHeight="1" x14ac:dyDescent="0.2">
      <c r="A66" s="32">
        <v>40</v>
      </c>
      <c r="B66" s="34" t="s">
        <v>107</v>
      </c>
      <c r="F66">
        <v>1</v>
      </c>
      <c r="H66">
        <f t="shared" ref="H66:H72" si="9">C66*C$1+D66*D$1+E66*E$1+F66*F$1+G66*G$1</f>
        <v>16</v>
      </c>
      <c r="I66" t="str">
        <f t="shared" si="1"/>
        <v>10</v>
      </c>
      <c r="J66" s="35" t="str">
        <f>CONCATENATE("0x",I66,",0x",I67,",0x",I68,",0x",I69,",0x",I70,",0x",I71,",0x",I72,", //",B66)</f>
        <v>0x10,0x20,0x40,0x40,0x40,0x20,0x10, //(</v>
      </c>
      <c r="P66" s="25"/>
    </row>
    <row r="67" spans="1:16" ht="9.75" customHeight="1" x14ac:dyDescent="0.2">
      <c r="A67" s="32"/>
      <c r="B67" s="34"/>
      <c r="E67">
        <v>1</v>
      </c>
      <c r="H67">
        <f t="shared" si="9"/>
        <v>32</v>
      </c>
      <c r="I67" t="str">
        <f t="shared" si="1"/>
        <v>20</v>
      </c>
      <c r="J67" s="35"/>
      <c r="P67" s="25"/>
    </row>
    <row r="68" spans="1:16" ht="9.75" customHeight="1" x14ac:dyDescent="0.2">
      <c r="A68" s="32"/>
      <c r="B68" s="34"/>
      <c r="D68">
        <v>1</v>
      </c>
      <c r="H68">
        <f t="shared" si="9"/>
        <v>64</v>
      </c>
      <c r="I68" t="str">
        <f t="shared" si="1"/>
        <v>40</v>
      </c>
      <c r="J68" s="35"/>
      <c r="P68" s="25"/>
    </row>
    <row r="69" spans="1:16" ht="9.75" customHeight="1" x14ac:dyDescent="0.2">
      <c r="A69" s="32"/>
      <c r="B69" s="34"/>
      <c r="D69">
        <v>1</v>
      </c>
      <c r="H69">
        <f t="shared" si="9"/>
        <v>64</v>
      </c>
      <c r="I69" t="str">
        <f t="shared" si="1"/>
        <v>40</v>
      </c>
      <c r="J69" s="35"/>
      <c r="P69" s="25"/>
    </row>
    <row r="70" spans="1:16" ht="9.75" customHeight="1" x14ac:dyDescent="0.2">
      <c r="A70" s="32"/>
      <c r="B70" s="34"/>
      <c r="D70">
        <v>1</v>
      </c>
      <c r="H70">
        <f t="shared" si="9"/>
        <v>64</v>
      </c>
      <c r="I70" t="str">
        <f t="shared" si="1"/>
        <v>40</v>
      </c>
      <c r="J70" s="35"/>
    </row>
    <row r="71" spans="1:16" ht="9.75" customHeight="1" x14ac:dyDescent="0.2">
      <c r="A71" s="32"/>
      <c r="B71" s="34"/>
      <c r="E71">
        <v>1</v>
      </c>
      <c r="H71">
        <f t="shared" si="9"/>
        <v>32</v>
      </c>
      <c r="I71" t="str">
        <f t="shared" si="1"/>
        <v>20</v>
      </c>
      <c r="J71" s="35"/>
    </row>
    <row r="72" spans="1:16" ht="9.75" customHeight="1" x14ac:dyDescent="0.2">
      <c r="A72" s="32"/>
      <c r="B72" s="34"/>
      <c r="F72">
        <v>1</v>
      </c>
      <c r="H72">
        <f t="shared" si="9"/>
        <v>16</v>
      </c>
      <c r="I72" t="str">
        <f t="shared" si="1"/>
        <v>10</v>
      </c>
      <c r="J72" s="35"/>
    </row>
    <row r="73" spans="1:16" ht="9.75" customHeight="1" x14ac:dyDescent="0.2">
      <c r="A73" s="32"/>
      <c r="B73" s="27"/>
      <c r="J73" s="25"/>
    </row>
    <row r="74" spans="1:16" ht="9.75" customHeight="1" x14ac:dyDescent="0.2">
      <c r="A74" s="32">
        <v>41</v>
      </c>
      <c r="B74" s="34" t="s">
        <v>108</v>
      </c>
      <c r="D74">
        <v>1</v>
      </c>
      <c r="H74">
        <f t="shared" ref="H74:H80" si="10">C74*C$1+D74*D$1+E74*E$1+F74*F$1+G74*G$1</f>
        <v>64</v>
      </c>
      <c r="I74" t="str">
        <f t="shared" si="1"/>
        <v>40</v>
      </c>
      <c r="J74" s="35" t="str">
        <f>CONCATENATE("0x",I74,",0x",I75,",0x",I76,",0x",I77,",0x",I78,",0x",I79,",0x",I80,", //",B74)</f>
        <v>0x40,0x20,0x10,0x10,0x10,0x20,0x40, //)</v>
      </c>
    </row>
    <row r="75" spans="1:16" ht="9.75" customHeight="1" x14ac:dyDescent="0.2">
      <c r="A75" s="32"/>
      <c r="B75" s="34"/>
      <c r="E75">
        <v>1</v>
      </c>
      <c r="H75">
        <f t="shared" si="10"/>
        <v>32</v>
      </c>
      <c r="I75" t="str">
        <f t="shared" si="1"/>
        <v>20</v>
      </c>
      <c r="J75" s="35"/>
    </row>
    <row r="76" spans="1:16" ht="9.75" customHeight="1" x14ac:dyDescent="0.2">
      <c r="A76" s="32"/>
      <c r="B76" s="34"/>
      <c r="F76">
        <v>1</v>
      </c>
      <c r="H76">
        <f t="shared" si="10"/>
        <v>16</v>
      </c>
      <c r="I76" t="str">
        <f t="shared" si="1"/>
        <v>10</v>
      </c>
      <c r="J76" s="35"/>
    </row>
    <row r="77" spans="1:16" ht="9.75" customHeight="1" x14ac:dyDescent="0.2">
      <c r="A77" s="32"/>
      <c r="B77" s="34"/>
      <c r="F77">
        <v>1</v>
      </c>
      <c r="H77">
        <f t="shared" si="10"/>
        <v>16</v>
      </c>
      <c r="I77" t="str">
        <f t="shared" si="1"/>
        <v>10</v>
      </c>
      <c r="J77" s="35"/>
    </row>
    <row r="78" spans="1:16" ht="9.75" customHeight="1" x14ac:dyDescent="0.2">
      <c r="A78" s="32"/>
      <c r="B78" s="34"/>
      <c r="F78">
        <v>1</v>
      </c>
      <c r="H78">
        <f t="shared" si="10"/>
        <v>16</v>
      </c>
      <c r="I78" t="str">
        <f t="shared" si="1"/>
        <v>10</v>
      </c>
      <c r="J78" s="35"/>
    </row>
    <row r="79" spans="1:16" ht="9.75" customHeight="1" x14ac:dyDescent="0.2">
      <c r="A79" s="32"/>
      <c r="B79" s="34"/>
      <c r="E79">
        <v>1</v>
      </c>
      <c r="H79">
        <f t="shared" si="10"/>
        <v>32</v>
      </c>
      <c r="I79" t="str">
        <f t="shared" si="1"/>
        <v>20</v>
      </c>
      <c r="J79" s="35"/>
    </row>
    <row r="80" spans="1:16" ht="9.75" customHeight="1" x14ac:dyDescent="0.2">
      <c r="A80" s="32"/>
      <c r="B80" s="34"/>
      <c r="D80">
        <v>1</v>
      </c>
      <c r="H80">
        <f t="shared" si="10"/>
        <v>64</v>
      </c>
      <c r="I80" t="str">
        <f t="shared" si="1"/>
        <v>40</v>
      </c>
      <c r="J80" s="35"/>
    </row>
    <row r="81" spans="1:10" ht="9.75" customHeight="1" x14ac:dyDescent="0.2">
      <c r="A81" s="32"/>
      <c r="B81" s="27"/>
      <c r="J81" s="25"/>
    </row>
    <row r="82" spans="1:10" ht="9.75" customHeight="1" x14ac:dyDescent="0.2">
      <c r="A82" s="32">
        <v>42</v>
      </c>
      <c r="B82" s="34" t="s">
        <v>109</v>
      </c>
      <c r="H82">
        <f t="shared" ref="H82:H88" si="11">C82*C$1+D82*D$1+E82*E$1+F82*F$1+G82*G$1</f>
        <v>0</v>
      </c>
      <c r="I82" t="str">
        <f t="shared" si="1"/>
        <v>00</v>
      </c>
      <c r="J82" s="35" t="str">
        <f>CONCATENATE("0x",I82,",0x",I83,",0x",I84,",0x",I85,",0x",I86,",0x",I87,",0x",I88,", //",B82)</f>
        <v>0x00,0xF8,0x00,0xF8,0x00,0xF8,0x00, //*</v>
      </c>
    </row>
    <row r="83" spans="1:10" ht="9.75" customHeight="1" x14ac:dyDescent="0.2">
      <c r="A83" s="32"/>
      <c r="B83" s="34"/>
      <c r="C83">
        <v>1</v>
      </c>
      <c r="D83">
        <v>1</v>
      </c>
      <c r="E83">
        <v>1</v>
      </c>
      <c r="F83">
        <v>1</v>
      </c>
      <c r="G83">
        <v>1</v>
      </c>
      <c r="H83">
        <f t="shared" si="11"/>
        <v>248</v>
      </c>
      <c r="I83" t="str">
        <f t="shared" si="1"/>
        <v>F8</v>
      </c>
      <c r="J83" s="35"/>
    </row>
    <row r="84" spans="1:10" ht="9.75" customHeight="1" x14ac:dyDescent="0.2">
      <c r="A84" s="32"/>
      <c r="B84" s="34"/>
      <c r="H84">
        <f t="shared" si="11"/>
        <v>0</v>
      </c>
      <c r="I84" t="str">
        <f t="shared" si="1"/>
        <v>00</v>
      </c>
      <c r="J84" s="35"/>
    </row>
    <row r="85" spans="1:10" ht="9.75" customHeight="1" x14ac:dyDescent="0.2">
      <c r="A85" s="32"/>
      <c r="B85" s="34"/>
      <c r="C85">
        <v>1</v>
      </c>
      <c r="D85">
        <v>1</v>
      </c>
      <c r="E85">
        <v>1</v>
      </c>
      <c r="F85">
        <v>1</v>
      </c>
      <c r="G85">
        <v>1</v>
      </c>
      <c r="H85">
        <f t="shared" si="11"/>
        <v>248</v>
      </c>
      <c r="I85" t="str">
        <f t="shared" si="1"/>
        <v>F8</v>
      </c>
      <c r="J85" s="35"/>
    </row>
    <row r="86" spans="1:10" ht="9.75" customHeight="1" x14ac:dyDescent="0.2">
      <c r="A86" s="32"/>
      <c r="B86" s="34"/>
      <c r="H86">
        <f t="shared" si="11"/>
        <v>0</v>
      </c>
      <c r="I86" t="str">
        <f t="shared" si="1"/>
        <v>00</v>
      </c>
      <c r="J86" s="35"/>
    </row>
    <row r="87" spans="1:10" ht="9.75" customHeight="1" x14ac:dyDescent="0.2">
      <c r="A87" s="32"/>
      <c r="B87" s="34"/>
      <c r="C87">
        <v>1</v>
      </c>
      <c r="D87">
        <v>1</v>
      </c>
      <c r="E87">
        <v>1</v>
      </c>
      <c r="F87">
        <v>1</v>
      </c>
      <c r="G87">
        <v>1</v>
      </c>
      <c r="H87">
        <f t="shared" si="11"/>
        <v>248</v>
      </c>
      <c r="I87" t="str">
        <f t="shared" si="1"/>
        <v>F8</v>
      </c>
      <c r="J87" s="35"/>
    </row>
    <row r="88" spans="1:10" ht="9.75" customHeight="1" x14ac:dyDescent="0.2">
      <c r="A88" s="32"/>
      <c r="B88" s="34"/>
      <c r="H88">
        <f t="shared" si="11"/>
        <v>0</v>
      </c>
      <c r="I88" t="str">
        <f t="shared" si="1"/>
        <v>00</v>
      </c>
      <c r="J88" s="35"/>
    </row>
    <row r="89" spans="1:10" ht="9.75" customHeight="1" x14ac:dyDescent="0.2">
      <c r="A89" s="32"/>
      <c r="B89" s="27"/>
      <c r="J89" s="25"/>
    </row>
    <row r="90" spans="1:10" ht="9.75" customHeight="1" x14ac:dyDescent="0.2">
      <c r="A90" s="32">
        <v>43</v>
      </c>
      <c r="B90" s="33" t="s">
        <v>110</v>
      </c>
      <c r="H90">
        <f t="shared" ref="H90:H96" si="12">C90*C$1+D90*D$1+E90*E$1+F90*F$1+G90*G$1</f>
        <v>0</v>
      </c>
      <c r="I90" t="str">
        <f t="shared" si="1"/>
        <v>00</v>
      </c>
      <c r="J90" s="35" t="str">
        <f>CONCATENATE("0x",I90,",0x",I91,",0x",I92,",0x",I93,",0x",I94,",0x",I95,",0x",I96,", //",B90)</f>
        <v>0x00,0x00,0x20,0x20,0xF8,0x20,0x20, //+</v>
      </c>
    </row>
    <row r="91" spans="1:10" ht="9.75" customHeight="1" x14ac:dyDescent="0.2">
      <c r="A91" s="32"/>
      <c r="B91" s="34"/>
      <c r="H91">
        <f t="shared" si="12"/>
        <v>0</v>
      </c>
      <c r="I91" t="str">
        <f t="shared" si="1"/>
        <v>00</v>
      </c>
      <c r="J91" s="35"/>
    </row>
    <row r="92" spans="1:10" ht="9.75" customHeight="1" x14ac:dyDescent="0.2">
      <c r="A92" s="32"/>
      <c r="B92" s="34"/>
      <c r="E92">
        <v>1</v>
      </c>
      <c r="H92">
        <f t="shared" si="12"/>
        <v>32</v>
      </c>
      <c r="I92" t="str">
        <f t="shared" si="1"/>
        <v>20</v>
      </c>
      <c r="J92" s="35"/>
    </row>
    <row r="93" spans="1:10" ht="9.75" customHeight="1" x14ac:dyDescent="0.2">
      <c r="A93" s="32"/>
      <c r="B93" s="34"/>
      <c r="E93">
        <v>1</v>
      </c>
      <c r="H93">
        <f t="shared" si="12"/>
        <v>32</v>
      </c>
      <c r="I93" t="str">
        <f t="shared" si="1"/>
        <v>20</v>
      </c>
      <c r="J93" s="35"/>
    </row>
    <row r="94" spans="1:10" ht="9.75" customHeight="1" x14ac:dyDescent="0.2">
      <c r="A94" s="32"/>
      <c r="B94" s="34"/>
      <c r="C94">
        <v>1</v>
      </c>
      <c r="D94">
        <v>1</v>
      </c>
      <c r="E94">
        <v>1</v>
      </c>
      <c r="F94">
        <v>1</v>
      </c>
      <c r="G94">
        <v>1</v>
      </c>
      <c r="H94">
        <f t="shared" si="12"/>
        <v>248</v>
      </c>
      <c r="I94" t="str">
        <f t="shared" si="1"/>
        <v>F8</v>
      </c>
      <c r="J94" s="35"/>
    </row>
    <row r="95" spans="1:10" ht="9.75" customHeight="1" x14ac:dyDescent="0.2">
      <c r="A95" s="32"/>
      <c r="B95" s="34"/>
      <c r="E95">
        <v>1</v>
      </c>
      <c r="H95">
        <f t="shared" si="12"/>
        <v>32</v>
      </c>
      <c r="I95" t="str">
        <f t="shared" si="1"/>
        <v>20</v>
      </c>
      <c r="J95" s="35"/>
    </row>
    <row r="96" spans="1:10" ht="9.75" customHeight="1" x14ac:dyDescent="0.2">
      <c r="A96" s="32"/>
      <c r="B96" s="34"/>
      <c r="E96">
        <v>1</v>
      </c>
      <c r="H96">
        <f t="shared" si="12"/>
        <v>32</v>
      </c>
      <c r="I96" t="str">
        <f t="shared" si="1"/>
        <v>20</v>
      </c>
      <c r="J96" s="35"/>
    </row>
    <row r="97" spans="1:10" ht="9.75" customHeight="1" x14ac:dyDescent="0.2">
      <c r="A97" s="32"/>
      <c r="B97" s="27"/>
      <c r="J97" s="25"/>
    </row>
    <row r="98" spans="1:10" ht="9.75" customHeight="1" x14ac:dyDescent="0.2">
      <c r="A98" s="32">
        <v>44</v>
      </c>
      <c r="B98" s="33" t="s">
        <v>1</v>
      </c>
      <c r="C98">
        <v>1</v>
      </c>
      <c r="H98">
        <f t="shared" ref="H98:H104" si="13">C98*C$1+D98*D$1+E98*E$1+F98*F$1+G98*G$1</f>
        <v>128</v>
      </c>
      <c r="I98" t="str">
        <f t="shared" si="1"/>
        <v>80</v>
      </c>
      <c r="J98" s="35" t="str">
        <f>CONCATENATE("0x",I98,",0x",I99,",0x",I100,",0x",I101,",0x",I102,",0x",I103,",0x",I104,", //",B98)</f>
        <v>0x80,0xC0,0xE0,0xF0,0xE0,0xC0,0x80, //,</v>
      </c>
    </row>
    <row r="99" spans="1:10" ht="9.75" customHeight="1" x14ac:dyDescent="0.2">
      <c r="A99" s="32"/>
      <c r="B99" s="34"/>
      <c r="C99">
        <v>1</v>
      </c>
      <c r="D99">
        <v>1</v>
      </c>
      <c r="H99">
        <f t="shared" si="13"/>
        <v>192</v>
      </c>
      <c r="I99" t="str">
        <f t="shared" si="1"/>
        <v>C0</v>
      </c>
      <c r="J99" s="35"/>
    </row>
    <row r="100" spans="1:10" ht="9.75" customHeight="1" x14ac:dyDescent="0.2">
      <c r="A100" s="32"/>
      <c r="B100" s="34"/>
      <c r="C100">
        <v>1</v>
      </c>
      <c r="D100">
        <v>1</v>
      </c>
      <c r="E100">
        <v>1</v>
      </c>
      <c r="H100">
        <f t="shared" si="13"/>
        <v>224</v>
      </c>
      <c r="I100" t="str">
        <f t="shared" si="1"/>
        <v>E0</v>
      </c>
      <c r="J100" s="35"/>
    </row>
    <row r="101" spans="1:10" ht="9.75" customHeight="1" x14ac:dyDescent="0.2">
      <c r="A101" s="32"/>
      <c r="B101" s="34"/>
      <c r="C101">
        <v>1</v>
      </c>
      <c r="D101">
        <v>1</v>
      </c>
      <c r="E101">
        <v>1</v>
      </c>
      <c r="F101">
        <v>1</v>
      </c>
      <c r="H101">
        <f t="shared" si="13"/>
        <v>240</v>
      </c>
      <c r="I101" t="str">
        <f t="shared" si="1"/>
        <v>F0</v>
      </c>
      <c r="J101" s="35"/>
    </row>
    <row r="102" spans="1:10" ht="9.75" customHeight="1" x14ac:dyDescent="0.2">
      <c r="A102" s="32"/>
      <c r="B102" s="34"/>
      <c r="C102">
        <v>1</v>
      </c>
      <c r="D102">
        <v>1</v>
      </c>
      <c r="E102">
        <v>1</v>
      </c>
      <c r="H102">
        <f t="shared" si="13"/>
        <v>224</v>
      </c>
      <c r="I102" t="str">
        <f t="shared" si="1"/>
        <v>E0</v>
      </c>
      <c r="J102" s="35"/>
    </row>
    <row r="103" spans="1:10" ht="9.75" customHeight="1" x14ac:dyDescent="0.2">
      <c r="A103" s="32"/>
      <c r="B103" s="34"/>
      <c r="C103">
        <v>1</v>
      </c>
      <c r="D103">
        <v>1</v>
      </c>
      <c r="H103">
        <f t="shared" si="13"/>
        <v>192</v>
      </c>
      <c r="I103" t="str">
        <f t="shared" si="1"/>
        <v>C0</v>
      </c>
      <c r="J103" s="35"/>
    </row>
    <row r="104" spans="1:10" ht="9.75" customHeight="1" x14ac:dyDescent="0.2">
      <c r="A104" s="32"/>
      <c r="B104" s="34"/>
      <c r="C104">
        <v>1</v>
      </c>
      <c r="H104">
        <f t="shared" si="13"/>
        <v>128</v>
      </c>
      <c r="I104" t="str">
        <f t="shared" si="1"/>
        <v>80</v>
      </c>
      <c r="J104" s="35"/>
    </row>
    <row r="105" spans="1:10" ht="9.75" customHeight="1" x14ac:dyDescent="0.2">
      <c r="A105" s="32"/>
      <c r="B105" s="27"/>
      <c r="J105" s="25"/>
    </row>
    <row r="106" spans="1:10" ht="9.75" customHeight="1" x14ac:dyDescent="0.2">
      <c r="A106" s="32">
        <v>45</v>
      </c>
      <c r="B106" s="34" t="s">
        <v>111</v>
      </c>
      <c r="H106">
        <f t="shared" ref="H106" si="14">C106*C$1+D106*D$1+E106*E$1+F106*F$1+G106*G$1</f>
        <v>0</v>
      </c>
      <c r="I106" t="str">
        <f t="shared" si="1"/>
        <v>00</v>
      </c>
      <c r="J106" s="35" t="str">
        <f>CONCATENATE("0x",I106,",0x",I107,",0x",I108,",0x",I109,",0x",I110,",0x",I111,",0x",I112,", //",B106)</f>
        <v>0x00,0x00,0x00,0xF8,0x00,0x00,0x00, //-</v>
      </c>
    </row>
    <row r="107" spans="1:10" ht="9.75" customHeight="1" x14ac:dyDescent="0.2">
      <c r="A107" s="32"/>
      <c r="B107" s="34"/>
      <c r="H107">
        <f t="shared" ref="H107:H112" si="15">C107*C$1+D107*D$1+E107*E$1+F107*F$1+G107*G$1</f>
        <v>0</v>
      </c>
      <c r="I107" t="str">
        <f t="shared" si="1"/>
        <v>00</v>
      </c>
      <c r="J107" s="35"/>
    </row>
    <row r="108" spans="1:10" ht="9.75" customHeight="1" x14ac:dyDescent="0.2">
      <c r="A108" s="32"/>
      <c r="B108" s="34"/>
      <c r="H108">
        <f t="shared" si="15"/>
        <v>0</v>
      </c>
      <c r="I108" t="str">
        <f t="shared" si="1"/>
        <v>00</v>
      </c>
      <c r="J108" s="35"/>
    </row>
    <row r="109" spans="1:10" ht="9.75" customHeight="1" x14ac:dyDescent="0.2">
      <c r="A109" s="32"/>
      <c r="B109" s="34"/>
      <c r="C109">
        <v>1</v>
      </c>
      <c r="D109">
        <v>1</v>
      </c>
      <c r="E109">
        <v>1</v>
      </c>
      <c r="F109">
        <v>1</v>
      </c>
      <c r="G109">
        <v>1</v>
      </c>
      <c r="H109">
        <f t="shared" si="15"/>
        <v>248</v>
      </c>
      <c r="I109" t="str">
        <f t="shared" si="1"/>
        <v>F8</v>
      </c>
      <c r="J109" s="35"/>
    </row>
    <row r="110" spans="1:10" ht="9.75" customHeight="1" x14ac:dyDescent="0.2">
      <c r="A110" s="32"/>
      <c r="B110" s="34"/>
      <c r="H110">
        <f t="shared" si="15"/>
        <v>0</v>
      </c>
      <c r="I110" t="str">
        <f t="shared" si="1"/>
        <v>00</v>
      </c>
      <c r="J110" s="35"/>
    </row>
    <row r="111" spans="1:10" ht="9.75" customHeight="1" x14ac:dyDescent="0.2">
      <c r="A111" s="32"/>
      <c r="B111" s="34"/>
      <c r="H111">
        <f t="shared" si="15"/>
        <v>0</v>
      </c>
      <c r="I111" t="str">
        <f t="shared" si="1"/>
        <v>00</v>
      </c>
      <c r="J111" s="35"/>
    </row>
    <row r="112" spans="1:10" ht="9.75" customHeight="1" x14ac:dyDescent="0.2">
      <c r="A112" s="32"/>
      <c r="B112" s="34"/>
      <c r="H112">
        <f t="shared" si="15"/>
        <v>0</v>
      </c>
      <c r="I112" t="str">
        <f t="shared" si="1"/>
        <v>00</v>
      </c>
      <c r="J112" s="35"/>
    </row>
    <row r="113" spans="1:10" ht="9.75" customHeight="1" x14ac:dyDescent="0.2">
      <c r="A113" s="32"/>
      <c r="B113" s="27"/>
      <c r="J113" s="25"/>
    </row>
    <row r="114" spans="1:10" ht="9.75" customHeight="1" x14ac:dyDescent="0.2">
      <c r="A114" s="32">
        <v>46</v>
      </c>
      <c r="B114" s="34" t="s">
        <v>112</v>
      </c>
      <c r="H114">
        <f t="shared" ref="H114:H120" si="16">C114*C$1+D114*D$1+E114*E$1+F114*F$1+G114*G$1</f>
        <v>0</v>
      </c>
      <c r="I114" t="str">
        <f t="shared" si="1"/>
        <v>00</v>
      </c>
      <c r="J114" s="35" t="str">
        <f>CONCATENATE("0x",I114,",0x",I115,",0x",I116,",0x",I117,",0x",I118,",0x",I119,",0x",I120,", //",B114)</f>
        <v>0x00,0x00,0x00,0x00,0x00,0x00,0x20, //.</v>
      </c>
    </row>
    <row r="115" spans="1:10" ht="9.75" customHeight="1" x14ac:dyDescent="0.2">
      <c r="A115" s="32"/>
      <c r="B115" s="34"/>
      <c r="H115">
        <f t="shared" si="16"/>
        <v>0</v>
      </c>
      <c r="I115" t="str">
        <f t="shared" si="1"/>
        <v>00</v>
      </c>
      <c r="J115" s="35"/>
    </row>
    <row r="116" spans="1:10" ht="9.75" customHeight="1" x14ac:dyDescent="0.2">
      <c r="A116" s="32"/>
      <c r="B116" s="34"/>
      <c r="H116">
        <f t="shared" si="16"/>
        <v>0</v>
      </c>
      <c r="I116" t="str">
        <f t="shared" si="1"/>
        <v>00</v>
      </c>
      <c r="J116" s="35"/>
    </row>
    <row r="117" spans="1:10" ht="9.75" customHeight="1" x14ac:dyDescent="0.2">
      <c r="A117" s="32"/>
      <c r="B117" s="34"/>
      <c r="H117">
        <f t="shared" si="16"/>
        <v>0</v>
      </c>
      <c r="I117" t="str">
        <f t="shared" si="1"/>
        <v>00</v>
      </c>
      <c r="J117" s="35"/>
    </row>
    <row r="118" spans="1:10" ht="9.75" customHeight="1" x14ac:dyDescent="0.2">
      <c r="A118" s="32"/>
      <c r="B118" s="34"/>
      <c r="H118">
        <f t="shared" si="16"/>
        <v>0</v>
      </c>
      <c r="I118" t="str">
        <f t="shared" si="1"/>
        <v>00</v>
      </c>
      <c r="J118" s="35"/>
    </row>
    <row r="119" spans="1:10" ht="9.75" customHeight="1" x14ac:dyDescent="0.2">
      <c r="A119" s="32"/>
      <c r="B119" s="34"/>
      <c r="H119">
        <f t="shared" si="16"/>
        <v>0</v>
      </c>
      <c r="I119" t="str">
        <f t="shared" si="1"/>
        <v>00</v>
      </c>
      <c r="J119" s="35"/>
    </row>
    <row r="120" spans="1:10" ht="9.75" customHeight="1" x14ac:dyDescent="0.2">
      <c r="A120" s="32"/>
      <c r="B120" s="34"/>
      <c r="E120">
        <v>1</v>
      </c>
      <c r="H120">
        <f t="shared" si="16"/>
        <v>32</v>
      </c>
      <c r="I120" t="str">
        <f t="shared" si="1"/>
        <v>20</v>
      </c>
      <c r="J120" s="35"/>
    </row>
    <row r="121" spans="1:10" ht="9.75" customHeight="1" x14ac:dyDescent="0.2">
      <c r="A121" s="32"/>
      <c r="B121" s="27"/>
      <c r="J121" s="25"/>
    </row>
    <row r="122" spans="1:10" ht="9.75" customHeight="1" x14ac:dyDescent="0.2">
      <c r="A122" s="32">
        <v>47</v>
      </c>
      <c r="B122" s="33" t="s">
        <v>113</v>
      </c>
      <c r="D122">
        <v>1</v>
      </c>
      <c r="F122">
        <v>1</v>
      </c>
      <c r="H122">
        <f t="shared" ref="H122:H128" si="17">C122*C$1+D122*D$1+E122*E$1+F122*F$1+G122*G$1</f>
        <v>80</v>
      </c>
      <c r="I122" t="str">
        <f t="shared" si="1"/>
        <v>50</v>
      </c>
      <c r="J122" s="35" t="str">
        <f>CONCATENATE("0x",I122,",0x",I123,",0x",I124,",0x",I125,",0x",I126,",0x",I127,",0x",I128,", //",B122)</f>
        <v>0x50,0x50,0x50,0xF8,0x88,0x88,0x70, ///</v>
      </c>
    </row>
    <row r="123" spans="1:10" ht="9.75" customHeight="1" x14ac:dyDescent="0.2">
      <c r="A123" s="32"/>
      <c r="B123" s="34"/>
      <c r="D123">
        <v>1</v>
      </c>
      <c r="F123">
        <v>1</v>
      </c>
      <c r="H123">
        <f t="shared" si="17"/>
        <v>80</v>
      </c>
      <c r="I123" t="str">
        <f t="shared" si="1"/>
        <v>50</v>
      </c>
      <c r="J123" s="35"/>
    </row>
    <row r="124" spans="1:10" ht="9.75" customHeight="1" x14ac:dyDescent="0.2">
      <c r="A124" s="32"/>
      <c r="B124" s="34"/>
      <c r="D124">
        <v>1</v>
      </c>
      <c r="F124">
        <v>1</v>
      </c>
      <c r="H124">
        <f t="shared" si="17"/>
        <v>80</v>
      </c>
      <c r="I124" t="str">
        <f t="shared" si="1"/>
        <v>50</v>
      </c>
      <c r="J124" s="35"/>
    </row>
    <row r="125" spans="1:10" ht="9.75" customHeight="1" x14ac:dyDescent="0.2">
      <c r="A125" s="32"/>
      <c r="B125" s="34"/>
      <c r="C125">
        <v>1</v>
      </c>
      <c r="D125">
        <v>1</v>
      </c>
      <c r="E125">
        <v>1</v>
      </c>
      <c r="F125">
        <v>1</v>
      </c>
      <c r="G125">
        <v>1</v>
      </c>
      <c r="H125">
        <f t="shared" si="17"/>
        <v>248</v>
      </c>
      <c r="I125" t="str">
        <f t="shared" si="1"/>
        <v>F8</v>
      </c>
      <c r="J125" s="35"/>
    </row>
    <row r="126" spans="1:10" ht="9.75" customHeight="1" x14ac:dyDescent="0.2">
      <c r="A126" s="32"/>
      <c r="B126" s="34"/>
      <c r="C126">
        <v>1</v>
      </c>
      <c r="G126">
        <v>1</v>
      </c>
      <c r="H126">
        <f t="shared" si="17"/>
        <v>136</v>
      </c>
      <c r="I126" t="str">
        <f t="shared" si="1"/>
        <v>88</v>
      </c>
      <c r="J126" s="35"/>
    </row>
    <row r="127" spans="1:10" ht="9.75" customHeight="1" x14ac:dyDescent="0.2">
      <c r="A127" s="32"/>
      <c r="B127" s="34"/>
      <c r="C127">
        <v>1</v>
      </c>
      <c r="G127">
        <v>1</v>
      </c>
      <c r="H127">
        <f t="shared" si="17"/>
        <v>136</v>
      </c>
      <c r="I127" t="str">
        <f t="shared" si="1"/>
        <v>88</v>
      </c>
      <c r="J127" s="35"/>
    </row>
    <row r="128" spans="1:10" ht="9.75" customHeight="1" x14ac:dyDescent="0.2">
      <c r="A128" s="32"/>
      <c r="B128" s="34"/>
      <c r="D128">
        <v>1</v>
      </c>
      <c r="E128">
        <v>1</v>
      </c>
      <c r="F128">
        <v>1</v>
      </c>
      <c r="H128">
        <f t="shared" si="17"/>
        <v>112</v>
      </c>
      <c r="I128" t="str">
        <f t="shared" si="1"/>
        <v>70</v>
      </c>
      <c r="J128" s="35"/>
    </row>
    <row r="129" spans="1:10" ht="9.75" customHeight="1" x14ac:dyDescent="0.2">
      <c r="A129" s="32"/>
      <c r="B129" s="27"/>
      <c r="J129" s="25"/>
    </row>
    <row r="130" spans="1:10" ht="9.75" customHeight="1" x14ac:dyDescent="0.2">
      <c r="A130" s="32">
        <v>48</v>
      </c>
      <c r="B130" s="34">
        <v>0</v>
      </c>
      <c r="D130">
        <v>1</v>
      </c>
      <c r="E130">
        <v>1</v>
      </c>
      <c r="F130">
        <v>1</v>
      </c>
      <c r="H130">
        <f t="shared" ref="H130:H136" si="18">C130*C$1+D130*D$1+E130*E$1+F130*F$1+G130*G$1</f>
        <v>112</v>
      </c>
      <c r="I130" t="str">
        <f t="shared" ref="I130:I136" si="19">DEC2HEX(H130,2)</f>
        <v>70</v>
      </c>
      <c r="J130" s="35" t="str">
        <f>CONCATENATE("0x",I130,",0x",I131,",0x",I132,",0x",I133,",0x",I134,",0x",I135,",0x",I136,", //",B130)</f>
        <v>0x70,0x88,0x88,0xA8,0x88,0x88,0x70, //0</v>
      </c>
    </row>
    <row r="131" spans="1:10" ht="9.75" customHeight="1" x14ac:dyDescent="0.2">
      <c r="A131" s="32"/>
      <c r="B131" s="34"/>
      <c r="C131">
        <v>1</v>
      </c>
      <c r="G131">
        <v>1</v>
      </c>
      <c r="H131">
        <f t="shared" si="18"/>
        <v>136</v>
      </c>
      <c r="I131" t="str">
        <f t="shared" si="19"/>
        <v>88</v>
      </c>
      <c r="J131" s="35"/>
    </row>
    <row r="132" spans="1:10" ht="9.75" customHeight="1" x14ac:dyDescent="0.2">
      <c r="A132" s="32"/>
      <c r="B132" s="34"/>
      <c r="C132">
        <v>1</v>
      </c>
      <c r="G132">
        <v>1</v>
      </c>
      <c r="H132">
        <f t="shared" si="18"/>
        <v>136</v>
      </c>
      <c r="I132" t="str">
        <f t="shared" si="19"/>
        <v>88</v>
      </c>
      <c r="J132" s="35"/>
    </row>
    <row r="133" spans="1:10" ht="9.75" customHeight="1" x14ac:dyDescent="0.2">
      <c r="A133" s="32"/>
      <c r="B133" s="34"/>
      <c r="C133">
        <v>1</v>
      </c>
      <c r="E133">
        <v>1</v>
      </c>
      <c r="G133">
        <v>1</v>
      </c>
      <c r="H133">
        <f t="shared" si="18"/>
        <v>168</v>
      </c>
      <c r="I133" t="str">
        <f t="shared" si="19"/>
        <v>A8</v>
      </c>
      <c r="J133" s="35"/>
    </row>
    <row r="134" spans="1:10" ht="9.75" customHeight="1" x14ac:dyDescent="0.2">
      <c r="A134" s="32"/>
      <c r="B134" s="34"/>
      <c r="C134">
        <v>1</v>
      </c>
      <c r="G134">
        <v>1</v>
      </c>
      <c r="H134">
        <f t="shared" si="18"/>
        <v>136</v>
      </c>
      <c r="I134" t="str">
        <f t="shared" si="19"/>
        <v>88</v>
      </c>
      <c r="J134" s="35"/>
    </row>
    <row r="135" spans="1:10" ht="9.75" customHeight="1" x14ac:dyDescent="0.2">
      <c r="A135" s="32"/>
      <c r="B135" s="34"/>
      <c r="C135">
        <v>1</v>
      </c>
      <c r="G135">
        <v>1</v>
      </c>
      <c r="H135">
        <f t="shared" si="18"/>
        <v>136</v>
      </c>
      <c r="I135" t="str">
        <f t="shared" si="19"/>
        <v>88</v>
      </c>
      <c r="J135" s="35"/>
    </row>
    <row r="136" spans="1:10" ht="9.75" customHeight="1" x14ac:dyDescent="0.2">
      <c r="A136" s="32"/>
      <c r="B136" s="34"/>
      <c r="D136">
        <v>1</v>
      </c>
      <c r="E136">
        <v>1</v>
      </c>
      <c r="F136">
        <v>1</v>
      </c>
      <c r="H136">
        <f t="shared" si="18"/>
        <v>112</v>
      </c>
      <c r="I136" t="str">
        <f t="shared" si="19"/>
        <v>70</v>
      </c>
      <c r="J136" s="35"/>
    </row>
    <row r="137" spans="1:10" ht="9.75" customHeight="1" x14ac:dyDescent="0.2">
      <c r="A137" s="32"/>
      <c r="B137" s="27"/>
    </row>
    <row r="138" spans="1:10" ht="9.75" customHeight="1" x14ac:dyDescent="0.2">
      <c r="A138" s="32">
        <v>49</v>
      </c>
      <c r="B138" s="34">
        <v>1</v>
      </c>
      <c r="E138">
        <v>1</v>
      </c>
      <c r="H138">
        <f>C138*C$1+D138*D$1+E138*E$1+F138*F$1+G138*G$1</f>
        <v>32</v>
      </c>
      <c r="I138" t="str">
        <f>DEC2HEX(H138,2)</f>
        <v>20</v>
      </c>
      <c r="J138" s="35" t="str">
        <f>CONCATENATE("0x",I138,",0x",I139,",0x",I140,",0x",I141,",0x",I142,",0x",I143,",0x",I144,", //",B138)</f>
        <v>0x20,0x60,0x20,0x20,0x20,0x20,0x70, //1</v>
      </c>
    </row>
    <row r="139" spans="1:10" ht="9.75" customHeight="1" x14ac:dyDescent="0.2">
      <c r="A139" s="32"/>
      <c r="B139" s="34"/>
      <c r="D139">
        <v>1</v>
      </c>
      <c r="E139">
        <v>1</v>
      </c>
      <c r="H139">
        <f t="shared" ref="H139:H152" si="20">C139*C$1+D139*D$1+E139*E$1+F139*F$1+G139*G$1</f>
        <v>96</v>
      </c>
      <c r="I139" t="str">
        <f t="shared" ref="I139:I152" si="21">DEC2HEX(H139,2)</f>
        <v>60</v>
      </c>
      <c r="J139" s="35"/>
    </row>
    <row r="140" spans="1:10" ht="9.75" customHeight="1" x14ac:dyDescent="0.2">
      <c r="A140" s="32"/>
      <c r="B140" s="34"/>
      <c r="E140">
        <v>1</v>
      </c>
      <c r="H140">
        <f t="shared" si="20"/>
        <v>32</v>
      </c>
      <c r="I140" t="str">
        <f t="shared" si="21"/>
        <v>20</v>
      </c>
      <c r="J140" s="35"/>
    </row>
    <row r="141" spans="1:10" ht="9.75" customHeight="1" x14ac:dyDescent="0.2">
      <c r="A141" s="32"/>
      <c r="B141" s="34"/>
      <c r="E141">
        <v>1</v>
      </c>
      <c r="H141">
        <f t="shared" si="20"/>
        <v>32</v>
      </c>
      <c r="I141" t="str">
        <f t="shared" si="21"/>
        <v>20</v>
      </c>
      <c r="J141" s="35"/>
    </row>
    <row r="142" spans="1:10" ht="9.75" customHeight="1" x14ac:dyDescent="0.2">
      <c r="A142" s="32"/>
      <c r="B142" s="34"/>
      <c r="E142">
        <v>1</v>
      </c>
      <c r="H142">
        <f t="shared" si="20"/>
        <v>32</v>
      </c>
      <c r="I142" t="str">
        <f t="shared" si="21"/>
        <v>20</v>
      </c>
      <c r="J142" s="35"/>
    </row>
    <row r="143" spans="1:10" ht="9.75" customHeight="1" x14ac:dyDescent="0.2">
      <c r="A143" s="32"/>
      <c r="B143" s="34"/>
      <c r="E143">
        <v>1</v>
      </c>
      <c r="H143">
        <f t="shared" si="20"/>
        <v>32</v>
      </c>
      <c r="I143" t="str">
        <f t="shared" si="21"/>
        <v>20</v>
      </c>
      <c r="J143" s="35"/>
    </row>
    <row r="144" spans="1:10" ht="9.75" customHeight="1" x14ac:dyDescent="0.2">
      <c r="A144" s="32"/>
      <c r="B144" s="34"/>
      <c r="D144">
        <v>1</v>
      </c>
      <c r="E144">
        <v>1</v>
      </c>
      <c r="F144">
        <v>1</v>
      </c>
      <c r="H144">
        <f t="shared" si="20"/>
        <v>112</v>
      </c>
      <c r="I144" t="str">
        <f t="shared" si="21"/>
        <v>70</v>
      </c>
      <c r="J144" s="35"/>
    </row>
    <row r="145" spans="1:10" ht="9.75" customHeight="1" x14ac:dyDescent="0.2">
      <c r="A145" s="32"/>
      <c r="B145" s="27"/>
    </row>
    <row r="146" spans="1:10" ht="9.75" customHeight="1" x14ac:dyDescent="0.2">
      <c r="A146" s="32">
        <v>50</v>
      </c>
      <c r="B146" s="34">
        <v>2</v>
      </c>
      <c r="D146">
        <v>1</v>
      </c>
      <c r="E146">
        <v>1</v>
      </c>
      <c r="F146">
        <v>1</v>
      </c>
      <c r="H146">
        <f t="shared" si="20"/>
        <v>112</v>
      </c>
      <c r="I146" t="str">
        <f t="shared" si="21"/>
        <v>70</v>
      </c>
      <c r="J146" s="35" t="str">
        <f>CONCATENATE("0x",I146,",0x",I147,",0x",I148,",0x",I149,",0x",I150,",0x",I151,",0x",I152,", //",B146)</f>
        <v>0x70,0x88,0x08,0x70,0x80,0x80,0xF8, //2</v>
      </c>
    </row>
    <row r="147" spans="1:10" ht="9.75" customHeight="1" x14ac:dyDescent="0.2">
      <c r="A147" s="32"/>
      <c r="B147" s="34"/>
      <c r="C147">
        <v>1</v>
      </c>
      <c r="G147">
        <v>1</v>
      </c>
      <c r="H147">
        <f t="shared" si="20"/>
        <v>136</v>
      </c>
      <c r="I147" t="str">
        <f t="shared" si="21"/>
        <v>88</v>
      </c>
      <c r="J147" s="35"/>
    </row>
    <row r="148" spans="1:10" ht="9.75" customHeight="1" x14ac:dyDescent="0.2">
      <c r="A148" s="32"/>
      <c r="B148" s="34"/>
      <c r="G148">
        <v>1</v>
      </c>
      <c r="H148">
        <f t="shared" si="20"/>
        <v>8</v>
      </c>
      <c r="I148" t="str">
        <f t="shared" si="21"/>
        <v>08</v>
      </c>
      <c r="J148" s="35"/>
    </row>
    <row r="149" spans="1:10" ht="9.75" customHeight="1" x14ac:dyDescent="0.2">
      <c r="A149" s="32"/>
      <c r="B149" s="34"/>
      <c r="D149">
        <v>1</v>
      </c>
      <c r="E149">
        <v>1</v>
      </c>
      <c r="F149">
        <v>1</v>
      </c>
      <c r="H149">
        <f t="shared" si="20"/>
        <v>112</v>
      </c>
      <c r="I149" t="str">
        <f t="shared" si="21"/>
        <v>70</v>
      </c>
      <c r="J149" s="35"/>
    </row>
    <row r="150" spans="1:10" ht="9.75" customHeight="1" x14ac:dyDescent="0.2">
      <c r="A150" s="32"/>
      <c r="B150" s="34"/>
      <c r="C150">
        <v>1</v>
      </c>
      <c r="H150">
        <f t="shared" si="20"/>
        <v>128</v>
      </c>
      <c r="I150" t="str">
        <f t="shared" si="21"/>
        <v>80</v>
      </c>
      <c r="J150" s="35"/>
    </row>
    <row r="151" spans="1:10" ht="9.75" customHeight="1" x14ac:dyDescent="0.2">
      <c r="A151" s="32"/>
      <c r="B151" s="34"/>
      <c r="C151">
        <v>1</v>
      </c>
      <c r="H151">
        <f t="shared" si="20"/>
        <v>128</v>
      </c>
      <c r="I151" t="str">
        <f t="shared" si="21"/>
        <v>80</v>
      </c>
      <c r="J151" s="35"/>
    </row>
    <row r="152" spans="1:10" ht="9.75" customHeight="1" x14ac:dyDescent="0.2">
      <c r="A152" s="32"/>
      <c r="B152" s="34"/>
      <c r="C152">
        <v>1</v>
      </c>
      <c r="D152">
        <v>1</v>
      </c>
      <c r="E152">
        <v>1</v>
      </c>
      <c r="F152">
        <v>1</v>
      </c>
      <c r="G152">
        <v>1</v>
      </c>
      <c r="H152">
        <f t="shared" si="20"/>
        <v>248</v>
      </c>
      <c r="I152" t="str">
        <f t="shared" si="21"/>
        <v>F8</v>
      </c>
      <c r="J152" s="35"/>
    </row>
    <row r="153" spans="1:10" ht="9.75" customHeight="1" x14ac:dyDescent="0.2">
      <c r="A153" s="32"/>
    </row>
    <row r="154" spans="1:10" ht="9.75" customHeight="1" x14ac:dyDescent="0.2">
      <c r="A154" s="32">
        <v>51</v>
      </c>
      <c r="B154" s="34">
        <v>3</v>
      </c>
      <c r="D154">
        <v>1</v>
      </c>
      <c r="E154">
        <v>1</v>
      </c>
      <c r="F154">
        <v>1</v>
      </c>
      <c r="H154">
        <f t="shared" ref="H154:H160" si="22">C154*C$1+D154*D$1+E154*E$1+F154*F$1+G154*G$1</f>
        <v>112</v>
      </c>
      <c r="I154" t="str">
        <f t="shared" ref="I154:I160" si="23">DEC2HEX(H154,2)</f>
        <v>70</v>
      </c>
      <c r="J154" s="35" t="str">
        <f>CONCATENATE("0x",I154,",0x",I155,",0x",I156,",0x",I157,",0x",I158,",0x",I159,",0x",I160,", //",B154)</f>
        <v>0x70,0x88,0x08,0x70,0x08,0x88,0x70, //3</v>
      </c>
    </row>
    <row r="155" spans="1:10" ht="9.75" customHeight="1" x14ac:dyDescent="0.2">
      <c r="A155" s="32"/>
      <c r="B155" s="34"/>
      <c r="C155">
        <v>1</v>
      </c>
      <c r="G155">
        <v>1</v>
      </c>
      <c r="H155">
        <f t="shared" si="22"/>
        <v>136</v>
      </c>
      <c r="I155" t="str">
        <f t="shared" si="23"/>
        <v>88</v>
      </c>
      <c r="J155" s="35"/>
    </row>
    <row r="156" spans="1:10" ht="9.75" customHeight="1" x14ac:dyDescent="0.2">
      <c r="A156" s="32"/>
      <c r="B156" s="34"/>
      <c r="G156">
        <v>1</v>
      </c>
      <c r="H156">
        <f t="shared" si="22"/>
        <v>8</v>
      </c>
      <c r="I156" t="str">
        <f t="shared" si="23"/>
        <v>08</v>
      </c>
      <c r="J156" s="35"/>
    </row>
    <row r="157" spans="1:10" ht="9.75" customHeight="1" x14ac:dyDescent="0.2">
      <c r="A157" s="32"/>
      <c r="B157" s="34"/>
      <c r="D157">
        <v>1</v>
      </c>
      <c r="E157">
        <v>1</v>
      </c>
      <c r="F157">
        <v>1</v>
      </c>
      <c r="H157">
        <f t="shared" si="22"/>
        <v>112</v>
      </c>
      <c r="I157" t="str">
        <f t="shared" si="23"/>
        <v>70</v>
      </c>
      <c r="J157" s="35"/>
    </row>
    <row r="158" spans="1:10" ht="9.75" customHeight="1" x14ac:dyDescent="0.2">
      <c r="A158" s="32"/>
      <c r="B158" s="34"/>
      <c r="G158">
        <v>1</v>
      </c>
      <c r="H158">
        <f t="shared" si="22"/>
        <v>8</v>
      </c>
      <c r="I158" t="str">
        <f t="shared" si="23"/>
        <v>08</v>
      </c>
      <c r="J158" s="35"/>
    </row>
    <row r="159" spans="1:10" ht="9.75" customHeight="1" x14ac:dyDescent="0.2">
      <c r="A159" s="32"/>
      <c r="B159" s="34"/>
      <c r="C159">
        <v>1</v>
      </c>
      <c r="G159">
        <v>1</v>
      </c>
      <c r="H159">
        <f t="shared" si="22"/>
        <v>136</v>
      </c>
      <c r="I159" t="str">
        <f t="shared" si="23"/>
        <v>88</v>
      </c>
      <c r="J159" s="35"/>
    </row>
    <row r="160" spans="1:10" ht="9.75" customHeight="1" x14ac:dyDescent="0.2">
      <c r="A160" s="32"/>
      <c r="B160" s="34"/>
      <c r="D160">
        <v>1</v>
      </c>
      <c r="E160">
        <v>1</v>
      </c>
      <c r="F160">
        <v>1</v>
      </c>
      <c r="H160">
        <f t="shared" si="22"/>
        <v>112</v>
      </c>
      <c r="I160" t="str">
        <f t="shared" si="23"/>
        <v>70</v>
      </c>
      <c r="J160" s="35"/>
    </row>
    <row r="161" spans="1:10" ht="9.75" customHeight="1" x14ac:dyDescent="0.2">
      <c r="A161" s="32"/>
    </row>
    <row r="162" spans="1:10" ht="9.75" customHeight="1" x14ac:dyDescent="0.2">
      <c r="A162" s="32">
        <v>52</v>
      </c>
      <c r="B162" s="34">
        <v>4</v>
      </c>
      <c r="C162">
        <v>1</v>
      </c>
      <c r="G162">
        <v>1</v>
      </c>
      <c r="H162">
        <f t="shared" ref="H162:H168" si="24">C162*C$1+D162*D$1+E162*E$1+F162*F$1+G162*G$1</f>
        <v>136</v>
      </c>
      <c r="I162" t="str">
        <f t="shared" ref="I162:I168" si="25">DEC2HEX(H162,2)</f>
        <v>88</v>
      </c>
      <c r="J162" s="35" t="str">
        <f>CONCATENATE("0x",I162,",0x",I163,",0x",I164,",0x",I165,",0x",I166,",0x",I167,",0x",I168,", //",B162)</f>
        <v>0x88,0x88,0x88,0xF8,0x08,0x08,0x08, //4</v>
      </c>
    </row>
    <row r="163" spans="1:10" ht="9.75" customHeight="1" x14ac:dyDescent="0.2">
      <c r="A163" s="32"/>
      <c r="B163" s="34"/>
      <c r="C163">
        <v>1</v>
      </c>
      <c r="G163">
        <v>1</v>
      </c>
      <c r="H163">
        <f t="shared" si="24"/>
        <v>136</v>
      </c>
      <c r="I163" t="str">
        <f t="shared" si="25"/>
        <v>88</v>
      </c>
      <c r="J163" s="35"/>
    </row>
    <row r="164" spans="1:10" ht="9.75" customHeight="1" x14ac:dyDescent="0.2">
      <c r="A164" s="32"/>
      <c r="B164" s="34"/>
      <c r="C164">
        <v>1</v>
      </c>
      <c r="G164">
        <v>1</v>
      </c>
      <c r="H164">
        <f t="shared" si="24"/>
        <v>136</v>
      </c>
      <c r="I164" t="str">
        <f t="shared" si="25"/>
        <v>88</v>
      </c>
      <c r="J164" s="35"/>
    </row>
    <row r="165" spans="1:10" ht="9.75" customHeight="1" x14ac:dyDescent="0.2">
      <c r="A165" s="32"/>
      <c r="B165" s="34"/>
      <c r="C165">
        <v>1</v>
      </c>
      <c r="D165">
        <v>1</v>
      </c>
      <c r="E165">
        <v>1</v>
      </c>
      <c r="F165">
        <v>1</v>
      </c>
      <c r="G165">
        <v>1</v>
      </c>
      <c r="H165">
        <f t="shared" si="24"/>
        <v>248</v>
      </c>
      <c r="I165" t="str">
        <f t="shared" si="25"/>
        <v>F8</v>
      </c>
      <c r="J165" s="35"/>
    </row>
    <row r="166" spans="1:10" ht="9.75" customHeight="1" x14ac:dyDescent="0.2">
      <c r="A166" s="32"/>
      <c r="B166" s="34"/>
      <c r="G166">
        <v>1</v>
      </c>
      <c r="H166">
        <f t="shared" si="24"/>
        <v>8</v>
      </c>
      <c r="I166" t="str">
        <f t="shared" si="25"/>
        <v>08</v>
      </c>
      <c r="J166" s="35"/>
    </row>
    <row r="167" spans="1:10" ht="9.75" customHeight="1" x14ac:dyDescent="0.2">
      <c r="A167" s="32"/>
      <c r="B167" s="34"/>
      <c r="G167">
        <v>1</v>
      </c>
      <c r="H167">
        <f t="shared" si="24"/>
        <v>8</v>
      </c>
      <c r="I167" t="str">
        <f t="shared" si="25"/>
        <v>08</v>
      </c>
      <c r="J167" s="35"/>
    </row>
    <row r="168" spans="1:10" ht="9.75" customHeight="1" x14ac:dyDescent="0.2">
      <c r="A168" s="32"/>
      <c r="B168" s="34"/>
      <c r="G168">
        <v>1</v>
      </c>
      <c r="H168">
        <f t="shared" si="24"/>
        <v>8</v>
      </c>
      <c r="I168" t="str">
        <f t="shared" si="25"/>
        <v>08</v>
      </c>
      <c r="J168" s="35"/>
    </row>
    <row r="169" spans="1:10" ht="9.75" customHeight="1" x14ac:dyDescent="0.2">
      <c r="A169" s="32"/>
      <c r="B169" s="27"/>
    </row>
    <row r="170" spans="1:10" ht="9.75" customHeight="1" x14ac:dyDescent="0.2">
      <c r="A170" s="32">
        <v>53</v>
      </c>
      <c r="B170" s="34">
        <v>5</v>
      </c>
      <c r="C170">
        <v>1</v>
      </c>
      <c r="D170">
        <v>1</v>
      </c>
      <c r="E170">
        <v>1</v>
      </c>
      <c r="F170">
        <v>1</v>
      </c>
      <c r="G170">
        <v>1</v>
      </c>
      <c r="H170">
        <f t="shared" ref="H170:H176" si="26">C170*C$1+D170*D$1+E170*E$1+F170*F$1+G170*G$1</f>
        <v>248</v>
      </c>
      <c r="I170" t="str">
        <f t="shared" ref="I170:I512" si="27">DEC2HEX(H170,2)</f>
        <v>F8</v>
      </c>
      <c r="J170" s="35" t="str">
        <f>CONCATENATE("0x",I170,",0x",I171,",0x",I172,",0x",I173,",0x",I174,",0x",I175,",0x",I176,", //",B170)</f>
        <v>0xF8,0x80,0x80,0xF0,0x08,0x88,0x70, //5</v>
      </c>
    </row>
    <row r="171" spans="1:10" ht="9.75" customHeight="1" x14ac:dyDescent="0.2">
      <c r="A171" s="32"/>
      <c r="B171" s="34"/>
      <c r="C171">
        <v>1</v>
      </c>
      <c r="H171">
        <f t="shared" si="26"/>
        <v>128</v>
      </c>
      <c r="I171" t="str">
        <f t="shared" si="27"/>
        <v>80</v>
      </c>
      <c r="J171" s="35"/>
    </row>
    <row r="172" spans="1:10" ht="9.75" customHeight="1" x14ac:dyDescent="0.2">
      <c r="A172" s="32"/>
      <c r="B172" s="34"/>
      <c r="C172">
        <v>1</v>
      </c>
      <c r="H172">
        <f t="shared" si="26"/>
        <v>128</v>
      </c>
      <c r="I172" t="str">
        <f t="shared" si="27"/>
        <v>80</v>
      </c>
      <c r="J172" s="35"/>
    </row>
    <row r="173" spans="1:10" ht="9.75" customHeight="1" x14ac:dyDescent="0.2">
      <c r="A173" s="32"/>
      <c r="B173" s="34"/>
      <c r="C173">
        <v>1</v>
      </c>
      <c r="D173">
        <v>1</v>
      </c>
      <c r="E173">
        <v>1</v>
      </c>
      <c r="F173">
        <v>1</v>
      </c>
      <c r="H173">
        <f t="shared" si="26"/>
        <v>240</v>
      </c>
      <c r="I173" t="str">
        <f t="shared" si="27"/>
        <v>F0</v>
      </c>
      <c r="J173" s="35"/>
    </row>
    <row r="174" spans="1:10" ht="9.75" customHeight="1" x14ac:dyDescent="0.2">
      <c r="A174" s="32"/>
      <c r="B174" s="34"/>
      <c r="G174">
        <v>1</v>
      </c>
      <c r="H174">
        <f t="shared" si="26"/>
        <v>8</v>
      </c>
      <c r="I174" t="str">
        <f t="shared" si="27"/>
        <v>08</v>
      </c>
      <c r="J174" s="35"/>
    </row>
    <row r="175" spans="1:10" ht="9.75" customHeight="1" x14ac:dyDescent="0.2">
      <c r="A175" s="32"/>
      <c r="B175" s="34"/>
      <c r="C175">
        <v>1</v>
      </c>
      <c r="G175">
        <v>1</v>
      </c>
      <c r="H175">
        <f t="shared" si="26"/>
        <v>136</v>
      </c>
      <c r="I175" t="str">
        <f t="shared" si="27"/>
        <v>88</v>
      </c>
      <c r="J175" s="35"/>
    </row>
    <row r="176" spans="1:10" ht="9.75" customHeight="1" x14ac:dyDescent="0.2">
      <c r="A176" s="32"/>
      <c r="B176" s="34"/>
      <c r="D176">
        <v>1</v>
      </c>
      <c r="E176">
        <v>1</v>
      </c>
      <c r="F176">
        <v>1</v>
      </c>
      <c r="H176">
        <f t="shared" si="26"/>
        <v>112</v>
      </c>
      <c r="I176" t="str">
        <f t="shared" si="27"/>
        <v>70</v>
      </c>
      <c r="J176" s="35"/>
    </row>
    <row r="177" spans="1:10" ht="9.75" customHeight="1" x14ac:dyDescent="0.2">
      <c r="A177" s="32"/>
      <c r="B177" s="27"/>
    </row>
    <row r="178" spans="1:10" ht="9.75" customHeight="1" x14ac:dyDescent="0.2">
      <c r="A178" s="32">
        <v>54</v>
      </c>
      <c r="B178" s="34">
        <v>6</v>
      </c>
      <c r="D178">
        <v>1</v>
      </c>
      <c r="E178">
        <v>1</v>
      </c>
      <c r="F178">
        <v>1</v>
      </c>
      <c r="H178">
        <f t="shared" ref="H178:H184" si="28">C178*C$1+D178*D$1+E178*E$1+F178*F$1+G178*G$1</f>
        <v>112</v>
      </c>
      <c r="I178" t="str">
        <f t="shared" si="27"/>
        <v>70</v>
      </c>
      <c r="J178" s="35" t="str">
        <f>CONCATENATE("0x",I178,",0x",I179,",0x",I180,",0x",I181,",0x",I182,",0x",I183,",0x",I184,", //",B178)</f>
        <v>0x70,0x88,0x80,0xF0,0x88,0x88,0x70, //6</v>
      </c>
    </row>
    <row r="179" spans="1:10" ht="9.75" customHeight="1" x14ac:dyDescent="0.2">
      <c r="A179" s="32"/>
      <c r="B179" s="34"/>
      <c r="C179">
        <v>1</v>
      </c>
      <c r="G179">
        <v>1</v>
      </c>
      <c r="H179">
        <f t="shared" si="28"/>
        <v>136</v>
      </c>
      <c r="I179" t="str">
        <f t="shared" si="27"/>
        <v>88</v>
      </c>
      <c r="J179" s="35"/>
    </row>
    <row r="180" spans="1:10" ht="9.75" customHeight="1" x14ac:dyDescent="0.2">
      <c r="A180" s="32"/>
      <c r="B180" s="34"/>
      <c r="C180">
        <v>1</v>
      </c>
      <c r="H180">
        <f t="shared" si="28"/>
        <v>128</v>
      </c>
      <c r="I180" t="str">
        <f t="shared" si="27"/>
        <v>80</v>
      </c>
      <c r="J180" s="35"/>
    </row>
    <row r="181" spans="1:10" ht="9.75" customHeight="1" x14ac:dyDescent="0.2">
      <c r="A181" s="32"/>
      <c r="B181" s="34"/>
      <c r="C181">
        <v>1</v>
      </c>
      <c r="D181">
        <v>1</v>
      </c>
      <c r="E181">
        <v>1</v>
      </c>
      <c r="F181">
        <v>1</v>
      </c>
      <c r="H181">
        <f t="shared" si="28"/>
        <v>240</v>
      </c>
      <c r="I181" t="str">
        <f t="shared" si="27"/>
        <v>F0</v>
      </c>
      <c r="J181" s="35"/>
    </row>
    <row r="182" spans="1:10" ht="9.75" customHeight="1" x14ac:dyDescent="0.2">
      <c r="A182" s="32"/>
      <c r="B182" s="34"/>
      <c r="C182">
        <v>1</v>
      </c>
      <c r="G182">
        <v>1</v>
      </c>
      <c r="H182">
        <f t="shared" si="28"/>
        <v>136</v>
      </c>
      <c r="I182" t="str">
        <f t="shared" si="27"/>
        <v>88</v>
      </c>
      <c r="J182" s="35"/>
    </row>
    <row r="183" spans="1:10" ht="9.75" customHeight="1" x14ac:dyDescent="0.2">
      <c r="A183" s="32"/>
      <c r="B183" s="34"/>
      <c r="C183">
        <v>1</v>
      </c>
      <c r="G183">
        <v>1</v>
      </c>
      <c r="H183">
        <f t="shared" si="28"/>
        <v>136</v>
      </c>
      <c r="I183" t="str">
        <f t="shared" si="27"/>
        <v>88</v>
      </c>
      <c r="J183" s="35"/>
    </row>
    <row r="184" spans="1:10" ht="9.75" customHeight="1" x14ac:dyDescent="0.2">
      <c r="A184" s="32"/>
      <c r="B184" s="34"/>
      <c r="D184">
        <v>1</v>
      </c>
      <c r="E184">
        <v>1</v>
      </c>
      <c r="F184">
        <v>1</v>
      </c>
      <c r="H184">
        <f t="shared" si="28"/>
        <v>112</v>
      </c>
      <c r="I184" t="str">
        <f t="shared" si="27"/>
        <v>70</v>
      </c>
      <c r="J184" s="35"/>
    </row>
    <row r="185" spans="1:10" ht="9.75" customHeight="1" x14ac:dyDescent="0.2">
      <c r="A185" s="32"/>
    </row>
    <row r="186" spans="1:10" ht="9.75" customHeight="1" x14ac:dyDescent="0.2">
      <c r="A186" s="32">
        <v>55</v>
      </c>
      <c r="B186" s="34">
        <v>7</v>
      </c>
      <c r="C186">
        <v>1</v>
      </c>
      <c r="D186">
        <v>1</v>
      </c>
      <c r="E186">
        <v>1</v>
      </c>
      <c r="F186">
        <v>1</v>
      </c>
      <c r="G186">
        <v>1</v>
      </c>
      <c r="H186">
        <f t="shared" ref="H186:H192" si="29">C186*C$1+D186*D$1+E186*E$1+F186*F$1+G186*G$1</f>
        <v>248</v>
      </c>
      <c r="I186" t="str">
        <f t="shared" si="27"/>
        <v>F8</v>
      </c>
      <c r="J186" s="35" t="str">
        <f>CONCATENATE("0x",I186,",0x",I187,",0x",I188,",0x",I189,",0x",I190,",0x",I191,",0x",I192,", //",B186)</f>
        <v>0xF8,0x08,0x10,0x20,0x40,0x40,0x40, //7</v>
      </c>
    </row>
    <row r="187" spans="1:10" ht="9.75" customHeight="1" x14ac:dyDescent="0.2">
      <c r="A187" s="32"/>
      <c r="B187" s="34"/>
      <c r="G187">
        <v>1</v>
      </c>
      <c r="H187">
        <f t="shared" si="29"/>
        <v>8</v>
      </c>
      <c r="I187" t="str">
        <f t="shared" si="27"/>
        <v>08</v>
      </c>
      <c r="J187" s="35"/>
    </row>
    <row r="188" spans="1:10" ht="9.75" customHeight="1" x14ac:dyDescent="0.2">
      <c r="A188" s="32"/>
      <c r="B188" s="34"/>
      <c r="F188">
        <v>1</v>
      </c>
      <c r="H188">
        <f t="shared" si="29"/>
        <v>16</v>
      </c>
      <c r="I188" t="str">
        <f t="shared" si="27"/>
        <v>10</v>
      </c>
      <c r="J188" s="35"/>
    </row>
    <row r="189" spans="1:10" ht="9.75" customHeight="1" x14ac:dyDescent="0.2">
      <c r="A189" s="32"/>
      <c r="B189" s="34"/>
      <c r="E189">
        <v>1</v>
      </c>
      <c r="H189">
        <f t="shared" si="29"/>
        <v>32</v>
      </c>
      <c r="I189" t="str">
        <f t="shared" si="27"/>
        <v>20</v>
      </c>
      <c r="J189" s="35"/>
    </row>
    <row r="190" spans="1:10" ht="9.75" customHeight="1" x14ac:dyDescent="0.2">
      <c r="A190" s="32"/>
      <c r="B190" s="34"/>
      <c r="D190">
        <v>1</v>
      </c>
      <c r="H190">
        <f t="shared" si="29"/>
        <v>64</v>
      </c>
      <c r="I190" t="str">
        <f t="shared" si="27"/>
        <v>40</v>
      </c>
      <c r="J190" s="35"/>
    </row>
    <row r="191" spans="1:10" ht="9.75" customHeight="1" x14ac:dyDescent="0.2">
      <c r="A191" s="32"/>
      <c r="B191" s="34"/>
      <c r="D191">
        <v>1</v>
      </c>
      <c r="H191">
        <f t="shared" si="29"/>
        <v>64</v>
      </c>
      <c r="I191" t="str">
        <f t="shared" si="27"/>
        <v>40</v>
      </c>
      <c r="J191" s="35"/>
    </row>
    <row r="192" spans="1:10" ht="9.75" customHeight="1" x14ac:dyDescent="0.2">
      <c r="A192" s="32"/>
      <c r="B192" s="34"/>
      <c r="D192">
        <v>1</v>
      </c>
      <c r="H192">
        <f t="shared" si="29"/>
        <v>64</v>
      </c>
      <c r="I192" t="str">
        <f t="shared" si="27"/>
        <v>40</v>
      </c>
      <c r="J192" s="35"/>
    </row>
    <row r="193" spans="1:10" ht="9.75" customHeight="1" x14ac:dyDescent="0.2">
      <c r="A193" s="32"/>
    </row>
    <row r="194" spans="1:10" ht="9.75" customHeight="1" x14ac:dyDescent="0.2">
      <c r="A194" s="32">
        <v>56</v>
      </c>
      <c r="B194" s="34">
        <v>8</v>
      </c>
      <c r="D194">
        <v>1</v>
      </c>
      <c r="E194">
        <v>1</v>
      </c>
      <c r="F194">
        <v>1</v>
      </c>
      <c r="H194">
        <f t="shared" ref="H194:H200" si="30">C194*C$1+D194*D$1+E194*E$1+F194*F$1+G194*G$1</f>
        <v>112</v>
      </c>
      <c r="I194" t="str">
        <f t="shared" si="27"/>
        <v>70</v>
      </c>
      <c r="J194" s="35" t="str">
        <f>CONCATENATE("0x",I194,",0x",I195,",0x",I196,",0x",I197,",0x",I198,",0x",I199,",0x",I200,", //",B194)</f>
        <v>0x70,0x88,0x88,0x70,0x88,0x88,0x70, //8</v>
      </c>
    </row>
    <row r="195" spans="1:10" ht="9.75" customHeight="1" x14ac:dyDescent="0.2">
      <c r="A195" s="32"/>
      <c r="B195" s="34"/>
      <c r="C195">
        <v>1</v>
      </c>
      <c r="G195">
        <v>1</v>
      </c>
      <c r="H195">
        <f t="shared" si="30"/>
        <v>136</v>
      </c>
      <c r="I195" t="str">
        <f t="shared" si="27"/>
        <v>88</v>
      </c>
      <c r="J195" s="35"/>
    </row>
    <row r="196" spans="1:10" ht="9.75" customHeight="1" x14ac:dyDescent="0.2">
      <c r="A196" s="32"/>
      <c r="B196" s="34"/>
      <c r="C196">
        <v>1</v>
      </c>
      <c r="G196">
        <v>1</v>
      </c>
      <c r="H196">
        <f t="shared" si="30"/>
        <v>136</v>
      </c>
      <c r="I196" t="str">
        <f t="shared" si="27"/>
        <v>88</v>
      </c>
      <c r="J196" s="35"/>
    </row>
    <row r="197" spans="1:10" ht="9.75" customHeight="1" x14ac:dyDescent="0.2">
      <c r="A197" s="32"/>
      <c r="B197" s="34"/>
      <c r="D197">
        <v>1</v>
      </c>
      <c r="E197">
        <v>1</v>
      </c>
      <c r="F197">
        <v>1</v>
      </c>
      <c r="H197">
        <f t="shared" si="30"/>
        <v>112</v>
      </c>
      <c r="I197" t="str">
        <f t="shared" si="27"/>
        <v>70</v>
      </c>
      <c r="J197" s="35"/>
    </row>
    <row r="198" spans="1:10" ht="9.75" customHeight="1" x14ac:dyDescent="0.2">
      <c r="A198" s="32"/>
      <c r="B198" s="34"/>
      <c r="C198">
        <v>1</v>
      </c>
      <c r="G198">
        <v>1</v>
      </c>
      <c r="H198">
        <f t="shared" si="30"/>
        <v>136</v>
      </c>
      <c r="I198" t="str">
        <f t="shared" si="27"/>
        <v>88</v>
      </c>
      <c r="J198" s="35"/>
    </row>
    <row r="199" spans="1:10" ht="9.75" customHeight="1" x14ac:dyDescent="0.2">
      <c r="A199" s="32"/>
      <c r="B199" s="34"/>
      <c r="C199">
        <v>1</v>
      </c>
      <c r="G199">
        <v>1</v>
      </c>
      <c r="H199">
        <f t="shared" si="30"/>
        <v>136</v>
      </c>
      <c r="I199" t="str">
        <f t="shared" si="27"/>
        <v>88</v>
      </c>
      <c r="J199" s="35"/>
    </row>
    <row r="200" spans="1:10" ht="9.75" customHeight="1" x14ac:dyDescent="0.2">
      <c r="A200" s="32"/>
      <c r="B200" s="34"/>
      <c r="D200">
        <v>1</v>
      </c>
      <c r="E200">
        <v>1</v>
      </c>
      <c r="F200">
        <v>1</v>
      </c>
      <c r="H200">
        <f t="shared" si="30"/>
        <v>112</v>
      </c>
      <c r="I200" t="str">
        <f t="shared" si="27"/>
        <v>70</v>
      </c>
      <c r="J200" s="35"/>
    </row>
    <row r="201" spans="1:10" ht="9.75" customHeight="1" x14ac:dyDescent="0.2">
      <c r="A201" s="32"/>
    </row>
    <row r="202" spans="1:10" ht="9.75" customHeight="1" x14ac:dyDescent="0.2">
      <c r="A202" s="32">
        <v>57</v>
      </c>
      <c r="B202" s="34">
        <v>9</v>
      </c>
      <c r="D202">
        <v>1</v>
      </c>
      <c r="E202">
        <v>1</v>
      </c>
      <c r="F202">
        <v>1</v>
      </c>
      <c r="H202">
        <f t="shared" ref="H202:H512" si="31">C202*C$1+D202*D$1+E202*E$1+F202*F$1+G202*G$1</f>
        <v>112</v>
      </c>
      <c r="I202" t="str">
        <f t="shared" si="27"/>
        <v>70</v>
      </c>
      <c r="J202" s="35" t="str">
        <f>CONCATENATE("0x",I202,",0x",I203,",0x",I204,",0x",I205,",0x",I206,",0x",I207,",0x",I208,", //",B202)</f>
        <v>0x70,0x88,0x88,0x78,0x08,0x88,0x70, //9</v>
      </c>
    </row>
    <row r="203" spans="1:10" ht="9.75" customHeight="1" x14ac:dyDescent="0.2">
      <c r="A203" s="32"/>
      <c r="B203" s="34"/>
      <c r="C203">
        <v>1</v>
      </c>
      <c r="G203">
        <v>1</v>
      </c>
      <c r="H203">
        <f t="shared" si="31"/>
        <v>136</v>
      </c>
      <c r="I203" t="str">
        <f t="shared" si="27"/>
        <v>88</v>
      </c>
      <c r="J203" s="35"/>
    </row>
    <row r="204" spans="1:10" ht="9.75" customHeight="1" x14ac:dyDescent="0.2">
      <c r="A204" s="32"/>
      <c r="B204" s="34"/>
      <c r="C204">
        <v>1</v>
      </c>
      <c r="G204">
        <v>1</v>
      </c>
      <c r="H204">
        <f t="shared" si="31"/>
        <v>136</v>
      </c>
      <c r="I204" t="str">
        <f t="shared" si="27"/>
        <v>88</v>
      </c>
      <c r="J204" s="35"/>
    </row>
    <row r="205" spans="1:10" ht="9.75" customHeight="1" x14ac:dyDescent="0.2">
      <c r="A205" s="32"/>
      <c r="B205" s="34"/>
      <c r="D205">
        <v>1</v>
      </c>
      <c r="E205">
        <v>1</v>
      </c>
      <c r="F205">
        <v>1</v>
      </c>
      <c r="G205">
        <v>1</v>
      </c>
      <c r="H205">
        <f t="shared" si="31"/>
        <v>120</v>
      </c>
      <c r="I205" t="str">
        <f t="shared" si="27"/>
        <v>78</v>
      </c>
      <c r="J205" s="35"/>
    </row>
    <row r="206" spans="1:10" ht="9.75" customHeight="1" x14ac:dyDescent="0.2">
      <c r="A206" s="32"/>
      <c r="B206" s="34"/>
      <c r="G206">
        <v>1</v>
      </c>
      <c r="H206">
        <f t="shared" si="31"/>
        <v>8</v>
      </c>
      <c r="I206" t="str">
        <f t="shared" si="27"/>
        <v>08</v>
      </c>
      <c r="J206" s="35"/>
    </row>
    <row r="207" spans="1:10" ht="9.75" customHeight="1" x14ac:dyDescent="0.2">
      <c r="A207" s="32"/>
      <c r="B207" s="34"/>
      <c r="C207">
        <v>1</v>
      </c>
      <c r="G207">
        <v>1</v>
      </c>
      <c r="H207">
        <f t="shared" si="31"/>
        <v>136</v>
      </c>
      <c r="I207" t="str">
        <f t="shared" si="27"/>
        <v>88</v>
      </c>
      <c r="J207" s="35"/>
    </row>
    <row r="208" spans="1:10" ht="9.75" customHeight="1" x14ac:dyDescent="0.2">
      <c r="A208" s="32"/>
      <c r="B208" s="34"/>
      <c r="D208">
        <v>1</v>
      </c>
      <c r="E208">
        <v>1</v>
      </c>
      <c r="F208">
        <v>1</v>
      </c>
      <c r="H208">
        <f t="shared" si="31"/>
        <v>112</v>
      </c>
      <c r="I208" t="str">
        <f t="shared" si="27"/>
        <v>70</v>
      </c>
      <c r="J208" s="35"/>
    </row>
    <row r="209" spans="1:10" ht="9.75" customHeight="1" x14ac:dyDescent="0.2">
      <c r="A209" s="32"/>
      <c r="B209" s="27"/>
      <c r="J209" s="26"/>
    </row>
    <row r="210" spans="1:10" ht="9.75" customHeight="1" x14ac:dyDescent="0.2">
      <c r="A210" s="32">
        <v>58</v>
      </c>
      <c r="B210" s="34" t="s">
        <v>114</v>
      </c>
      <c r="H210">
        <f t="shared" ref="H210:H216" si="32">C210*C$1+D210*D$1+E210*E$1+F210*F$1+G210*G$1</f>
        <v>0</v>
      </c>
      <c r="I210" t="str">
        <f t="shared" ref="I210:I216" si="33">DEC2HEX(H210,2)</f>
        <v>00</v>
      </c>
      <c r="J210" s="35" t="str">
        <f>CONCATENATE("0x",I210,",0x",I211,",0x",I212,",0x",I213,",0x",I214,",0x",I215,",0x",I216,", //",B210)</f>
        <v>0x00,0x00,0x20,0x00,0x00,0x00,0x20, //:</v>
      </c>
    </row>
    <row r="211" spans="1:10" ht="9.75" customHeight="1" x14ac:dyDescent="0.2">
      <c r="A211" s="32"/>
      <c r="B211" s="34"/>
      <c r="H211">
        <f t="shared" si="32"/>
        <v>0</v>
      </c>
      <c r="I211" t="str">
        <f t="shared" si="33"/>
        <v>00</v>
      </c>
      <c r="J211" s="35"/>
    </row>
    <row r="212" spans="1:10" ht="9.75" customHeight="1" x14ac:dyDescent="0.2">
      <c r="A212" s="32"/>
      <c r="B212" s="34"/>
      <c r="E212">
        <v>1</v>
      </c>
      <c r="H212">
        <f t="shared" si="32"/>
        <v>32</v>
      </c>
      <c r="I212" t="str">
        <f t="shared" si="33"/>
        <v>20</v>
      </c>
      <c r="J212" s="35"/>
    </row>
    <row r="213" spans="1:10" ht="9.75" customHeight="1" x14ac:dyDescent="0.2">
      <c r="A213" s="32"/>
      <c r="B213" s="34"/>
      <c r="H213">
        <f t="shared" si="32"/>
        <v>0</v>
      </c>
      <c r="I213" t="str">
        <f t="shared" si="33"/>
        <v>00</v>
      </c>
      <c r="J213" s="35"/>
    </row>
    <row r="214" spans="1:10" ht="9.75" customHeight="1" x14ac:dyDescent="0.2">
      <c r="A214" s="32"/>
      <c r="B214" s="34"/>
      <c r="H214">
        <f t="shared" si="32"/>
        <v>0</v>
      </c>
      <c r="I214" t="str">
        <f t="shared" si="33"/>
        <v>00</v>
      </c>
      <c r="J214" s="35"/>
    </row>
    <row r="215" spans="1:10" ht="9.75" customHeight="1" x14ac:dyDescent="0.2">
      <c r="A215" s="32"/>
      <c r="B215" s="34"/>
      <c r="H215">
        <f t="shared" si="32"/>
        <v>0</v>
      </c>
      <c r="I215" t="str">
        <f t="shared" si="33"/>
        <v>00</v>
      </c>
      <c r="J215" s="35"/>
    </row>
    <row r="216" spans="1:10" ht="9.75" customHeight="1" x14ac:dyDescent="0.2">
      <c r="A216" s="32"/>
      <c r="B216" s="34"/>
      <c r="E216">
        <v>1</v>
      </c>
      <c r="H216">
        <f t="shared" si="32"/>
        <v>32</v>
      </c>
      <c r="I216" t="str">
        <f t="shared" si="33"/>
        <v>20</v>
      </c>
      <c r="J216" s="35"/>
    </row>
    <row r="217" spans="1:10" ht="9.75" customHeight="1" x14ac:dyDescent="0.2">
      <c r="A217" s="32"/>
      <c r="B217" s="27"/>
      <c r="J217" s="25"/>
    </row>
    <row r="218" spans="1:10" ht="9.75" customHeight="1" x14ac:dyDescent="0.2">
      <c r="A218" s="32">
        <v>59</v>
      </c>
      <c r="B218" s="34" t="s">
        <v>115</v>
      </c>
      <c r="H218">
        <f t="shared" si="31"/>
        <v>0</v>
      </c>
      <c r="I218" t="str">
        <f t="shared" si="27"/>
        <v>00</v>
      </c>
      <c r="J218" s="35" t="str">
        <f>CONCATENATE("0x",I218,",0x",I219,",0x",I220,",0x",I221,",0x",I222,",0x",I223,",0x",I224,", //",B218)</f>
        <v>0x00,0x00,0x20,0x00,0x20,0x20,0x40, //;</v>
      </c>
    </row>
    <row r="219" spans="1:10" ht="9.75" customHeight="1" x14ac:dyDescent="0.2">
      <c r="A219" s="32"/>
      <c r="B219" s="34"/>
      <c r="H219">
        <f t="shared" si="31"/>
        <v>0</v>
      </c>
      <c r="I219" t="str">
        <f t="shared" si="27"/>
        <v>00</v>
      </c>
      <c r="J219" s="35"/>
    </row>
    <row r="220" spans="1:10" ht="9.75" customHeight="1" x14ac:dyDescent="0.2">
      <c r="A220" s="32"/>
      <c r="B220" s="34"/>
      <c r="E220">
        <v>1</v>
      </c>
      <c r="H220">
        <f t="shared" si="31"/>
        <v>32</v>
      </c>
      <c r="I220" t="str">
        <f t="shared" si="27"/>
        <v>20</v>
      </c>
      <c r="J220" s="35"/>
    </row>
    <row r="221" spans="1:10" ht="9.75" customHeight="1" x14ac:dyDescent="0.2">
      <c r="A221" s="32"/>
      <c r="B221" s="34"/>
      <c r="H221">
        <f t="shared" si="31"/>
        <v>0</v>
      </c>
      <c r="I221" t="str">
        <f t="shared" si="27"/>
        <v>00</v>
      </c>
      <c r="J221" s="35"/>
    </row>
    <row r="222" spans="1:10" ht="9.75" customHeight="1" x14ac:dyDescent="0.2">
      <c r="A222" s="32"/>
      <c r="B222" s="34"/>
      <c r="E222">
        <v>1</v>
      </c>
      <c r="H222">
        <f t="shared" si="31"/>
        <v>32</v>
      </c>
      <c r="I222" t="str">
        <f t="shared" si="27"/>
        <v>20</v>
      </c>
      <c r="J222" s="35"/>
    </row>
    <row r="223" spans="1:10" ht="9.75" customHeight="1" x14ac:dyDescent="0.2">
      <c r="A223" s="32"/>
      <c r="B223" s="34"/>
      <c r="E223">
        <v>1</v>
      </c>
      <c r="H223">
        <f t="shared" si="31"/>
        <v>32</v>
      </c>
      <c r="I223" t="str">
        <f t="shared" si="27"/>
        <v>20</v>
      </c>
      <c r="J223" s="35"/>
    </row>
    <row r="224" spans="1:10" ht="9.75" customHeight="1" x14ac:dyDescent="0.2">
      <c r="A224" s="32"/>
      <c r="B224" s="34"/>
      <c r="D224">
        <v>1</v>
      </c>
      <c r="H224">
        <f t="shared" si="31"/>
        <v>64</v>
      </c>
      <c r="I224" t="str">
        <f t="shared" si="27"/>
        <v>40</v>
      </c>
      <c r="J224" s="35"/>
    </row>
    <row r="225" spans="1:10" ht="9.75" customHeight="1" x14ac:dyDescent="0.2">
      <c r="A225" s="32"/>
      <c r="B225" s="27"/>
      <c r="J225" s="25"/>
    </row>
    <row r="226" spans="1:10" ht="9.75" customHeight="1" x14ac:dyDescent="0.2">
      <c r="A226" s="32">
        <v>60</v>
      </c>
      <c r="B226" s="34" t="s">
        <v>116</v>
      </c>
      <c r="F226">
        <v>1</v>
      </c>
      <c r="H226">
        <f t="shared" ref="H226:H232" si="34">C226*C$1+D226*D$1+E226*E$1+F226*F$1+G226*G$1</f>
        <v>16</v>
      </c>
      <c r="I226" t="str">
        <f t="shared" ref="I226:I232" si="35">DEC2HEX(H226,2)</f>
        <v>10</v>
      </c>
      <c r="J226" s="35" t="str">
        <f>CONCATENATE("0x",I226,",0x",I227,",0x",I228,",0x",I229,",0x",I230,",0x",I231,",0x",I232,", //",B226)</f>
        <v>0x10,0x20,0x40,0x80,0x40,0x20,0x10, //&lt;</v>
      </c>
    </row>
    <row r="227" spans="1:10" ht="9.75" customHeight="1" x14ac:dyDescent="0.2">
      <c r="A227" s="32"/>
      <c r="B227" s="34"/>
      <c r="E227">
        <v>1</v>
      </c>
      <c r="H227">
        <f t="shared" si="34"/>
        <v>32</v>
      </c>
      <c r="I227" t="str">
        <f t="shared" si="35"/>
        <v>20</v>
      </c>
      <c r="J227" s="35"/>
    </row>
    <row r="228" spans="1:10" ht="9.75" customHeight="1" x14ac:dyDescent="0.2">
      <c r="A228" s="32"/>
      <c r="B228" s="34"/>
      <c r="D228">
        <v>1</v>
      </c>
      <c r="H228">
        <f t="shared" si="34"/>
        <v>64</v>
      </c>
      <c r="I228" t="str">
        <f t="shared" si="35"/>
        <v>40</v>
      </c>
      <c r="J228" s="35"/>
    </row>
    <row r="229" spans="1:10" ht="9.75" customHeight="1" x14ac:dyDescent="0.2">
      <c r="A229" s="32"/>
      <c r="B229" s="34"/>
      <c r="C229">
        <v>1</v>
      </c>
      <c r="H229">
        <f t="shared" si="34"/>
        <v>128</v>
      </c>
      <c r="I229" t="str">
        <f t="shared" si="35"/>
        <v>80</v>
      </c>
      <c r="J229" s="35"/>
    </row>
    <row r="230" spans="1:10" ht="9.75" customHeight="1" x14ac:dyDescent="0.2">
      <c r="A230" s="32"/>
      <c r="B230" s="34"/>
      <c r="D230">
        <v>1</v>
      </c>
      <c r="H230">
        <f t="shared" si="34"/>
        <v>64</v>
      </c>
      <c r="I230" t="str">
        <f t="shared" si="35"/>
        <v>40</v>
      </c>
      <c r="J230" s="35"/>
    </row>
    <row r="231" spans="1:10" ht="9.75" customHeight="1" x14ac:dyDescent="0.2">
      <c r="A231" s="32"/>
      <c r="B231" s="34"/>
      <c r="E231">
        <v>1</v>
      </c>
      <c r="H231">
        <f t="shared" si="34"/>
        <v>32</v>
      </c>
      <c r="I231" t="str">
        <f t="shared" si="35"/>
        <v>20</v>
      </c>
      <c r="J231" s="35"/>
    </row>
    <row r="232" spans="1:10" ht="9.75" customHeight="1" x14ac:dyDescent="0.2">
      <c r="A232" s="32"/>
      <c r="B232" s="34"/>
      <c r="F232">
        <v>1</v>
      </c>
      <c r="H232">
        <f t="shared" si="34"/>
        <v>16</v>
      </c>
      <c r="I232" t="str">
        <f t="shared" si="35"/>
        <v>10</v>
      </c>
      <c r="J232" s="35"/>
    </row>
    <row r="233" spans="1:10" ht="9.75" customHeight="1" x14ac:dyDescent="0.2">
      <c r="A233" s="32"/>
      <c r="B233" s="27"/>
      <c r="J233" s="25"/>
    </row>
    <row r="234" spans="1:10" ht="9.75" customHeight="1" x14ac:dyDescent="0.2">
      <c r="A234" s="32">
        <v>61</v>
      </c>
      <c r="B234" s="33" t="s">
        <v>117</v>
      </c>
      <c r="H234">
        <f t="shared" ref="H234:H240" si="36">C234*C$1+D234*D$1+E234*E$1+F234*F$1+G234*G$1</f>
        <v>0</v>
      </c>
      <c r="I234" t="str">
        <f t="shared" ref="I234:I240" si="37">DEC2HEX(H234,2)</f>
        <v>00</v>
      </c>
      <c r="J234" s="35" t="str">
        <f>CONCATENATE("0x",I234,",0x",I235,",0x",I236,",0x",I237,",0x",I238,",0x",I239,",0x",I240,", //",B234)</f>
        <v>0x00,0x00,0xF8,0x00,0xF8,0x00,0x00, //=</v>
      </c>
    </row>
    <row r="235" spans="1:10" ht="9.75" customHeight="1" x14ac:dyDescent="0.2">
      <c r="A235" s="32"/>
      <c r="B235" s="34"/>
      <c r="H235">
        <f t="shared" si="36"/>
        <v>0</v>
      </c>
      <c r="I235" t="str">
        <f t="shared" si="37"/>
        <v>00</v>
      </c>
      <c r="J235" s="35"/>
    </row>
    <row r="236" spans="1:10" ht="9.75" customHeight="1" x14ac:dyDescent="0.2">
      <c r="A236" s="32"/>
      <c r="B236" s="34"/>
      <c r="C236">
        <v>1</v>
      </c>
      <c r="D236">
        <v>1</v>
      </c>
      <c r="E236">
        <v>1</v>
      </c>
      <c r="F236">
        <v>1</v>
      </c>
      <c r="G236">
        <v>1</v>
      </c>
      <c r="H236">
        <f t="shared" si="36"/>
        <v>248</v>
      </c>
      <c r="I236" t="str">
        <f t="shared" si="37"/>
        <v>F8</v>
      </c>
      <c r="J236" s="35"/>
    </row>
    <row r="237" spans="1:10" ht="9.75" customHeight="1" x14ac:dyDescent="0.2">
      <c r="A237" s="32"/>
      <c r="B237" s="34"/>
      <c r="H237">
        <f t="shared" si="36"/>
        <v>0</v>
      </c>
      <c r="I237" t="str">
        <f t="shared" si="37"/>
        <v>00</v>
      </c>
      <c r="J237" s="35"/>
    </row>
    <row r="238" spans="1:10" ht="9.75" customHeight="1" x14ac:dyDescent="0.2">
      <c r="A238" s="32"/>
      <c r="B238" s="34"/>
      <c r="C238">
        <v>1</v>
      </c>
      <c r="D238">
        <v>1</v>
      </c>
      <c r="E238">
        <v>1</v>
      </c>
      <c r="F238">
        <v>1</v>
      </c>
      <c r="G238">
        <v>1</v>
      </c>
      <c r="H238">
        <f t="shared" si="36"/>
        <v>248</v>
      </c>
      <c r="I238" t="str">
        <f t="shared" si="37"/>
        <v>F8</v>
      </c>
      <c r="J238" s="35"/>
    </row>
    <row r="239" spans="1:10" ht="9.75" customHeight="1" x14ac:dyDescent="0.2">
      <c r="A239" s="32"/>
      <c r="B239" s="34"/>
      <c r="H239">
        <f t="shared" si="36"/>
        <v>0</v>
      </c>
      <c r="I239" t="str">
        <f t="shared" si="37"/>
        <v>00</v>
      </c>
      <c r="J239" s="35"/>
    </row>
    <row r="240" spans="1:10" ht="9.75" customHeight="1" x14ac:dyDescent="0.2">
      <c r="A240" s="32"/>
      <c r="B240" s="34"/>
      <c r="H240">
        <f t="shared" si="36"/>
        <v>0</v>
      </c>
      <c r="I240" t="str">
        <f t="shared" si="37"/>
        <v>00</v>
      </c>
      <c r="J240" s="35"/>
    </row>
    <row r="241" spans="1:10" ht="9.75" customHeight="1" x14ac:dyDescent="0.2">
      <c r="A241" s="32"/>
      <c r="B241" s="27"/>
      <c r="J241" s="26"/>
    </row>
    <row r="242" spans="1:10" ht="9.75" customHeight="1" x14ac:dyDescent="0.2">
      <c r="A242" s="32">
        <v>62</v>
      </c>
      <c r="B242" s="33" t="s">
        <v>118</v>
      </c>
      <c r="C242">
        <v>1</v>
      </c>
      <c r="H242">
        <f t="shared" ref="H242:H248" si="38">C242*C$1+D242*D$1+E242*E$1+F242*F$1+G242*G$1</f>
        <v>128</v>
      </c>
      <c r="I242" t="str">
        <f t="shared" ref="I242:I248" si="39">DEC2HEX(H242,2)</f>
        <v>80</v>
      </c>
      <c r="J242" s="35" t="str">
        <f>CONCATENATE("0x",I242,",0x",I243,",0x",I244,",0x",I245,",0x",I246,",0x",I247,",0x",I248,", //",B242)</f>
        <v>0x80,0x40,0x20,0x10,0x20,0x40,0x80, //&gt;</v>
      </c>
    </row>
    <row r="243" spans="1:10" ht="9.75" customHeight="1" x14ac:dyDescent="0.2">
      <c r="A243" s="32"/>
      <c r="B243" s="34"/>
      <c r="D243">
        <v>1</v>
      </c>
      <c r="H243">
        <f t="shared" si="38"/>
        <v>64</v>
      </c>
      <c r="I243" t="str">
        <f t="shared" si="39"/>
        <v>40</v>
      </c>
      <c r="J243" s="35"/>
    </row>
    <row r="244" spans="1:10" ht="9.75" customHeight="1" x14ac:dyDescent="0.2">
      <c r="A244" s="32"/>
      <c r="B244" s="34"/>
      <c r="E244">
        <v>1</v>
      </c>
      <c r="H244">
        <f t="shared" si="38"/>
        <v>32</v>
      </c>
      <c r="I244" t="str">
        <f t="shared" si="39"/>
        <v>20</v>
      </c>
      <c r="J244" s="35"/>
    </row>
    <row r="245" spans="1:10" ht="9.75" customHeight="1" x14ac:dyDescent="0.2">
      <c r="A245" s="32"/>
      <c r="B245" s="34"/>
      <c r="F245">
        <v>1</v>
      </c>
      <c r="H245">
        <f t="shared" si="38"/>
        <v>16</v>
      </c>
      <c r="I245" t="str">
        <f t="shared" si="39"/>
        <v>10</v>
      </c>
      <c r="J245" s="35"/>
    </row>
    <row r="246" spans="1:10" ht="9.75" customHeight="1" x14ac:dyDescent="0.2">
      <c r="A246" s="32"/>
      <c r="B246" s="34"/>
      <c r="E246">
        <v>1</v>
      </c>
      <c r="H246">
        <f t="shared" si="38"/>
        <v>32</v>
      </c>
      <c r="I246" t="str">
        <f t="shared" si="39"/>
        <v>20</v>
      </c>
      <c r="J246" s="35"/>
    </row>
    <row r="247" spans="1:10" ht="9.75" customHeight="1" x14ac:dyDescent="0.2">
      <c r="A247" s="32"/>
      <c r="B247" s="34"/>
      <c r="D247">
        <v>1</v>
      </c>
      <c r="H247">
        <f t="shared" si="38"/>
        <v>64</v>
      </c>
      <c r="I247" t="str">
        <f t="shared" si="39"/>
        <v>40</v>
      </c>
      <c r="J247" s="35"/>
    </row>
    <row r="248" spans="1:10" ht="9.75" customHeight="1" x14ac:dyDescent="0.2">
      <c r="A248" s="32"/>
      <c r="B248" s="34"/>
      <c r="C248">
        <v>1</v>
      </c>
      <c r="H248">
        <f t="shared" si="38"/>
        <v>128</v>
      </c>
      <c r="I248" t="str">
        <f t="shared" si="39"/>
        <v>80</v>
      </c>
      <c r="J248" s="35"/>
    </row>
    <row r="249" spans="1:10" ht="9.75" customHeight="1" x14ac:dyDescent="0.2">
      <c r="A249" s="32"/>
      <c r="B249" s="27"/>
      <c r="J249" s="25"/>
    </row>
    <row r="250" spans="1:10" ht="9.75" customHeight="1" x14ac:dyDescent="0.2">
      <c r="A250" s="32">
        <v>63</v>
      </c>
      <c r="B250" s="34" t="s">
        <v>119</v>
      </c>
      <c r="E250">
        <v>1</v>
      </c>
      <c r="F250">
        <v>1</v>
      </c>
      <c r="H250">
        <f t="shared" si="31"/>
        <v>48</v>
      </c>
      <c r="I250" t="str">
        <f t="shared" si="27"/>
        <v>30</v>
      </c>
      <c r="J250" s="35" t="str">
        <f>CONCATENATE("0x",I250,",0x",I251,",0x",I252,",0x",I253,",0x",I254,",0x",I255,",0x",I256,", //",B250)</f>
        <v>0x30,0x48,0x08,0x30,0x20,0x00,0x20, //?</v>
      </c>
    </row>
    <row r="251" spans="1:10" ht="9.75" customHeight="1" x14ac:dyDescent="0.2">
      <c r="A251" s="32"/>
      <c r="B251" s="34"/>
      <c r="D251">
        <v>1</v>
      </c>
      <c r="G251">
        <v>1</v>
      </c>
      <c r="H251">
        <f t="shared" si="31"/>
        <v>72</v>
      </c>
      <c r="I251" t="str">
        <f t="shared" si="27"/>
        <v>48</v>
      </c>
      <c r="J251" s="35"/>
    </row>
    <row r="252" spans="1:10" ht="9.75" customHeight="1" x14ac:dyDescent="0.2">
      <c r="A252" s="32"/>
      <c r="B252" s="34"/>
      <c r="G252">
        <v>1</v>
      </c>
      <c r="H252">
        <f t="shared" si="31"/>
        <v>8</v>
      </c>
      <c r="I252" t="str">
        <f t="shared" si="27"/>
        <v>08</v>
      </c>
      <c r="J252" s="35"/>
    </row>
    <row r="253" spans="1:10" ht="9.75" customHeight="1" x14ac:dyDescent="0.2">
      <c r="A253" s="32"/>
      <c r="B253" s="34"/>
      <c r="E253">
        <v>1</v>
      </c>
      <c r="F253">
        <v>1</v>
      </c>
      <c r="H253">
        <f t="shared" si="31"/>
        <v>48</v>
      </c>
      <c r="I253" t="str">
        <f t="shared" si="27"/>
        <v>30</v>
      </c>
      <c r="J253" s="35"/>
    </row>
    <row r="254" spans="1:10" ht="9.75" customHeight="1" x14ac:dyDescent="0.2">
      <c r="A254" s="32"/>
      <c r="B254" s="34"/>
      <c r="E254">
        <v>1</v>
      </c>
      <c r="H254">
        <f t="shared" si="31"/>
        <v>32</v>
      </c>
      <c r="I254" t="str">
        <f t="shared" si="27"/>
        <v>20</v>
      </c>
      <c r="J254" s="35"/>
    </row>
    <row r="255" spans="1:10" ht="9.75" customHeight="1" x14ac:dyDescent="0.2">
      <c r="A255" s="32"/>
      <c r="B255" s="34"/>
      <c r="H255">
        <f t="shared" si="31"/>
        <v>0</v>
      </c>
      <c r="I255" t="str">
        <f t="shared" si="27"/>
        <v>00</v>
      </c>
      <c r="J255" s="35"/>
    </row>
    <row r="256" spans="1:10" ht="9.75" customHeight="1" x14ac:dyDescent="0.2">
      <c r="A256" s="32"/>
      <c r="B256" s="34"/>
      <c r="E256">
        <v>1</v>
      </c>
      <c r="H256">
        <f t="shared" si="31"/>
        <v>32</v>
      </c>
      <c r="I256" t="str">
        <f t="shared" si="27"/>
        <v>20</v>
      </c>
      <c r="J256" s="35"/>
    </row>
    <row r="257" spans="1:10" ht="9.75" customHeight="1" x14ac:dyDescent="0.2">
      <c r="A257" s="32"/>
      <c r="B257" s="27"/>
      <c r="J257" s="25"/>
    </row>
    <row r="258" spans="1:10" ht="9.75" customHeight="1" x14ac:dyDescent="0.2">
      <c r="A258" s="32">
        <v>64</v>
      </c>
      <c r="B258" s="34" t="s">
        <v>120</v>
      </c>
      <c r="H258">
        <f t="shared" ref="H258:H264" si="40">C258*C$1+D258*D$1+E258*E$1+F258*F$1+G258*G$1</f>
        <v>0</v>
      </c>
      <c r="I258" t="str">
        <f t="shared" ref="I258:I264" si="41">DEC2HEX(H258,2)</f>
        <v>00</v>
      </c>
      <c r="J258" s="35" t="str">
        <f>CONCATENATE("0x",I258,",0x",I259,",0x",I260,",0x",I261,",0x",I262,",0x",I263,",0x",I264,", //",B258)</f>
        <v>0x00,0x00,0x00,0x00,0x00,0x00,0x00, //@</v>
      </c>
    </row>
    <row r="259" spans="1:10" ht="9.75" customHeight="1" x14ac:dyDescent="0.2">
      <c r="A259" s="32"/>
      <c r="B259" s="34"/>
      <c r="H259">
        <f t="shared" si="40"/>
        <v>0</v>
      </c>
      <c r="I259" t="str">
        <f t="shared" si="41"/>
        <v>00</v>
      </c>
      <c r="J259" s="35"/>
    </row>
    <row r="260" spans="1:10" ht="9.75" customHeight="1" x14ac:dyDescent="0.2">
      <c r="A260" s="32"/>
      <c r="B260" s="34"/>
      <c r="H260">
        <f t="shared" si="40"/>
        <v>0</v>
      </c>
      <c r="I260" t="str">
        <f t="shared" si="41"/>
        <v>00</v>
      </c>
      <c r="J260" s="35"/>
    </row>
    <row r="261" spans="1:10" ht="9.75" customHeight="1" x14ac:dyDescent="0.2">
      <c r="A261" s="32"/>
      <c r="B261" s="34"/>
      <c r="H261">
        <f t="shared" si="40"/>
        <v>0</v>
      </c>
      <c r="I261" t="str">
        <f t="shared" si="41"/>
        <v>00</v>
      </c>
      <c r="J261" s="35"/>
    </row>
    <row r="262" spans="1:10" ht="9.75" customHeight="1" x14ac:dyDescent="0.2">
      <c r="A262" s="32"/>
      <c r="B262" s="34"/>
      <c r="H262">
        <f t="shared" si="40"/>
        <v>0</v>
      </c>
      <c r="I262" t="str">
        <f t="shared" si="41"/>
        <v>00</v>
      </c>
      <c r="J262" s="35"/>
    </row>
    <row r="263" spans="1:10" ht="9.75" customHeight="1" x14ac:dyDescent="0.2">
      <c r="A263" s="32"/>
      <c r="B263" s="34"/>
      <c r="H263">
        <f t="shared" si="40"/>
        <v>0</v>
      </c>
      <c r="I263" t="str">
        <f t="shared" si="41"/>
        <v>00</v>
      </c>
      <c r="J263" s="35"/>
    </row>
    <row r="264" spans="1:10" ht="9.75" customHeight="1" x14ac:dyDescent="0.2">
      <c r="A264" s="32"/>
      <c r="B264" s="34"/>
      <c r="H264">
        <f t="shared" si="40"/>
        <v>0</v>
      </c>
      <c r="I264" t="str">
        <f t="shared" si="41"/>
        <v>00</v>
      </c>
      <c r="J264" s="35"/>
    </row>
    <row r="265" spans="1:10" ht="9.75" customHeight="1" x14ac:dyDescent="0.2">
      <c r="A265" s="32"/>
      <c r="B265" s="27"/>
      <c r="J265" s="25"/>
    </row>
    <row r="266" spans="1:10" ht="9.75" customHeight="1" x14ac:dyDescent="0.2">
      <c r="A266" s="32">
        <v>65</v>
      </c>
      <c r="B266" s="34" t="s">
        <v>121</v>
      </c>
      <c r="D266">
        <v>1</v>
      </c>
      <c r="E266">
        <v>1</v>
      </c>
      <c r="F266">
        <v>1</v>
      </c>
      <c r="H266">
        <f t="shared" si="31"/>
        <v>112</v>
      </c>
      <c r="I266" t="str">
        <f t="shared" si="27"/>
        <v>70</v>
      </c>
      <c r="J266" s="35" t="str">
        <f>CONCATENATE("0x",I266,",0x",I267,",0x",I268,",0x",I269,",0x",I270,",0x",I271,",0x",I272,", //",B266)</f>
        <v>0x70,0x88,0x88,0xF8,0x88,0x88,0x88, //A</v>
      </c>
    </row>
    <row r="267" spans="1:10" ht="9.75" customHeight="1" x14ac:dyDescent="0.2">
      <c r="A267" s="32"/>
      <c r="B267" s="34"/>
      <c r="C267">
        <v>1</v>
      </c>
      <c r="G267">
        <v>1</v>
      </c>
      <c r="H267">
        <f t="shared" si="31"/>
        <v>136</v>
      </c>
      <c r="I267" t="str">
        <f t="shared" si="27"/>
        <v>88</v>
      </c>
      <c r="J267" s="35"/>
    </row>
    <row r="268" spans="1:10" ht="9.75" customHeight="1" x14ac:dyDescent="0.2">
      <c r="A268" s="32"/>
      <c r="B268" s="34"/>
      <c r="C268">
        <v>1</v>
      </c>
      <c r="G268">
        <v>1</v>
      </c>
      <c r="H268">
        <f t="shared" si="31"/>
        <v>136</v>
      </c>
      <c r="I268" t="str">
        <f t="shared" si="27"/>
        <v>88</v>
      </c>
      <c r="J268" s="35"/>
    </row>
    <row r="269" spans="1:10" ht="9.75" customHeight="1" x14ac:dyDescent="0.2">
      <c r="A269" s="32"/>
      <c r="B269" s="34"/>
      <c r="C269">
        <v>1</v>
      </c>
      <c r="D269">
        <v>1</v>
      </c>
      <c r="E269">
        <v>1</v>
      </c>
      <c r="F269">
        <v>1</v>
      </c>
      <c r="G269">
        <v>1</v>
      </c>
      <c r="H269">
        <f t="shared" si="31"/>
        <v>248</v>
      </c>
      <c r="I269" t="str">
        <f t="shared" si="27"/>
        <v>F8</v>
      </c>
      <c r="J269" s="35"/>
    </row>
    <row r="270" spans="1:10" ht="9.75" customHeight="1" x14ac:dyDescent="0.2">
      <c r="A270" s="32"/>
      <c r="B270" s="34"/>
      <c r="C270">
        <v>1</v>
      </c>
      <c r="G270">
        <v>1</v>
      </c>
      <c r="H270">
        <f t="shared" si="31"/>
        <v>136</v>
      </c>
      <c r="I270" t="str">
        <f t="shared" si="27"/>
        <v>88</v>
      </c>
      <c r="J270" s="35"/>
    </row>
    <row r="271" spans="1:10" ht="9.75" customHeight="1" x14ac:dyDescent="0.2">
      <c r="A271" s="32"/>
      <c r="B271" s="34"/>
      <c r="C271">
        <v>1</v>
      </c>
      <c r="G271">
        <v>1</v>
      </c>
      <c r="H271">
        <f t="shared" si="31"/>
        <v>136</v>
      </c>
      <c r="I271" t="str">
        <f t="shared" si="27"/>
        <v>88</v>
      </c>
      <c r="J271" s="35"/>
    </row>
    <row r="272" spans="1:10" ht="9.75" customHeight="1" x14ac:dyDescent="0.2">
      <c r="A272" s="32"/>
      <c r="B272" s="34"/>
      <c r="C272">
        <v>1</v>
      </c>
      <c r="G272">
        <v>1</v>
      </c>
      <c r="H272">
        <f t="shared" si="31"/>
        <v>136</v>
      </c>
      <c r="I272" t="str">
        <f t="shared" si="27"/>
        <v>88</v>
      </c>
      <c r="J272" s="35"/>
    </row>
    <row r="273" spans="1:10" ht="9.75" customHeight="1" x14ac:dyDescent="0.2">
      <c r="A273" s="32"/>
      <c r="B273" s="27"/>
      <c r="J273" s="25"/>
    </row>
    <row r="274" spans="1:10" ht="9.75" customHeight="1" x14ac:dyDescent="0.2">
      <c r="A274" s="32">
        <v>66</v>
      </c>
      <c r="B274" s="34" t="s">
        <v>122</v>
      </c>
      <c r="C274">
        <v>1</v>
      </c>
      <c r="D274">
        <v>1</v>
      </c>
      <c r="E274">
        <v>1</v>
      </c>
      <c r="F274">
        <v>1</v>
      </c>
      <c r="H274">
        <f t="shared" ref="H274:H280" si="42">C274*C$1+D274*D$1+E274*E$1+F274*F$1+G274*G$1</f>
        <v>240</v>
      </c>
      <c r="I274" t="str">
        <f t="shared" ref="I274:I280" si="43">DEC2HEX(H274,2)</f>
        <v>F0</v>
      </c>
      <c r="J274" s="35" t="str">
        <f>CONCATENATE("0x",I274,",0x",I275,",0x",I276,",0x",I277,",0x",I278,",0x",I279,",0x",I280,", //",B274)</f>
        <v>0xF0,0x88,0x88,0xF8,0x88,0x88,0xF0, //B</v>
      </c>
    </row>
    <row r="275" spans="1:10" ht="9.75" customHeight="1" x14ac:dyDescent="0.2">
      <c r="A275" s="32"/>
      <c r="B275" s="34"/>
      <c r="C275">
        <v>1</v>
      </c>
      <c r="G275">
        <v>1</v>
      </c>
      <c r="H275">
        <f t="shared" si="42"/>
        <v>136</v>
      </c>
      <c r="I275" t="str">
        <f t="shared" si="43"/>
        <v>88</v>
      </c>
      <c r="J275" s="35"/>
    </row>
    <row r="276" spans="1:10" ht="9.75" customHeight="1" x14ac:dyDescent="0.2">
      <c r="A276" s="32"/>
      <c r="B276" s="34"/>
      <c r="C276">
        <v>1</v>
      </c>
      <c r="G276">
        <v>1</v>
      </c>
      <c r="H276">
        <f t="shared" si="42"/>
        <v>136</v>
      </c>
      <c r="I276" t="str">
        <f t="shared" si="43"/>
        <v>88</v>
      </c>
      <c r="J276" s="35"/>
    </row>
    <row r="277" spans="1:10" ht="9.75" customHeight="1" x14ac:dyDescent="0.2">
      <c r="A277" s="32"/>
      <c r="B277" s="34"/>
      <c r="C277">
        <v>1</v>
      </c>
      <c r="D277">
        <v>1</v>
      </c>
      <c r="E277">
        <v>1</v>
      </c>
      <c r="F277">
        <v>1</v>
      </c>
      <c r="G277">
        <v>1</v>
      </c>
      <c r="H277">
        <f t="shared" si="42"/>
        <v>248</v>
      </c>
      <c r="I277" t="str">
        <f t="shared" si="43"/>
        <v>F8</v>
      </c>
      <c r="J277" s="35"/>
    </row>
    <row r="278" spans="1:10" ht="9.75" customHeight="1" x14ac:dyDescent="0.2">
      <c r="A278" s="32"/>
      <c r="B278" s="34"/>
      <c r="C278">
        <v>1</v>
      </c>
      <c r="G278">
        <v>1</v>
      </c>
      <c r="H278">
        <f t="shared" si="42"/>
        <v>136</v>
      </c>
      <c r="I278" t="str">
        <f t="shared" si="43"/>
        <v>88</v>
      </c>
      <c r="J278" s="35"/>
    </row>
    <row r="279" spans="1:10" ht="9.75" customHeight="1" x14ac:dyDescent="0.2">
      <c r="A279" s="32"/>
      <c r="B279" s="34"/>
      <c r="C279">
        <v>1</v>
      </c>
      <c r="G279">
        <v>1</v>
      </c>
      <c r="H279">
        <f t="shared" si="42"/>
        <v>136</v>
      </c>
      <c r="I279" t="str">
        <f t="shared" si="43"/>
        <v>88</v>
      </c>
      <c r="J279" s="35"/>
    </row>
    <row r="280" spans="1:10" ht="9.75" customHeight="1" x14ac:dyDescent="0.2">
      <c r="A280" s="32"/>
      <c r="B280" s="34"/>
      <c r="C280">
        <v>1</v>
      </c>
      <c r="D280">
        <v>1</v>
      </c>
      <c r="E280">
        <v>1</v>
      </c>
      <c r="F280">
        <v>1</v>
      </c>
      <c r="H280">
        <f t="shared" si="42"/>
        <v>240</v>
      </c>
      <c r="I280" t="str">
        <f t="shared" si="43"/>
        <v>F0</v>
      </c>
      <c r="J280" s="35"/>
    </row>
    <row r="281" spans="1:10" ht="9.75" customHeight="1" x14ac:dyDescent="0.2">
      <c r="A281" s="32"/>
      <c r="B281" s="27"/>
      <c r="J281" s="25"/>
    </row>
    <row r="282" spans="1:10" ht="9.75" customHeight="1" x14ac:dyDescent="0.2">
      <c r="A282" s="32">
        <v>67</v>
      </c>
      <c r="B282" s="34" t="s">
        <v>2</v>
      </c>
      <c r="D282">
        <v>1</v>
      </c>
      <c r="E282">
        <v>1</v>
      </c>
      <c r="F282">
        <v>1</v>
      </c>
      <c r="H282">
        <f t="shared" si="31"/>
        <v>112</v>
      </c>
      <c r="I282" t="str">
        <f t="shared" si="27"/>
        <v>70</v>
      </c>
      <c r="J282" s="35" t="str">
        <f>CONCATENATE("0x",I282,",0x",I283,",0x",I284,",0x",I285,",0x",I286,",0x",I287,",0x",I288,", //",B282)</f>
        <v>0x70,0x88,0x80,0x80,0x80,0x88,0x70, //C</v>
      </c>
    </row>
    <row r="283" spans="1:10" ht="9.75" customHeight="1" x14ac:dyDescent="0.2">
      <c r="A283" s="32"/>
      <c r="B283" s="34"/>
      <c r="C283">
        <v>1</v>
      </c>
      <c r="G283">
        <v>1</v>
      </c>
      <c r="H283">
        <f t="shared" si="31"/>
        <v>136</v>
      </c>
      <c r="I283" t="str">
        <f t="shared" si="27"/>
        <v>88</v>
      </c>
      <c r="J283" s="35"/>
    </row>
    <row r="284" spans="1:10" ht="9.75" customHeight="1" x14ac:dyDescent="0.2">
      <c r="A284" s="32"/>
      <c r="B284" s="34"/>
      <c r="C284">
        <v>1</v>
      </c>
      <c r="H284">
        <f t="shared" si="31"/>
        <v>128</v>
      </c>
      <c r="I284" t="str">
        <f t="shared" si="27"/>
        <v>80</v>
      </c>
      <c r="J284" s="35"/>
    </row>
    <row r="285" spans="1:10" ht="9.75" customHeight="1" x14ac:dyDescent="0.2">
      <c r="A285" s="32"/>
      <c r="B285" s="34"/>
      <c r="C285">
        <v>1</v>
      </c>
      <c r="H285">
        <f t="shared" si="31"/>
        <v>128</v>
      </c>
      <c r="I285" t="str">
        <f t="shared" si="27"/>
        <v>80</v>
      </c>
      <c r="J285" s="35"/>
    </row>
    <row r="286" spans="1:10" ht="9.75" customHeight="1" x14ac:dyDescent="0.2">
      <c r="A286" s="32"/>
      <c r="B286" s="34"/>
      <c r="C286">
        <v>1</v>
      </c>
      <c r="H286">
        <f t="shared" si="31"/>
        <v>128</v>
      </c>
      <c r="I286" t="str">
        <f t="shared" si="27"/>
        <v>80</v>
      </c>
      <c r="J286" s="35"/>
    </row>
    <row r="287" spans="1:10" ht="9.75" customHeight="1" x14ac:dyDescent="0.2">
      <c r="A287" s="32"/>
      <c r="B287" s="34"/>
      <c r="C287">
        <v>1</v>
      </c>
      <c r="G287">
        <v>1</v>
      </c>
      <c r="H287">
        <f t="shared" si="31"/>
        <v>136</v>
      </c>
      <c r="I287" t="str">
        <f t="shared" si="27"/>
        <v>88</v>
      </c>
      <c r="J287" s="35"/>
    </row>
    <row r="288" spans="1:10" ht="9.75" customHeight="1" x14ac:dyDescent="0.2">
      <c r="A288" s="32"/>
      <c r="B288" s="34"/>
      <c r="D288">
        <v>1</v>
      </c>
      <c r="E288">
        <v>1</v>
      </c>
      <c r="F288">
        <v>1</v>
      </c>
      <c r="H288">
        <f t="shared" si="31"/>
        <v>112</v>
      </c>
      <c r="I288" t="str">
        <f t="shared" si="27"/>
        <v>70</v>
      </c>
      <c r="J288" s="35"/>
    </row>
    <row r="289" spans="1:10" ht="9.75" customHeight="1" x14ac:dyDescent="0.2">
      <c r="A289" s="32"/>
      <c r="B289" s="27"/>
      <c r="J289" s="25"/>
    </row>
    <row r="290" spans="1:10" ht="9.75" customHeight="1" x14ac:dyDescent="0.2">
      <c r="A290" s="32">
        <v>68</v>
      </c>
      <c r="B290" s="34" t="s">
        <v>123</v>
      </c>
      <c r="C290">
        <v>1</v>
      </c>
      <c r="D290">
        <v>1</v>
      </c>
      <c r="E290">
        <v>1</v>
      </c>
      <c r="F290">
        <v>1</v>
      </c>
      <c r="H290">
        <f t="shared" ref="H290:H296" si="44">C290*C$1+D290*D$1+E290*E$1+F290*F$1+G290*G$1</f>
        <v>240</v>
      </c>
      <c r="I290" t="str">
        <f t="shared" ref="I290:I296" si="45">DEC2HEX(H290,2)</f>
        <v>F0</v>
      </c>
      <c r="J290" s="35" t="str">
        <f>CONCATENATE("0x",I290,",0x",I291,",0x",I292,",0x",I293,",0x",I294,",0x",I295,",0x",I296,", //",B290)</f>
        <v>0xF0,0x88,0x88,0x88,0x88,0x88,0xF0, //D</v>
      </c>
    </row>
    <row r="291" spans="1:10" ht="9.75" customHeight="1" x14ac:dyDescent="0.2">
      <c r="A291" s="32"/>
      <c r="B291" s="34"/>
      <c r="C291">
        <v>1</v>
      </c>
      <c r="G291">
        <v>1</v>
      </c>
      <c r="H291">
        <f t="shared" si="44"/>
        <v>136</v>
      </c>
      <c r="I291" t="str">
        <f t="shared" si="45"/>
        <v>88</v>
      </c>
      <c r="J291" s="35"/>
    </row>
    <row r="292" spans="1:10" ht="9.75" customHeight="1" x14ac:dyDescent="0.2">
      <c r="A292" s="32"/>
      <c r="B292" s="34"/>
      <c r="C292">
        <v>1</v>
      </c>
      <c r="G292">
        <v>1</v>
      </c>
      <c r="H292">
        <f t="shared" si="44"/>
        <v>136</v>
      </c>
      <c r="I292" t="str">
        <f t="shared" si="45"/>
        <v>88</v>
      </c>
      <c r="J292" s="35"/>
    </row>
    <row r="293" spans="1:10" ht="9.75" customHeight="1" x14ac:dyDescent="0.2">
      <c r="A293" s="32"/>
      <c r="B293" s="34"/>
      <c r="C293">
        <v>1</v>
      </c>
      <c r="G293">
        <v>1</v>
      </c>
      <c r="H293">
        <f t="shared" si="44"/>
        <v>136</v>
      </c>
      <c r="I293" t="str">
        <f t="shared" si="45"/>
        <v>88</v>
      </c>
      <c r="J293" s="35"/>
    </row>
    <row r="294" spans="1:10" ht="9.75" customHeight="1" x14ac:dyDescent="0.2">
      <c r="A294" s="32"/>
      <c r="B294" s="34"/>
      <c r="C294">
        <v>1</v>
      </c>
      <c r="G294">
        <v>1</v>
      </c>
      <c r="H294">
        <f t="shared" si="44"/>
        <v>136</v>
      </c>
      <c r="I294" t="str">
        <f t="shared" si="45"/>
        <v>88</v>
      </c>
      <c r="J294" s="35"/>
    </row>
    <row r="295" spans="1:10" ht="9.75" customHeight="1" x14ac:dyDescent="0.2">
      <c r="A295" s="32"/>
      <c r="B295" s="34"/>
      <c r="C295">
        <v>1</v>
      </c>
      <c r="G295">
        <v>1</v>
      </c>
      <c r="H295">
        <f t="shared" si="44"/>
        <v>136</v>
      </c>
      <c r="I295" t="str">
        <f t="shared" si="45"/>
        <v>88</v>
      </c>
      <c r="J295" s="35"/>
    </row>
    <row r="296" spans="1:10" ht="9.75" customHeight="1" x14ac:dyDescent="0.2">
      <c r="A296" s="32"/>
      <c r="B296" s="34"/>
      <c r="C296">
        <v>1</v>
      </c>
      <c r="D296">
        <v>1</v>
      </c>
      <c r="E296">
        <v>1</v>
      </c>
      <c r="F296">
        <v>1</v>
      </c>
      <c r="H296">
        <f t="shared" si="44"/>
        <v>240</v>
      </c>
      <c r="I296" t="str">
        <f t="shared" si="45"/>
        <v>F0</v>
      </c>
      <c r="J296" s="35"/>
    </row>
    <row r="297" spans="1:10" ht="9.75" customHeight="1" x14ac:dyDescent="0.2">
      <c r="A297" s="32"/>
      <c r="B297" s="27"/>
      <c r="J297" s="25"/>
    </row>
    <row r="298" spans="1:10" ht="9.75" customHeight="1" x14ac:dyDescent="0.2">
      <c r="A298" s="32">
        <v>69</v>
      </c>
      <c r="B298" s="34" t="s">
        <v>4</v>
      </c>
      <c r="C298">
        <v>1</v>
      </c>
      <c r="D298">
        <v>1</v>
      </c>
      <c r="E298">
        <v>1</v>
      </c>
      <c r="F298">
        <v>1</v>
      </c>
      <c r="G298">
        <v>1</v>
      </c>
      <c r="H298">
        <f t="shared" si="31"/>
        <v>248</v>
      </c>
      <c r="I298" t="str">
        <f t="shared" si="27"/>
        <v>F8</v>
      </c>
      <c r="J298" s="35" t="str">
        <f>CONCATENATE("0x",I298,",0x",I299,",0x",I300,",0x",I301,",0x",I302,",0x",I303,",0x",I304,", //",B298)</f>
        <v>0xF8,0x80,0x80,0xF0,0x80,0x80,0xF8, //E</v>
      </c>
    </row>
    <row r="299" spans="1:10" ht="9.75" customHeight="1" x14ac:dyDescent="0.2">
      <c r="A299" s="32"/>
      <c r="B299" s="34"/>
      <c r="C299">
        <v>1</v>
      </c>
      <c r="H299">
        <f t="shared" si="31"/>
        <v>128</v>
      </c>
      <c r="I299" t="str">
        <f t="shared" si="27"/>
        <v>80</v>
      </c>
      <c r="J299" s="35"/>
    </row>
    <row r="300" spans="1:10" ht="9.75" customHeight="1" x14ac:dyDescent="0.2">
      <c r="A300" s="32"/>
      <c r="B300" s="34"/>
      <c r="C300">
        <v>1</v>
      </c>
      <c r="H300">
        <f t="shared" si="31"/>
        <v>128</v>
      </c>
      <c r="I300" t="str">
        <f t="shared" si="27"/>
        <v>80</v>
      </c>
      <c r="J300" s="35"/>
    </row>
    <row r="301" spans="1:10" ht="9.75" customHeight="1" x14ac:dyDescent="0.2">
      <c r="A301" s="32"/>
      <c r="B301" s="34"/>
      <c r="C301">
        <v>1</v>
      </c>
      <c r="D301">
        <v>1</v>
      </c>
      <c r="E301">
        <v>1</v>
      </c>
      <c r="F301">
        <v>1</v>
      </c>
      <c r="H301">
        <f t="shared" si="31"/>
        <v>240</v>
      </c>
      <c r="I301" t="str">
        <f t="shared" si="27"/>
        <v>F0</v>
      </c>
      <c r="J301" s="35"/>
    </row>
    <row r="302" spans="1:10" ht="9.75" customHeight="1" x14ac:dyDescent="0.2">
      <c r="A302" s="32"/>
      <c r="B302" s="34"/>
      <c r="C302">
        <v>1</v>
      </c>
      <c r="H302">
        <f t="shared" si="31"/>
        <v>128</v>
      </c>
      <c r="I302" t="str">
        <f t="shared" si="27"/>
        <v>80</v>
      </c>
      <c r="J302" s="35"/>
    </row>
    <row r="303" spans="1:10" ht="9.75" customHeight="1" x14ac:dyDescent="0.2">
      <c r="A303" s="32"/>
      <c r="B303" s="34"/>
      <c r="C303">
        <v>1</v>
      </c>
      <c r="H303">
        <f t="shared" si="31"/>
        <v>128</v>
      </c>
      <c r="I303" t="str">
        <f t="shared" si="27"/>
        <v>80</v>
      </c>
      <c r="J303" s="35"/>
    </row>
    <row r="304" spans="1:10" ht="9.75" customHeight="1" x14ac:dyDescent="0.2">
      <c r="A304" s="32"/>
      <c r="B304" s="34"/>
      <c r="C304">
        <v>1</v>
      </c>
      <c r="D304">
        <v>1</v>
      </c>
      <c r="E304">
        <v>1</v>
      </c>
      <c r="F304">
        <v>1</v>
      </c>
      <c r="G304">
        <v>1</v>
      </c>
      <c r="H304">
        <f t="shared" si="31"/>
        <v>248</v>
      </c>
      <c r="I304" t="str">
        <f t="shared" si="27"/>
        <v>F8</v>
      </c>
      <c r="J304" s="35"/>
    </row>
    <row r="305" spans="1:10" ht="9.75" customHeight="1" x14ac:dyDescent="0.2">
      <c r="A305" s="32"/>
      <c r="B305" s="27"/>
      <c r="J305" s="25"/>
    </row>
    <row r="306" spans="1:10" ht="9.75" customHeight="1" x14ac:dyDescent="0.2">
      <c r="A306" s="32">
        <v>70</v>
      </c>
      <c r="B306" s="34" t="s">
        <v>3</v>
      </c>
      <c r="C306">
        <v>1</v>
      </c>
      <c r="D306">
        <v>1</v>
      </c>
      <c r="E306">
        <v>1</v>
      </c>
      <c r="F306">
        <v>1</v>
      </c>
      <c r="G306">
        <v>1</v>
      </c>
      <c r="H306">
        <f t="shared" ref="H306:H312" si="46">C306*C$1+D306*D$1+E306*E$1+F306*F$1+G306*G$1</f>
        <v>248</v>
      </c>
      <c r="I306" t="str">
        <f t="shared" ref="I306:I312" si="47">DEC2HEX(H306,2)</f>
        <v>F8</v>
      </c>
      <c r="J306" s="35" t="str">
        <f>CONCATENATE("0x",I306,",0x",I307,",0x",I308,",0x",I309,",0x",I310,",0x",I311,",0x",I312,", //",B306)</f>
        <v>0xF8,0x80,0x80,0xF0,0x80,0x80,0x80, //F</v>
      </c>
    </row>
    <row r="307" spans="1:10" ht="9.75" customHeight="1" x14ac:dyDescent="0.2">
      <c r="A307" s="32"/>
      <c r="B307" s="34"/>
      <c r="C307">
        <v>1</v>
      </c>
      <c r="H307">
        <f t="shared" si="46"/>
        <v>128</v>
      </c>
      <c r="I307" t="str">
        <f t="shared" si="47"/>
        <v>80</v>
      </c>
      <c r="J307" s="35"/>
    </row>
    <row r="308" spans="1:10" ht="9.75" customHeight="1" x14ac:dyDescent="0.2">
      <c r="A308" s="32"/>
      <c r="B308" s="34"/>
      <c r="C308">
        <v>1</v>
      </c>
      <c r="H308">
        <f t="shared" si="46"/>
        <v>128</v>
      </c>
      <c r="I308" t="str">
        <f t="shared" si="47"/>
        <v>80</v>
      </c>
      <c r="J308" s="35"/>
    </row>
    <row r="309" spans="1:10" ht="9.75" customHeight="1" x14ac:dyDescent="0.2">
      <c r="A309" s="32"/>
      <c r="B309" s="34"/>
      <c r="C309">
        <v>1</v>
      </c>
      <c r="D309">
        <v>1</v>
      </c>
      <c r="E309">
        <v>1</v>
      </c>
      <c r="F309">
        <v>1</v>
      </c>
      <c r="H309">
        <f t="shared" si="46"/>
        <v>240</v>
      </c>
      <c r="I309" t="str">
        <f t="shared" si="47"/>
        <v>F0</v>
      </c>
      <c r="J309" s="35"/>
    </row>
    <row r="310" spans="1:10" ht="9.75" customHeight="1" x14ac:dyDescent="0.2">
      <c r="A310" s="32"/>
      <c r="B310" s="34"/>
      <c r="C310">
        <v>1</v>
      </c>
      <c r="H310">
        <f t="shared" si="46"/>
        <v>128</v>
      </c>
      <c r="I310" t="str">
        <f t="shared" si="47"/>
        <v>80</v>
      </c>
      <c r="J310" s="35"/>
    </row>
    <row r="311" spans="1:10" ht="9.75" customHeight="1" x14ac:dyDescent="0.2">
      <c r="A311" s="32"/>
      <c r="B311" s="34"/>
      <c r="C311">
        <v>1</v>
      </c>
      <c r="H311">
        <f t="shared" si="46"/>
        <v>128</v>
      </c>
      <c r="I311" t="str">
        <f t="shared" si="47"/>
        <v>80</v>
      </c>
      <c r="J311" s="35"/>
    </row>
    <row r="312" spans="1:10" ht="9.75" customHeight="1" x14ac:dyDescent="0.2">
      <c r="A312" s="32"/>
      <c r="B312" s="34"/>
      <c r="C312">
        <v>1</v>
      </c>
      <c r="H312">
        <f t="shared" si="46"/>
        <v>128</v>
      </c>
      <c r="I312" t="str">
        <f t="shared" si="47"/>
        <v>80</v>
      </c>
      <c r="J312" s="35"/>
    </row>
    <row r="313" spans="1:10" ht="9.75" customHeight="1" x14ac:dyDescent="0.2">
      <c r="A313" s="32"/>
      <c r="B313" s="27"/>
      <c r="J313" s="25"/>
    </row>
    <row r="314" spans="1:10" ht="9.75" customHeight="1" x14ac:dyDescent="0.2">
      <c r="A314" s="32">
        <v>71</v>
      </c>
      <c r="B314" s="34" t="s">
        <v>124</v>
      </c>
      <c r="D314">
        <v>1</v>
      </c>
      <c r="E314">
        <v>1</v>
      </c>
      <c r="F314">
        <v>1</v>
      </c>
      <c r="H314">
        <f t="shared" si="31"/>
        <v>112</v>
      </c>
      <c r="I314" t="str">
        <f t="shared" si="27"/>
        <v>70</v>
      </c>
      <c r="J314" s="35" t="str">
        <f>CONCATENATE("0x",I314,",0x",I315,",0x",I316,",0x",I317,",0x",I318,",0x",I319,",0x",I320,", //",B314)</f>
        <v>0x70,0x88,0x80,0xB8,0x88,0x88,0x78, //G</v>
      </c>
    </row>
    <row r="315" spans="1:10" ht="9.75" customHeight="1" x14ac:dyDescent="0.2">
      <c r="A315" s="32"/>
      <c r="B315" s="34"/>
      <c r="C315">
        <v>1</v>
      </c>
      <c r="G315">
        <v>1</v>
      </c>
      <c r="H315">
        <f t="shared" si="31"/>
        <v>136</v>
      </c>
      <c r="I315" t="str">
        <f t="shared" si="27"/>
        <v>88</v>
      </c>
      <c r="J315" s="35"/>
    </row>
    <row r="316" spans="1:10" ht="9.75" customHeight="1" x14ac:dyDescent="0.2">
      <c r="A316" s="32"/>
      <c r="B316" s="34"/>
      <c r="C316">
        <v>1</v>
      </c>
      <c r="H316">
        <f t="shared" si="31"/>
        <v>128</v>
      </c>
      <c r="I316" t="str">
        <f t="shared" si="27"/>
        <v>80</v>
      </c>
      <c r="J316" s="35"/>
    </row>
    <row r="317" spans="1:10" ht="9.75" customHeight="1" x14ac:dyDescent="0.2">
      <c r="A317" s="32"/>
      <c r="B317" s="34"/>
      <c r="C317">
        <v>1</v>
      </c>
      <c r="E317">
        <v>1</v>
      </c>
      <c r="F317">
        <v>1</v>
      </c>
      <c r="G317">
        <v>1</v>
      </c>
      <c r="H317">
        <f t="shared" si="31"/>
        <v>184</v>
      </c>
      <c r="I317" t="str">
        <f t="shared" si="27"/>
        <v>B8</v>
      </c>
      <c r="J317" s="35"/>
    </row>
    <row r="318" spans="1:10" ht="9.75" customHeight="1" x14ac:dyDescent="0.2">
      <c r="A318" s="32"/>
      <c r="B318" s="34"/>
      <c r="C318">
        <v>1</v>
      </c>
      <c r="G318">
        <v>1</v>
      </c>
      <c r="H318">
        <f t="shared" si="31"/>
        <v>136</v>
      </c>
      <c r="I318" t="str">
        <f t="shared" si="27"/>
        <v>88</v>
      </c>
      <c r="J318" s="35"/>
    </row>
    <row r="319" spans="1:10" ht="9.75" customHeight="1" x14ac:dyDescent="0.2">
      <c r="A319" s="32"/>
      <c r="B319" s="34"/>
      <c r="C319">
        <v>1</v>
      </c>
      <c r="G319">
        <v>1</v>
      </c>
      <c r="H319">
        <f t="shared" si="31"/>
        <v>136</v>
      </c>
      <c r="I319" t="str">
        <f t="shared" si="27"/>
        <v>88</v>
      </c>
      <c r="J319" s="35"/>
    </row>
    <row r="320" spans="1:10" ht="9.75" customHeight="1" x14ac:dyDescent="0.2">
      <c r="A320" s="32"/>
      <c r="B320" s="34"/>
      <c r="D320">
        <v>1</v>
      </c>
      <c r="E320">
        <v>1</v>
      </c>
      <c r="F320">
        <v>1</v>
      </c>
      <c r="G320">
        <v>1</v>
      </c>
      <c r="H320">
        <f t="shared" si="31"/>
        <v>120</v>
      </c>
      <c r="I320" t="str">
        <f t="shared" si="27"/>
        <v>78</v>
      </c>
      <c r="J320" s="35"/>
    </row>
    <row r="321" spans="1:10" ht="9.75" customHeight="1" x14ac:dyDescent="0.2">
      <c r="A321" s="32"/>
      <c r="B321" s="27"/>
      <c r="J321" s="25"/>
    </row>
    <row r="322" spans="1:10" ht="9.75" customHeight="1" x14ac:dyDescent="0.2">
      <c r="A322" s="32">
        <v>72</v>
      </c>
      <c r="B322" s="34" t="s">
        <v>125</v>
      </c>
      <c r="C322">
        <v>1</v>
      </c>
      <c r="G322">
        <v>1</v>
      </c>
      <c r="H322">
        <f t="shared" ref="H322:H328" si="48">C322*C$1+D322*D$1+E322*E$1+F322*F$1+G322*G$1</f>
        <v>136</v>
      </c>
      <c r="I322" t="str">
        <f t="shared" ref="I322:I328" si="49">DEC2HEX(H322,2)</f>
        <v>88</v>
      </c>
      <c r="J322" s="35" t="str">
        <f>CONCATENATE("0x",I322,",0x",I323,",0x",I324,",0x",I325,",0x",I326,",0x",I327,",0x",I328,", //",B322)</f>
        <v>0x88,0x88,0x88,0xF8,0x88,0x88,0x88, //H</v>
      </c>
    </row>
    <row r="323" spans="1:10" ht="9.75" customHeight="1" x14ac:dyDescent="0.2">
      <c r="A323" s="32"/>
      <c r="B323" s="34"/>
      <c r="C323">
        <v>1</v>
      </c>
      <c r="G323">
        <v>1</v>
      </c>
      <c r="H323">
        <f t="shared" si="48"/>
        <v>136</v>
      </c>
      <c r="I323" t="str">
        <f t="shared" si="49"/>
        <v>88</v>
      </c>
      <c r="J323" s="35"/>
    </row>
    <row r="324" spans="1:10" ht="9.75" customHeight="1" x14ac:dyDescent="0.2">
      <c r="A324" s="32"/>
      <c r="B324" s="34"/>
      <c r="C324">
        <v>1</v>
      </c>
      <c r="G324">
        <v>1</v>
      </c>
      <c r="H324">
        <f t="shared" si="48"/>
        <v>136</v>
      </c>
      <c r="I324" t="str">
        <f t="shared" si="49"/>
        <v>88</v>
      </c>
      <c r="J324" s="35"/>
    </row>
    <row r="325" spans="1:10" ht="9.75" customHeight="1" x14ac:dyDescent="0.2">
      <c r="A325" s="32"/>
      <c r="B325" s="34"/>
      <c r="C325">
        <v>1</v>
      </c>
      <c r="D325">
        <v>1</v>
      </c>
      <c r="E325">
        <v>1</v>
      </c>
      <c r="F325">
        <v>1</v>
      </c>
      <c r="G325">
        <v>1</v>
      </c>
      <c r="H325">
        <f t="shared" si="48"/>
        <v>248</v>
      </c>
      <c r="I325" t="str">
        <f t="shared" si="49"/>
        <v>F8</v>
      </c>
      <c r="J325" s="35"/>
    </row>
    <row r="326" spans="1:10" ht="9.75" customHeight="1" x14ac:dyDescent="0.2">
      <c r="A326" s="32"/>
      <c r="B326" s="34"/>
      <c r="C326">
        <v>1</v>
      </c>
      <c r="G326">
        <v>1</v>
      </c>
      <c r="H326">
        <f t="shared" si="48"/>
        <v>136</v>
      </c>
      <c r="I326" t="str">
        <f t="shared" si="49"/>
        <v>88</v>
      </c>
      <c r="J326" s="35"/>
    </row>
    <row r="327" spans="1:10" ht="9.75" customHeight="1" x14ac:dyDescent="0.2">
      <c r="A327" s="32"/>
      <c r="B327" s="34"/>
      <c r="C327">
        <v>1</v>
      </c>
      <c r="G327">
        <v>1</v>
      </c>
      <c r="H327">
        <f t="shared" si="48"/>
        <v>136</v>
      </c>
      <c r="I327" t="str">
        <f t="shared" si="49"/>
        <v>88</v>
      </c>
      <c r="J327" s="35"/>
    </row>
    <row r="328" spans="1:10" ht="9.75" customHeight="1" x14ac:dyDescent="0.2">
      <c r="A328" s="32"/>
      <c r="B328" s="34"/>
      <c r="C328">
        <v>1</v>
      </c>
      <c r="G328">
        <v>1</v>
      </c>
      <c r="H328">
        <f t="shared" si="48"/>
        <v>136</v>
      </c>
      <c r="I328" t="str">
        <f t="shared" si="49"/>
        <v>88</v>
      </c>
      <c r="J328" s="35"/>
    </row>
    <row r="329" spans="1:10" ht="9.75" customHeight="1" x14ac:dyDescent="0.2">
      <c r="A329" s="32"/>
      <c r="B329" s="27"/>
      <c r="J329" s="25"/>
    </row>
    <row r="330" spans="1:10" ht="9.75" customHeight="1" x14ac:dyDescent="0.2">
      <c r="A330" s="32">
        <v>73</v>
      </c>
      <c r="B330" s="34" t="s">
        <v>126</v>
      </c>
      <c r="D330">
        <v>1</v>
      </c>
      <c r="E330">
        <v>1</v>
      </c>
      <c r="F330">
        <v>1</v>
      </c>
      <c r="H330">
        <f t="shared" si="31"/>
        <v>112</v>
      </c>
      <c r="I330" t="str">
        <f t="shared" si="27"/>
        <v>70</v>
      </c>
      <c r="J330" s="35" t="str">
        <f>CONCATENATE("0x",I330,",0x",I331,",0x",I332,",0x",I333,",0x",I334,",0x",I335,",0x",I336,", //",B330)</f>
        <v>0x70,0x20,0x20,0x20,0x20,0x20,0x70, //I</v>
      </c>
    </row>
    <row r="331" spans="1:10" ht="9.75" customHeight="1" x14ac:dyDescent="0.2">
      <c r="A331" s="32"/>
      <c r="B331" s="34"/>
      <c r="E331">
        <v>1</v>
      </c>
      <c r="H331">
        <f t="shared" si="31"/>
        <v>32</v>
      </c>
      <c r="I331" t="str">
        <f t="shared" si="27"/>
        <v>20</v>
      </c>
      <c r="J331" s="35"/>
    </row>
    <row r="332" spans="1:10" ht="9.75" customHeight="1" x14ac:dyDescent="0.2">
      <c r="A332" s="32"/>
      <c r="B332" s="34"/>
      <c r="E332">
        <v>1</v>
      </c>
      <c r="H332">
        <f t="shared" si="31"/>
        <v>32</v>
      </c>
      <c r="I332" t="str">
        <f t="shared" si="27"/>
        <v>20</v>
      </c>
      <c r="J332" s="35"/>
    </row>
    <row r="333" spans="1:10" ht="9.75" customHeight="1" x14ac:dyDescent="0.2">
      <c r="A333" s="32"/>
      <c r="B333" s="34"/>
      <c r="E333">
        <v>1</v>
      </c>
      <c r="H333">
        <f t="shared" si="31"/>
        <v>32</v>
      </c>
      <c r="I333" t="str">
        <f t="shared" si="27"/>
        <v>20</v>
      </c>
      <c r="J333" s="35"/>
    </row>
    <row r="334" spans="1:10" ht="9.75" customHeight="1" x14ac:dyDescent="0.2">
      <c r="A334" s="32"/>
      <c r="B334" s="34"/>
      <c r="E334">
        <v>1</v>
      </c>
      <c r="H334">
        <f t="shared" si="31"/>
        <v>32</v>
      </c>
      <c r="I334" t="str">
        <f t="shared" si="27"/>
        <v>20</v>
      </c>
      <c r="J334" s="35"/>
    </row>
    <row r="335" spans="1:10" ht="9.75" customHeight="1" x14ac:dyDescent="0.2">
      <c r="A335" s="32"/>
      <c r="B335" s="34"/>
      <c r="E335">
        <v>1</v>
      </c>
      <c r="H335">
        <f t="shared" si="31"/>
        <v>32</v>
      </c>
      <c r="I335" t="str">
        <f t="shared" si="27"/>
        <v>20</v>
      </c>
      <c r="J335" s="35"/>
    </row>
    <row r="336" spans="1:10" ht="9.75" customHeight="1" x14ac:dyDescent="0.2">
      <c r="A336" s="32"/>
      <c r="B336" s="34"/>
      <c r="D336">
        <v>1</v>
      </c>
      <c r="E336">
        <v>1</v>
      </c>
      <c r="F336">
        <v>1</v>
      </c>
      <c r="H336">
        <f t="shared" si="31"/>
        <v>112</v>
      </c>
      <c r="I336" t="str">
        <f t="shared" si="27"/>
        <v>70</v>
      </c>
      <c r="J336" s="35"/>
    </row>
    <row r="337" spans="1:10" ht="9.75" customHeight="1" x14ac:dyDescent="0.2">
      <c r="A337" s="32"/>
      <c r="B337" s="27"/>
      <c r="J337" s="25"/>
    </row>
    <row r="338" spans="1:10" ht="9.75" customHeight="1" x14ac:dyDescent="0.2">
      <c r="A338" s="32">
        <v>74</v>
      </c>
      <c r="B338" s="34" t="s">
        <v>127</v>
      </c>
      <c r="E338">
        <v>1</v>
      </c>
      <c r="F338">
        <v>1</v>
      </c>
      <c r="G338">
        <v>1</v>
      </c>
      <c r="H338">
        <f t="shared" ref="H338:H344" si="50">C338*C$1+D338*D$1+E338*E$1+F338*F$1+G338*G$1</f>
        <v>56</v>
      </c>
      <c r="I338" t="str">
        <f t="shared" ref="I338:I344" si="51">DEC2HEX(H338,2)</f>
        <v>38</v>
      </c>
      <c r="J338" s="35" t="str">
        <f>CONCATENATE("0x",I338,",0x",I339,",0x",I340,",0x",I341,",0x",I342,",0x",I343,",0x",I344,", //",B338)</f>
        <v>0x38,0x08,0x08,0x08,0x08,0x88,0x70, //J</v>
      </c>
    </row>
    <row r="339" spans="1:10" ht="9.75" customHeight="1" x14ac:dyDescent="0.2">
      <c r="A339" s="32"/>
      <c r="B339" s="34"/>
      <c r="G339">
        <v>1</v>
      </c>
      <c r="H339">
        <f t="shared" si="50"/>
        <v>8</v>
      </c>
      <c r="I339" t="str">
        <f t="shared" si="51"/>
        <v>08</v>
      </c>
      <c r="J339" s="35"/>
    </row>
    <row r="340" spans="1:10" ht="9.75" customHeight="1" x14ac:dyDescent="0.2">
      <c r="A340" s="32"/>
      <c r="B340" s="34"/>
      <c r="G340">
        <v>1</v>
      </c>
      <c r="H340">
        <f t="shared" si="50"/>
        <v>8</v>
      </c>
      <c r="I340" t="str">
        <f t="shared" si="51"/>
        <v>08</v>
      </c>
      <c r="J340" s="35"/>
    </row>
    <row r="341" spans="1:10" ht="9.75" customHeight="1" x14ac:dyDescent="0.2">
      <c r="A341" s="32"/>
      <c r="B341" s="34"/>
      <c r="G341">
        <v>1</v>
      </c>
      <c r="H341">
        <f t="shared" si="50"/>
        <v>8</v>
      </c>
      <c r="I341" t="str">
        <f t="shared" si="51"/>
        <v>08</v>
      </c>
      <c r="J341" s="35"/>
    </row>
    <row r="342" spans="1:10" ht="9.75" customHeight="1" x14ac:dyDescent="0.2">
      <c r="A342" s="32"/>
      <c r="B342" s="34"/>
      <c r="G342">
        <v>1</v>
      </c>
      <c r="H342">
        <f t="shared" si="50"/>
        <v>8</v>
      </c>
      <c r="I342" t="str">
        <f t="shared" si="51"/>
        <v>08</v>
      </c>
      <c r="J342" s="35"/>
    </row>
    <row r="343" spans="1:10" ht="9.75" customHeight="1" x14ac:dyDescent="0.2">
      <c r="A343" s="32"/>
      <c r="B343" s="34"/>
      <c r="C343">
        <v>1</v>
      </c>
      <c r="G343">
        <v>1</v>
      </c>
      <c r="H343">
        <f t="shared" si="50"/>
        <v>136</v>
      </c>
      <c r="I343" t="str">
        <f t="shared" si="51"/>
        <v>88</v>
      </c>
      <c r="J343" s="35"/>
    </row>
    <row r="344" spans="1:10" ht="9.75" customHeight="1" x14ac:dyDescent="0.2">
      <c r="A344" s="32"/>
      <c r="B344" s="34"/>
      <c r="D344">
        <v>1</v>
      </c>
      <c r="E344">
        <v>1</v>
      </c>
      <c r="F344">
        <v>1</v>
      </c>
      <c r="H344">
        <f t="shared" si="50"/>
        <v>112</v>
      </c>
      <c r="I344" t="str">
        <f t="shared" si="51"/>
        <v>70</v>
      </c>
      <c r="J344" s="35"/>
    </row>
    <row r="345" spans="1:10" ht="9.75" customHeight="1" x14ac:dyDescent="0.2">
      <c r="A345" s="32"/>
      <c r="B345" s="27"/>
      <c r="J345" s="25"/>
    </row>
    <row r="346" spans="1:10" ht="9.75" customHeight="1" x14ac:dyDescent="0.2">
      <c r="A346" s="32">
        <v>75</v>
      </c>
      <c r="B346" s="34" t="s">
        <v>128</v>
      </c>
      <c r="C346">
        <v>1</v>
      </c>
      <c r="G346">
        <v>1</v>
      </c>
      <c r="H346">
        <f t="shared" si="31"/>
        <v>136</v>
      </c>
      <c r="I346" t="str">
        <f t="shared" si="27"/>
        <v>88</v>
      </c>
      <c r="J346" s="35" t="str">
        <f>CONCATENATE("0x",I346,",0x",I347,",0x",I348,",0x",I349,",0x",I350,",0x",I351,",0x",I352,", //",B346)</f>
        <v>0x88,0x90,0xA0,0xC0,0xA0,0x90,0x88, //K</v>
      </c>
    </row>
    <row r="347" spans="1:10" ht="9.75" customHeight="1" x14ac:dyDescent="0.2">
      <c r="A347" s="32"/>
      <c r="B347" s="34"/>
      <c r="C347">
        <v>1</v>
      </c>
      <c r="F347">
        <v>1</v>
      </c>
      <c r="H347">
        <f t="shared" si="31"/>
        <v>144</v>
      </c>
      <c r="I347" t="str">
        <f t="shared" si="27"/>
        <v>90</v>
      </c>
      <c r="J347" s="35"/>
    </row>
    <row r="348" spans="1:10" ht="9.75" customHeight="1" x14ac:dyDescent="0.2">
      <c r="A348" s="32"/>
      <c r="B348" s="34"/>
      <c r="C348">
        <v>1</v>
      </c>
      <c r="E348">
        <v>1</v>
      </c>
      <c r="H348">
        <f t="shared" si="31"/>
        <v>160</v>
      </c>
      <c r="I348" t="str">
        <f t="shared" si="27"/>
        <v>A0</v>
      </c>
      <c r="J348" s="35"/>
    </row>
    <row r="349" spans="1:10" ht="9.75" customHeight="1" x14ac:dyDescent="0.2">
      <c r="A349" s="32"/>
      <c r="B349" s="34"/>
      <c r="C349">
        <v>1</v>
      </c>
      <c r="D349">
        <v>1</v>
      </c>
      <c r="H349">
        <f t="shared" si="31"/>
        <v>192</v>
      </c>
      <c r="I349" t="str">
        <f t="shared" si="27"/>
        <v>C0</v>
      </c>
      <c r="J349" s="35"/>
    </row>
    <row r="350" spans="1:10" ht="9.75" customHeight="1" x14ac:dyDescent="0.2">
      <c r="A350" s="32"/>
      <c r="B350" s="34"/>
      <c r="C350">
        <v>1</v>
      </c>
      <c r="E350">
        <v>1</v>
      </c>
      <c r="H350">
        <f t="shared" si="31"/>
        <v>160</v>
      </c>
      <c r="I350" t="str">
        <f t="shared" si="27"/>
        <v>A0</v>
      </c>
      <c r="J350" s="35"/>
    </row>
    <row r="351" spans="1:10" ht="9.75" customHeight="1" x14ac:dyDescent="0.2">
      <c r="A351" s="32"/>
      <c r="B351" s="34"/>
      <c r="C351">
        <v>1</v>
      </c>
      <c r="F351">
        <v>1</v>
      </c>
      <c r="H351">
        <f t="shared" si="31"/>
        <v>144</v>
      </c>
      <c r="I351" t="str">
        <f t="shared" si="27"/>
        <v>90</v>
      </c>
      <c r="J351" s="35"/>
    </row>
    <row r="352" spans="1:10" ht="9.75" customHeight="1" x14ac:dyDescent="0.2">
      <c r="A352" s="32"/>
      <c r="B352" s="34"/>
      <c r="C352">
        <v>1</v>
      </c>
      <c r="G352">
        <v>1</v>
      </c>
      <c r="H352">
        <f t="shared" si="31"/>
        <v>136</v>
      </c>
      <c r="I352" t="str">
        <f t="shared" si="27"/>
        <v>88</v>
      </c>
      <c r="J352" s="35"/>
    </row>
    <row r="353" spans="1:10" ht="9.75" customHeight="1" x14ac:dyDescent="0.2">
      <c r="A353" s="32"/>
      <c r="B353" s="27"/>
      <c r="J353" s="25"/>
    </row>
    <row r="354" spans="1:10" ht="9.75" customHeight="1" x14ac:dyDescent="0.2">
      <c r="A354" s="32">
        <v>76</v>
      </c>
      <c r="B354" s="34" t="s">
        <v>129</v>
      </c>
      <c r="C354">
        <v>1</v>
      </c>
      <c r="H354">
        <f t="shared" ref="H354:H360" si="52">C354*C$1+D354*D$1+E354*E$1+F354*F$1+G354*G$1</f>
        <v>128</v>
      </c>
      <c r="I354" t="str">
        <f t="shared" ref="I354:I360" si="53">DEC2HEX(H354,2)</f>
        <v>80</v>
      </c>
      <c r="J354" s="35" t="str">
        <f>CONCATENATE("0x",I354,",0x",I355,",0x",I356,",0x",I357,",0x",I358,",0x",I359,",0x",I360,", //",B354)</f>
        <v>0x80,0x80,0x80,0x80,0x80,0x80,0xF8, //L</v>
      </c>
    </row>
    <row r="355" spans="1:10" ht="9.75" customHeight="1" x14ac:dyDescent="0.2">
      <c r="A355" s="32"/>
      <c r="B355" s="34"/>
      <c r="C355">
        <v>1</v>
      </c>
      <c r="H355">
        <f t="shared" si="52"/>
        <v>128</v>
      </c>
      <c r="I355" t="str">
        <f t="shared" si="53"/>
        <v>80</v>
      </c>
      <c r="J355" s="35"/>
    </row>
    <row r="356" spans="1:10" ht="9.75" customHeight="1" x14ac:dyDescent="0.2">
      <c r="A356" s="32"/>
      <c r="B356" s="34"/>
      <c r="C356">
        <v>1</v>
      </c>
      <c r="H356">
        <f t="shared" si="52"/>
        <v>128</v>
      </c>
      <c r="I356" t="str">
        <f t="shared" si="53"/>
        <v>80</v>
      </c>
      <c r="J356" s="35"/>
    </row>
    <row r="357" spans="1:10" ht="9.75" customHeight="1" x14ac:dyDescent="0.2">
      <c r="A357" s="32"/>
      <c r="B357" s="34"/>
      <c r="C357">
        <v>1</v>
      </c>
      <c r="H357">
        <f t="shared" si="52"/>
        <v>128</v>
      </c>
      <c r="I357" t="str">
        <f t="shared" si="53"/>
        <v>80</v>
      </c>
      <c r="J357" s="35"/>
    </row>
    <row r="358" spans="1:10" ht="9.75" customHeight="1" x14ac:dyDescent="0.2">
      <c r="A358" s="32"/>
      <c r="B358" s="34"/>
      <c r="C358">
        <v>1</v>
      </c>
      <c r="H358">
        <f t="shared" si="52"/>
        <v>128</v>
      </c>
      <c r="I358" t="str">
        <f t="shared" si="53"/>
        <v>80</v>
      </c>
      <c r="J358" s="35"/>
    </row>
    <row r="359" spans="1:10" ht="9.75" customHeight="1" x14ac:dyDescent="0.2">
      <c r="A359" s="32"/>
      <c r="B359" s="34"/>
      <c r="C359">
        <v>1</v>
      </c>
      <c r="H359">
        <f t="shared" si="52"/>
        <v>128</v>
      </c>
      <c r="I359" t="str">
        <f t="shared" si="53"/>
        <v>80</v>
      </c>
      <c r="J359" s="35"/>
    </row>
    <row r="360" spans="1:10" ht="9.75" customHeight="1" x14ac:dyDescent="0.2">
      <c r="A360" s="32"/>
      <c r="B360" s="34"/>
      <c r="C360">
        <v>1</v>
      </c>
      <c r="D360">
        <v>1</v>
      </c>
      <c r="E360">
        <v>1</v>
      </c>
      <c r="F360">
        <v>1</v>
      </c>
      <c r="G360">
        <v>1</v>
      </c>
      <c r="H360">
        <f t="shared" si="52"/>
        <v>248</v>
      </c>
      <c r="I360" t="str">
        <f t="shared" si="53"/>
        <v>F8</v>
      </c>
      <c r="J360" s="35"/>
    </row>
    <row r="361" spans="1:10" ht="9.75" customHeight="1" x14ac:dyDescent="0.2">
      <c r="A361" s="32"/>
      <c r="B361" s="27"/>
      <c r="J361" s="25"/>
    </row>
    <row r="362" spans="1:10" ht="9.75" customHeight="1" x14ac:dyDescent="0.2">
      <c r="A362" s="32">
        <v>77</v>
      </c>
      <c r="B362" s="34" t="s">
        <v>130</v>
      </c>
      <c r="C362">
        <v>1</v>
      </c>
      <c r="G362">
        <v>1</v>
      </c>
      <c r="H362">
        <f t="shared" si="31"/>
        <v>136</v>
      </c>
      <c r="I362" t="str">
        <f t="shared" si="27"/>
        <v>88</v>
      </c>
      <c r="J362" s="35" t="str">
        <f>CONCATENATE("0x",I362,",0x",I363,",0x",I364,",0x",I365,",0x",I366,",0x",I367,",0x",I368,", //",B362)</f>
        <v>0x88,0xD8,0xA8,0x88,0x88,0x88,0x88, //M</v>
      </c>
    </row>
    <row r="363" spans="1:10" ht="9.75" customHeight="1" x14ac:dyDescent="0.2">
      <c r="A363" s="32"/>
      <c r="B363" s="34"/>
      <c r="C363">
        <v>1</v>
      </c>
      <c r="D363">
        <v>1</v>
      </c>
      <c r="F363">
        <v>1</v>
      </c>
      <c r="G363">
        <v>1</v>
      </c>
      <c r="H363">
        <f t="shared" si="31"/>
        <v>216</v>
      </c>
      <c r="I363" t="str">
        <f t="shared" si="27"/>
        <v>D8</v>
      </c>
      <c r="J363" s="35"/>
    </row>
    <row r="364" spans="1:10" ht="9.75" customHeight="1" x14ac:dyDescent="0.2">
      <c r="A364" s="32"/>
      <c r="B364" s="34"/>
      <c r="C364">
        <v>1</v>
      </c>
      <c r="E364">
        <v>1</v>
      </c>
      <c r="G364">
        <v>1</v>
      </c>
      <c r="H364">
        <f t="shared" si="31"/>
        <v>168</v>
      </c>
      <c r="I364" t="str">
        <f t="shared" si="27"/>
        <v>A8</v>
      </c>
      <c r="J364" s="35"/>
    </row>
    <row r="365" spans="1:10" ht="9.75" customHeight="1" x14ac:dyDescent="0.2">
      <c r="A365" s="32"/>
      <c r="B365" s="34"/>
      <c r="C365">
        <v>1</v>
      </c>
      <c r="G365">
        <v>1</v>
      </c>
      <c r="H365">
        <f t="shared" si="31"/>
        <v>136</v>
      </c>
      <c r="I365" t="str">
        <f t="shared" si="27"/>
        <v>88</v>
      </c>
      <c r="J365" s="35"/>
    </row>
    <row r="366" spans="1:10" ht="9.75" customHeight="1" x14ac:dyDescent="0.2">
      <c r="A366" s="32"/>
      <c r="B366" s="34"/>
      <c r="C366">
        <v>1</v>
      </c>
      <c r="G366">
        <v>1</v>
      </c>
      <c r="H366">
        <f t="shared" si="31"/>
        <v>136</v>
      </c>
      <c r="I366" t="str">
        <f t="shared" si="27"/>
        <v>88</v>
      </c>
      <c r="J366" s="35"/>
    </row>
    <row r="367" spans="1:10" ht="9.75" customHeight="1" x14ac:dyDescent="0.2">
      <c r="A367" s="32"/>
      <c r="B367" s="34"/>
      <c r="C367">
        <v>1</v>
      </c>
      <c r="G367">
        <v>1</v>
      </c>
      <c r="H367">
        <f t="shared" si="31"/>
        <v>136</v>
      </c>
      <c r="I367" t="str">
        <f t="shared" si="27"/>
        <v>88</v>
      </c>
      <c r="J367" s="35"/>
    </row>
    <row r="368" spans="1:10" ht="9.75" customHeight="1" x14ac:dyDescent="0.2">
      <c r="A368" s="32"/>
      <c r="B368" s="34"/>
      <c r="C368">
        <v>1</v>
      </c>
      <c r="G368">
        <v>1</v>
      </c>
      <c r="H368">
        <f t="shared" si="31"/>
        <v>136</v>
      </c>
      <c r="I368" t="str">
        <f t="shared" si="27"/>
        <v>88</v>
      </c>
      <c r="J368" s="35"/>
    </row>
    <row r="369" spans="1:10" ht="9.75" customHeight="1" x14ac:dyDescent="0.2">
      <c r="A369" s="32"/>
      <c r="B369" s="27"/>
      <c r="J369" s="25"/>
    </row>
    <row r="370" spans="1:10" ht="9.75" customHeight="1" x14ac:dyDescent="0.2">
      <c r="A370" s="32">
        <v>78</v>
      </c>
      <c r="B370" s="34" t="s">
        <v>131</v>
      </c>
      <c r="C370">
        <v>1</v>
      </c>
      <c r="G370">
        <v>1</v>
      </c>
      <c r="H370">
        <f t="shared" ref="H370:H376" si="54">C370*C$1+D370*D$1+E370*E$1+F370*F$1+G370*G$1</f>
        <v>136</v>
      </c>
      <c r="I370" t="str">
        <f t="shared" ref="I370:I376" si="55">DEC2HEX(H370,2)</f>
        <v>88</v>
      </c>
      <c r="J370" s="35" t="str">
        <f>CONCATENATE("0x",I370,",0x",I371,",0x",I372,",0x",I373,",0x",I374,",0x",I375,",0x",I376,", //",B370)</f>
        <v>0x88,0x88,0xC8,0xA8,0x98,0x88,0x88, //N</v>
      </c>
    </row>
    <row r="371" spans="1:10" ht="9.75" customHeight="1" x14ac:dyDescent="0.2">
      <c r="A371" s="32"/>
      <c r="B371" s="34"/>
      <c r="C371">
        <v>1</v>
      </c>
      <c r="G371">
        <v>1</v>
      </c>
      <c r="H371">
        <f t="shared" si="54"/>
        <v>136</v>
      </c>
      <c r="I371" t="str">
        <f t="shared" si="55"/>
        <v>88</v>
      </c>
      <c r="J371" s="35"/>
    </row>
    <row r="372" spans="1:10" ht="9.75" customHeight="1" x14ac:dyDescent="0.2">
      <c r="A372" s="32"/>
      <c r="B372" s="34"/>
      <c r="C372">
        <v>1</v>
      </c>
      <c r="D372">
        <v>1</v>
      </c>
      <c r="G372">
        <v>1</v>
      </c>
      <c r="H372">
        <f t="shared" si="54"/>
        <v>200</v>
      </c>
      <c r="I372" t="str">
        <f t="shared" si="55"/>
        <v>C8</v>
      </c>
      <c r="J372" s="35"/>
    </row>
    <row r="373" spans="1:10" ht="9.75" customHeight="1" x14ac:dyDescent="0.2">
      <c r="A373" s="32"/>
      <c r="B373" s="34"/>
      <c r="C373">
        <v>1</v>
      </c>
      <c r="E373">
        <v>1</v>
      </c>
      <c r="G373">
        <v>1</v>
      </c>
      <c r="H373">
        <f t="shared" si="54"/>
        <v>168</v>
      </c>
      <c r="I373" t="str">
        <f t="shared" si="55"/>
        <v>A8</v>
      </c>
      <c r="J373" s="35"/>
    </row>
    <row r="374" spans="1:10" ht="9.75" customHeight="1" x14ac:dyDescent="0.2">
      <c r="A374" s="32"/>
      <c r="B374" s="34"/>
      <c r="C374">
        <v>1</v>
      </c>
      <c r="F374">
        <v>1</v>
      </c>
      <c r="G374">
        <v>1</v>
      </c>
      <c r="H374">
        <f t="shared" si="54"/>
        <v>152</v>
      </c>
      <c r="I374" t="str">
        <f t="shared" si="55"/>
        <v>98</v>
      </c>
      <c r="J374" s="35"/>
    </row>
    <row r="375" spans="1:10" ht="9.75" customHeight="1" x14ac:dyDescent="0.2">
      <c r="A375" s="32"/>
      <c r="B375" s="34"/>
      <c r="C375">
        <v>1</v>
      </c>
      <c r="G375">
        <v>1</v>
      </c>
      <c r="H375">
        <f t="shared" si="54"/>
        <v>136</v>
      </c>
      <c r="I375" t="str">
        <f t="shared" si="55"/>
        <v>88</v>
      </c>
      <c r="J375" s="35"/>
    </row>
    <row r="376" spans="1:10" ht="9.75" customHeight="1" x14ac:dyDescent="0.2">
      <c r="A376" s="32"/>
      <c r="B376" s="34"/>
      <c r="C376">
        <v>1</v>
      </c>
      <c r="G376">
        <v>1</v>
      </c>
      <c r="H376">
        <f t="shared" si="54"/>
        <v>136</v>
      </c>
      <c r="I376" t="str">
        <f t="shared" si="55"/>
        <v>88</v>
      </c>
      <c r="J376" s="35"/>
    </row>
    <row r="377" spans="1:10" ht="9.75" customHeight="1" x14ac:dyDescent="0.2">
      <c r="A377" s="32"/>
      <c r="B377" s="27"/>
      <c r="J377" s="25"/>
    </row>
    <row r="378" spans="1:10" ht="9.75" customHeight="1" x14ac:dyDescent="0.2">
      <c r="A378" s="32">
        <v>79</v>
      </c>
      <c r="B378" s="34" t="s">
        <v>132</v>
      </c>
      <c r="D378">
        <v>1</v>
      </c>
      <c r="E378">
        <v>1</v>
      </c>
      <c r="F378">
        <v>1</v>
      </c>
      <c r="H378">
        <f t="shared" si="31"/>
        <v>112</v>
      </c>
      <c r="I378" t="str">
        <f t="shared" si="27"/>
        <v>70</v>
      </c>
      <c r="J378" s="35" t="str">
        <f>CONCATENATE("0x",I378,",0x",I379,",0x",I380,",0x",I381,",0x",I382,",0x",I383,",0x",I384,", //",B378)</f>
        <v>0x70,0x88,0x88,0x88,0x88,0x88,0x70, //O</v>
      </c>
    </row>
    <row r="379" spans="1:10" ht="9.75" customHeight="1" x14ac:dyDescent="0.2">
      <c r="A379" s="32"/>
      <c r="B379" s="34"/>
      <c r="C379">
        <v>1</v>
      </c>
      <c r="G379">
        <v>1</v>
      </c>
      <c r="H379">
        <f t="shared" si="31"/>
        <v>136</v>
      </c>
      <c r="I379" t="str">
        <f t="shared" si="27"/>
        <v>88</v>
      </c>
      <c r="J379" s="35"/>
    </row>
    <row r="380" spans="1:10" ht="9.75" customHeight="1" x14ac:dyDescent="0.2">
      <c r="A380" s="32"/>
      <c r="B380" s="34"/>
      <c r="C380">
        <v>1</v>
      </c>
      <c r="G380">
        <v>1</v>
      </c>
      <c r="H380">
        <f t="shared" si="31"/>
        <v>136</v>
      </c>
      <c r="I380" t="str">
        <f t="shared" si="27"/>
        <v>88</v>
      </c>
      <c r="J380" s="35"/>
    </row>
    <row r="381" spans="1:10" ht="9.75" customHeight="1" x14ac:dyDescent="0.2">
      <c r="A381" s="32"/>
      <c r="B381" s="34"/>
      <c r="C381">
        <v>1</v>
      </c>
      <c r="G381">
        <v>1</v>
      </c>
      <c r="H381">
        <f t="shared" si="31"/>
        <v>136</v>
      </c>
      <c r="I381" t="str">
        <f t="shared" si="27"/>
        <v>88</v>
      </c>
      <c r="J381" s="35"/>
    </row>
    <row r="382" spans="1:10" ht="9.75" customHeight="1" x14ac:dyDescent="0.2">
      <c r="A382" s="32"/>
      <c r="B382" s="34"/>
      <c r="C382">
        <v>1</v>
      </c>
      <c r="G382">
        <v>1</v>
      </c>
      <c r="H382">
        <f t="shared" si="31"/>
        <v>136</v>
      </c>
      <c r="I382" t="str">
        <f t="shared" si="27"/>
        <v>88</v>
      </c>
      <c r="J382" s="35"/>
    </row>
    <row r="383" spans="1:10" ht="9.75" customHeight="1" x14ac:dyDescent="0.2">
      <c r="A383" s="32"/>
      <c r="B383" s="34"/>
      <c r="C383">
        <v>1</v>
      </c>
      <c r="G383">
        <v>1</v>
      </c>
      <c r="H383">
        <f t="shared" si="31"/>
        <v>136</v>
      </c>
      <c r="I383" t="str">
        <f t="shared" si="27"/>
        <v>88</v>
      </c>
      <c r="J383" s="35"/>
    </row>
    <row r="384" spans="1:10" ht="9.75" customHeight="1" x14ac:dyDescent="0.2">
      <c r="A384" s="32"/>
      <c r="B384" s="34"/>
      <c r="D384">
        <v>1</v>
      </c>
      <c r="E384">
        <v>1</v>
      </c>
      <c r="F384">
        <v>1</v>
      </c>
      <c r="H384">
        <f t="shared" si="31"/>
        <v>112</v>
      </c>
      <c r="I384" t="str">
        <f t="shared" si="27"/>
        <v>70</v>
      </c>
      <c r="J384" s="35"/>
    </row>
    <row r="385" spans="1:10" ht="9.75" customHeight="1" x14ac:dyDescent="0.2">
      <c r="A385" s="32"/>
      <c r="B385" s="27"/>
      <c r="J385" s="25"/>
    </row>
    <row r="386" spans="1:10" ht="9.75" customHeight="1" x14ac:dyDescent="0.2">
      <c r="A386" s="32">
        <v>80</v>
      </c>
      <c r="B386" s="34" t="s">
        <v>133</v>
      </c>
      <c r="C386">
        <v>1</v>
      </c>
      <c r="D386">
        <v>1</v>
      </c>
      <c r="E386">
        <v>1</v>
      </c>
      <c r="F386">
        <v>1</v>
      </c>
      <c r="H386">
        <f t="shared" ref="H386:H392" si="56">C386*C$1+D386*D$1+E386*E$1+F386*F$1+G386*G$1</f>
        <v>240</v>
      </c>
      <c r="I386" t="str">
        <f t="shared" ref="I386:I392" si="57">DEC2HEX(H386,2)</f>
        <v>F0</v>
      </c>
      <c r="J386" s="35" t="str">
        <f>CONCATENATE("0x",I386,",0x",I387,",0x",I388,",0x",I389,",0x",I390,",0x",I391,",0x",I392,", //",B386)</f>
        <v>0xF0,0x88,0x88,0xF0,0x80,0x80,0x80, //P</v>
      </c>
    </row>
    <row r="387" spans="1:10" ht="9.75" customHeight="1" x14ac:dyDescent="0.2">
      <c r="A387" s="32"/>
      <c r="B387" s="34"/>
      <c r="C387">
        <v>1</v>
      </c>
      <c r="G387">
        <v>1</v>
      </c>
      <c r="H387">
        <f t="shared" si="56"/>
        <v>136</v>
      </c>
      <c r="I387" t="str">
        <f t="shared" si="57"/>
        <v>88</v>
      </c>
      <c r="J387" s="35"/>
    </row>
    <row r="388" spans="1:10" ht="9.75" customHeight="1" x14ac:dyDescent="0.2">
      <c r="A388" s="32"/>
      <c r="B388" s="34"/>
      <c r="C388">
        <v>1</v>
      </c>
      <c r="G388">
        <v>1</v>
      </c>
      <c r="H388">
        <f t="shared" si="56"/>
        <v>136</v>
      </c>
      <c r="I388" t="str">
        <f t="shared" si="57"/>
        <v>88</v>
      </c>
      <c r="J388" s="35"/>
    </row>
    <row r="389" spans="1:10" ht="9.75" customHeight="1" x14ac:dyDescent="0.2">
      <c r="A389" s="32"/>
      <c r="B389" s="34"/>
      <c r="C389">
        <v>1</v>
      </c>
      <c r="D389">
        <v>1</v>
      </c>
      <c r="E389">
        <v>1</v>
      </c>
      <c r="F389">
        <v>1</v>
      </c>
      <c r="H389">
        <f t="shared" si="56"/>
        <v>240</v>
      </c>
      <c r="I389" t="str">
        <f t="shared" si="57"/>
        <v>F0</v>
      </c>
      <c r="J389" s="35"/>
    </row>
    <row r="390" spans="1:10" ht="9.75" customHeight="1" x14ac:dyDescent="0.2">
      <c r="A390" s="32"/>
      <c r="B390" s="34"/>
      <c r="C390">
        <v>1</v>
      </c>
      <c r="H390">
        <f t="shared" si="56"/>
        <v>128</v>
      </c>
      <c r="I390" t="str">
        <f t="shared" si="57"/>
        <v>80</v>
      </c>
      <c r="J390" s="35"/>
    </row>
    <row r="391" spans="1:10" ht="9.75" customHeight="1" x14ac:dyDescent="0.2">
      <c r="A391" s="32"/>
      <c r="B391" s="34"/>
      <c r="C391">
        <v>1</v>
      </c>
      <c r="H391">
        <f t="shared" si="56"/>
        <v>128</v>
      </c>
      <c r="I391" t="str">
        <f t="shared" si="57"/>
        <v>80</v>
      </c>
      <c r="J391" s="35"/>
    </row>
    <row r="392" spans="1:10" ht="9.75" customHeight="1" x14ac:dyDescent="0.2">
      <c r="A392" s="32"/>
      <c r="B392" s="34"/>
      <c r="C392">
        <v>1</v>
      </c>
      <c r="H392">
        <f t="shared" si="56"/>
        <v>128</v>
      </c>
      <c r="I392" t="str">
        <f t="shared" si="57"/>
        <v>80</v>
      </c>
      <c r="J392" s="35"/>
    </row>
    <row r="393" spans="1:10" ht="9.75" customHeight="1" x14ac:dyDescent="0.2">
      <c r="A393" s="32"/>
      <c r="B393" s="27"/>
      <c r="J393" s="25"/>
    </row>
    <row r="394" spans="1:10" ht="9.75" customHeight="1" x14ac:dyDescent="0.2">
      <c r="A394" s="32">
        <v>81</v>
      </c>
      <c r="B394" s="34" t="s">
        <v>134</v>
      </c>
      <c r="D394">
        <v>1</v>
      </c>
      <c r="E394">
        <v>1</v>
      </c>
      <c r="F394">
        <v>1</v>
      </c>
      <c r="H394">
        <f t="shared" si="31"/>
        <v>112</v>
      </c>
      <c r="I394" t="str">
        <f t="shared" si="27"/>
        <v>70</v>
      </c>
      <c r="J394" s="35" t="str">
        <f>CONCATENATE("0x",I394,",0x",I395,",0x",I396,",0x",I397,",0x",I398,",0x",I399,",0x",I400,", //",B394)</f>
        <v>0x70,0x88,0x88,0x88,0x88,0x98,0x78, //Q</v>
      </c>
    </row>
    <row r="395" spans="1:10" ht="9.75" customHeight="1" x14ac:dyDescent="0.2">
      <c r="A395" s="32"/>
      <c r="B395" s="34"/>
      <c r="C395">
        <v>1</v>
      </c>
      <c r="G395">
        <v>1</v>
      </c>
      <c r="H395">
        <f t="shared" si="31"/>
        <v>136</v>
      </c>
      <c r="I395" t="str">
        <f t="shared" si="27"/>
        <v>88</v>
      </c>
      <c r="J395" s="35"/>
    </row>
    <row r="396" spans="1:10" ht="9.75" customHeight="1" x14ac:dyDescent="0.2">
      <c r="A396" s="32"/>
      <c r="B396" s="34"/>
      <c r="C396">
        <v>1</v>
      </c>
      <c r="G396">
        <v>1</v>
      </c>
      <c r="H396">
        <f t="shared" si="31"/>
        <v>136</v>
      </c>
      <c r="I396" t="str">
        <f t="shared" si="27"/>
        <v>88</v>
      </c>
      <c r="J396" s="35"/>
    </row>
    <row r="397" spans="1:10" ht="9.75" customHeight="1" x14ac:dyDescent="0.2">
      <c r="A397" s="32"/>
      <c r="B397" s="34"/>
      <c r="C397">
        <v>1</v>
      </c>
      <c r="G397">
        <v>1</v>
      </c>
      <c r="H397">
        <f t="shared" si="31"/>
        <v>136</v>
      </c>
      <c r="I397" t="str">
        <f t="shared" si="27"/>
        <v>88</v>
      </c>
      <c r="J397" s="35"/>
    </row>
    <row r="398" spans="1:10" ht="9.75" customHeight="1" x14ac:dyDescent="0.2">
      <c r="A398" s="32"/>
      <c r="B398" s="34"/>
      <c r="C398">
        <v>1</v>
      </c>
      <c r="G398">
        <v>1</v>
      </c>
      <c r="H398">
        <f t="shared" si="31"/>
        <v>136</v>
      </c>
      <c r="I398" t="str">
        <f t="shared" si="27"/>
        <v>88</v>
      </c>
      <c r="J398" s="35"/>
    </row>
    <row r="399" spans="1:10" ht="9.75" customHeight="1" x14ac:dyDescent="0.2">
      <c r="A399" s="32"/>
      <c r="B399" s="34"/>
      <c r="C399">
        <v>1</v>
      </c>
      <c r="F399">
        <v>1</v>
      </c>
      <c r="G399">
        <v>1</v>
      </c>
      <c r="H399">
        <f t="shared" si="31"/>
        <v>152</v>
      </c>
      <c r="I399" t="str">
        <f t="shared" si="27"/>
        <v>98</v>
      </c>
      <c r="J399" s="35"/>
    </row>
    <row r="400" spans="1:10" ht="9.75" customHeight="1" x14ac:dyDescent="0.2">
      <c r="A400" s="32"/>
      <c r="B400" s="34"/>
      <c r="D400">
        <v>1</v>
      </c>
      <c r="E400">
        <v>1</v>
      </c>
      <c r="F400">
        <v>1</v>
      </c>
      <c r="G400">
        <v>1</v>
      </c>
      <c r="H400">
        <f t="shared" si="31"/>
        <v>120</v>
      </c>
      <c r="I400" t="str">
        <f t="shared" si="27"/>
        <v>78</v>
      </c>
      <c r="J400" s="35"/>
    </row>
    <row r="401" spans="1:10" ht="9.75" customHeight="1" x14ac:dyDescent="0.2">
      <c r="A401" s="32"/>
      <c r="B401" s="27"/>
      <c r="J401" s="25"/>
    </row>
    <row r="402" spans="1:10" ht="9.75" customHeight="1" x14ac:dyDescent="0.2">
      <c r="A402" s="32">
        <v>82</v>
      </c>
      <c r="B402" s="34" t="s">
        <v>135</v>
      </c>
      <c r="C402">
        <v>1</v>
      </c>
      <c r="D402">
        <v>1</v>
      </c>
      <c r="E402">
        <v>1</v>
      </c>
      <c r="F402">
        <v>1</v>
      </c>
      <c r="H402">
        <f t="shared" ref="H402:H408" si="58">C402*C$1+D402*D$1+E402*E$1+F402*F$1+G402*G$1</f>
        <v>240</v>
      </c>
      <c r="I402" t="str">
        <f t="shared" ref="I402:I408" si="59">DEC2HEX(H402,2)</f>
        <v>F0</v>
      </c>
      <c r="J402" s="35" t="str">
        <f>CONCATENATE("0x",I402,",0x",I403,",0x",I404,",0x",I405,",0x",I406,",0x",I407,",0x",I408,", //",B402)</f>
        <v>0xF0,0x88,0x88,0xF0,0x90,0x88,0x88, //R</v>
      </c>
    </row>
    <row r="403" spans="1:10" ht="9.75" customHeight="1" x14ac:dyDescent="0.2">
      <c r="A403" s="32"/>
      <c r="B403" s="34"/>
      <c r="C403">
        <v>1</v>
      </c>
      <c r="G403">
        <v>1</v>
      </c>
      <c r="H403">
        <f t="shared" si="58"/>
        <v>136</v>
      </c>
      <c r="I403" t="str">
        <f t="shared" si="59"/>
        <v>88</v>
      </c>
      <c r="J403" s="35"/>
    </row>
    <row r="404" spans="1:10" ht="9.75" customHeight="1" x14ac:dyDescent="0.2">
      <c r="A404" s="32"/>
      <c r="B404" s="34"/>
      <c r="C404">
        <v>1</v>
      </c>
      <c r="G404">
        <v>1</v>
      </c>
      <c r="H404">
        <f t="shared" si="58"/>
        <v>136</v>
      </c>
      <c r="I404" t="str">
        <f t="shared" si="59"/>
        <v>88</v>
      </c>
      <c r="J404" s="35"/>
    </row>
    <row r="405" spans="1:10" ht="9.75" customHeight="1" x14ac:dyDescent="0.2">
      <c r="A405" s="32"/>
      <c r="B405" s="34"/>
      <c r="C405">
        <v>1</v>
      </c>
      <c r="D405">
        <v>1</v>
      </c>
      <c r="E405">
        <v>1</v>
      </c>
      <c r="F405">
        <v>1</v>
      </c>
      <c r="H405">
        <f t="shared" si="58"/>
        <v>240</v>
      </c>
      <c r="I405" t="str">
        <f t="shared" si="59"/>
        <v>F0</v>
      </c>
      <c r="J405" s="35"/>
    </row>
    <row r="406" spans="1:10" ht="9.75" customHeight="1" x14ac:dyDescent="0.2">
      <c r="A406" s="32"/>
      <c r="B406" s="34"/>
      <c r="C406">
        <v>1</v>
      </c>
      <c r="F406">
        <v>1</v>
      </c>
      <c r="H406">
        <f t="shared" si="58"/>
        <v>144</v>
      </c>
      <c r="I406" t="str">
        <f t="shared" si="59"/>
        <v>90</v>
      </c>
      <c r="J406" s="35"/>
    </row>
    <row r="407" spans="1:10" ht="9.75" customHeight="1" x14ac:dyDescent="0.2">
      <c r="A407" s="32"/>
      <c r="B407" s="34"/>
      <c r="C407">
        <v>1</v>
      </c>
      <c r="G407">
        <v>1</v>
      </c>
      <c r="H407">
        <f t="shared" si="58"/>
        <v>136</v>
      </c>
      <c r="I407" t="str">
        <f t="shared" si="59"/>
        <v>88</v>
      </c>
      <c r="J407" s="35"/>
    </row>
    <row r="408" spans="1:10" ht="9.75" customHeight="1" x14ac:dyDescent="0.2">
      <c r="A408" s="32"/>
      <c r="B408" s="34"/>
      <c r="C408">
        <v>1</v>
      </c>
      <c r="G408">
        <v>1</v>
      </c>
      <c r="H408">
        <f t="shared" si="58"/>
        <v>136</v>
      </c>
      <c r="I408" t="str">
        <f t="shared" si="59"/>
        <v>88</v>
      </c>
      <c r="J408" s="35"/>
    </row>
    <row r="409" spans="1:10" ht="9.75" customHeight="1" x14ac:dyDescent="0.2">
      <c r="A409" s="32"/>
      <c r="B409" s="27"/>
      <c r="J409" s="25"/>
    </row>
    <row r="410" spans="1:10" ht="9.75" customHeight="1" x14ac:dyDescent="0.2">
      <c r="A410" s="32">
        <v>83</v>
      </c>
      <c r="B410" s="34" t="s">
        <v>136</v>
      </c>
      <c r="D410">
        <v>1</v>
      </c>
      <c r="E410">
        <v>1</v>
      </c>
      <c r="F410">
        <v>1</v>
      </c>
      <c r="H410">
        <f t="shared" si="31"/>
        <v>112</v>
      </c>
      <c r="I410" t="str">
        <f t="shared" si="27"/>
        <v>70</v>
      </c>
      <c r="J410" s="35" t="str">
        <f>CONCATENATE("0x",I410,",0x",I411,",0x",I412,",0x",I413,",0x",I414,",0x",I415,",0x",I416,", //",B410)</f>
        <v>0x70,0x88,0x80,0x70,0x08,0x88,0x70, //S</v>
      </c>
    </row>
    <row r="411" spans="1:10" ht="9.75" customHeight="1" x14ac:dyDescent="0.2">
      <c r="A411" s="32"/>
      <c r="B411" s="34"/>
      <c r="C411">
        <v>1</v>
      </c>
      <c r="G411">
        <v>1</v>
      </c>
      <c r="H411">
        <f t="shared" si="31"/>
        <v>136</v>
      </c>
      <c r="I411" t="str">
        <f t="shared" si="27"/>
        <v>88</v>
      </c>
      <c r="J411" s="35"/>
    </row>
    <row r="412" spans="1:10" ht="9.75" customHeight="1" x14ac:dyDescent="0.2">
      <c r="A412" s="32"/>
      <c r="B412" s="34"/>
      <c r="C412">
        <v>1</v>
      </c>
      <c r="H412">
        <f t="shared" si="31"/>
        <v>128</v>
      </c>
      <c r="I412" t="str">
        <f t="shared" si="27"/>
        <v>80</v>
      </c>
      <c r="J412" s="35"/>
    </row>
    <row r="413" spans="1:10" ht="9.75" customHeight="1" x14ac:dyDescent="0.2">
      <c r="A413" s="32"/>
      <c r="B413" s="34"/>
      <c r="D413">
        <v>1</v>
      </c>
      <c r="E413">
        <v>1</v>
      </c>
      <c r="F413">
        <v>1</v>
      </c>
      <c r="H413">
        <f t="shared" si="31"/>
        <v>112</v>
      </c>
      <c r="I413" t="str">
        <f t="shared" si="27"/>
        <v>70</v>
      </c>
      <c r="J413" s="35"/>
    </row>
    <row r="414" spans="1:10" ht="9.75" customHeight="1" x14ac:dyDescent="0.2">
      <c r="A414" s="32"/>
      <c r="B414" s="34"/>
      <c r="G414">
        <v>1</v>
      </c>
      <c r="H414">
        <f t="shared" si="31"/>
        <v>8</v>
      </c>
      <c r="I414" t="str">
        <f t="shared" si="27"/>
        <v>08</v>
      </c>
      <c r="J414" s="35"/>
    </row>
    <row r="415" spans="1:10" ht="9.75" customHeight="1" x14ac:dyDescent="0.2">
      <c r="A415" s="32"/>
      <c r="B415" s="34"/>
      <c r="C415">
        <v>1</v>
      </c>
      <c r="G415">
        <v>1</v>
      </c>
      <c r="H415">
        <f t="shared" si="31"/>
        <v>136</v>
      </c>
      <c r="I415" t="str">
        <f t="shared" si="27"/>
        <v>88</v>
      </c>
      <c r="J415" s="35"/>
    </row>
    <row r="416" spans="1:10" ht="9.75" customHeight="1" x14ac:dyDescent="0.2">
      <c r="A416" s="32"/>
      <c r="B416" s="34"/>
      <c r="D416">
        <v>1</v>
      </c>
      <c r="E416">
        <v>1</v>
      </c>
      <c r="F416">
        <v>1</v>
      </c>
      <c r="H416">
        <f t="shared" si="31"/>
        <v>112</v>
      </c>
      <c r="I416" t="str">
        <f t="shared" si="27"/>
        <v>70</v>
      </c>
      <c r="J416" s="35"/>
    </row>
    <row r="417" spans="1:10" ht="9.75" customHeight="1" x14ac:dyDescent="0.2">
      <c r="A417" s="32"/>
      <c r="B417" s="27"/>
      <c r="J417" s="25"/>
    </row>
    <row r="418" spans="1:10" ht="9.75" customHeight="1" x14ac:dyDescent="0.2">
      <c r="A418" s="32">
        <v>84</v>
      </c>
      <c r="B418" s="34" t="s">
        <v>137</v>
      </c>
      <c r="C418">
        <v>1</v>
      </c>
      <c r="D418">
        <v>1</v>
      </c>
      <c r="E418">
        <v>1</v>
      </c>
      <c r="F418">
        <v>1</v>
      </c>
      <c r="G418">
        <v>1</v>
      </c>
      <c r="H418">
        <f t="shared" ref="H418:H424" si="60">C418*C$1+D418*D$1+E418*E$1+F418*F$1+G418*G$1</f>
        <v>248</v>
      </c>
      <c r="I418" t="str">
        <f t="shared" ref="I418:I424" si="61">DEC2HEX(H418,2)</f>
        <v>F8</v>
      </c>
      <c r="J418" s="35" t="str">
        <f>CONCATENATE("0x",I418,",0x",I419,",0x",I420,",0x",I421,",0x",I422,",0x",I423,",0x",I424,", //",B418)</f>
        <v>0xF8,0x20,0x20,0x20,0x20,0x20,0x20, //T</v>
      </c>
    </row>
    <row r="419" spans="1:10" ht="9.75" customHeight="1" x14ac:dyDescent="0.2">
      <c r="A419" s="32"/>
      <c r="B419" s="34"/>
      <c r="E419">
        <v>1</v>
      </c>
      <c r="H419">
        <f t="shared" si="60"/>
        <v>32</v>
      </c>
      <c r="I419" t="str">
        <f t="shared" si="61"/>
        <v>20</v>
      </c>
      <c r="J419" s="35"/>
    </row>
    <row r="420" spans="1:10" ht="9.75" customHeight="1" x14ac:dyDescent="0.2">
      <c r="A420" s="32"/>
      <c r="B420" s="34"/>
      <c r="E420">
        <v>1</v>
      </c>
      <c r="H420">
        <f t="shared" si="60"/>
        <v>32</v>
      </c>
      <c r="I420" t="str">
        <f t="shared" si="61"/>
        <v>20</v>
      </c>
      <c r="J420" s="35"/>
    </row>
    <row r="421" spans="1:10" ht="9.75" customHeight="1" x14ac:dyDescent="0.2">
      <c r="A421" s="32"/>
      <c r="B421" s="34"/>
      <c r="E421">
        <v>1</v>
      </c>
      <c r="H421">
        <f t="shared" si="60"/>
        <v>32</v>
      </c>
      <c r="I421" t="str">
        <f t="shared" si="61"/>
        <v>20</v>
      </c>
      <c r="J421" s="35"/>
    </row>
    <row r="422" spans="1:10" ht="9.75" customHeight="1" x14ac:dyDescent="0.2">
      <c r="A422" s="32"/>
      <c r="B422" s="34"/>
      <c r="E422">
        <v>1</v>
      </c>
      <c r="H422">
        <f t="shared" si="60"/>
        <v>32</v>
      </c>
      <c r="I422" t="str">
        <f t="shared" si="61"/>
        <v>20</v>
      </c>
      <c r="J422" s="35"/>
    </row>
    <row r="423" spans="1:10" ht="9.75" customHeight="1" x14ac:dyDescent="0.2">
      <c r="A423" s="32"/>
      <c r="B423" s="34"/>
      <c r="E423">
        <v>1</v>
      </c>
      <c r="H423">
        <f t="shared" si="60"/>
        <v>32</v>
      </c>
      <c r="I423" t="str">
        <f t="shared" si="61"/>
        <v>20</v>
      </c>
      <c r="J423" s="35"/>
    </row>
    <row r="424" spans="1:10" ht="9.75" customHeight="1" x14ac:dyDescent="0.2">
      <c r="A424" s="32"/>
      <c r="B424" s="34"/>
      <c r="E424">
        <v>1</v>
      </c>
      <c r="H424">
        <f t="shared" si="60"/>
        <v>32</v>
      </c>
      <c r="I424" t="str">
        <f t="shared" si="61"/>
        <v>20</v>
      </c>
      <c r="J424" s="35"/>
    </row>
    <row r="425" spans="1:10" ht="9.75" customHeight="1" x14ac:dyDescent="0.2">
      <c r="A425" s="32"/>
      <c r="B425" s="27"/>
      <c r="J425" s="25"/>
    </row>
    <row r="426" spans="1:10" ht="9.75" customHeight="1" x14ac:dyDescent="0.2">
      <c r="A426" s="32">
        <v>85</v>
      </c>
      <c r="B426" s="34" t="s">
        <v>138</v>
      </c>
      <c r="C426">
        <v>1</v>
      </c>
      <c r="G426">
        <v>1</v>
      </c>
      <c r="H426">
        <f t="shared" si="31"/>
        <v>136</v>
      </c>
      <c r="I426" t="str">
        <f t="shared" si="27"/>
        <v>88</v>
      </c>
      <c r="J426" s="35" t="str">
        <f>CONCATENATE("0x",I426,",0x",I427,",0x",I428,",0x",I429,",0x",I430,",0x",I431,",0x",I432,", //",B426)</f>
        <v>0x88,0x88,0x88,0x88,0x88,0x88,0x70, //U</v>
      </c>
    </row>
    <row r="427" spans="1:10" ht="9.75" customHeight="1" x14ac:dyDescent="0.2">
      <c r="A427" s="32"/>
      <c r="B427" s="34"/>
      <c r="C427">
        <v>1</v>
      </c>
      <c r="G427">
        <v>1</v>
      </c>
      <c r="H427">
        <f t="shared" si="31"/>
        <v>136</v>
      </c>
      <c r="I427" t="str">
        <f t="shared" si="27"/>
        <v>88</v>
      </c>
      <c r="J427" s="35"/>
    </row>
    <row r="428" spans="1:10" ht="9.75" customHeight="1" x14ac:dyDescent="0.2">
      <c r="A428" s="32"/>
      <c r="B428" s="34"/>
      <c r="C428">
        <v>1</v>
      </c>
      <c r="G428">
        <v>1</v>
      </c>
      <c r="H428">
        <f t="shared" si="31"/>
        <v>136</v>
      </c>
      <c r="I428" t="str">
        <f t="shared" si="27"/>
        <v>88</v>
      </c>
      <c r="J428" s="35"/>
    </row>
    <row r="429" spans="1:10" ht="9.75" customHeight="1" x14ac:dyDescent="0.2">
      <c r="A429" s="32"/>
      <c r="B429" s="34"/>
      <c r="C429">
        <v>1</v>
      </c>
      <c r="G429">
        <v>1</v>
      </c>
      <c r="H429">
        <f t="shared" si="31"/>
        <v>136</v>
      </c>
      <c r="I429" t="str">
        <f t="shared" si="27"/>
        <v>88</v>
      </c>
      <c r="J429" s="35"/>
    </row>
    <row r="430" spans="1:10" ht="9.75" customHeight="1" x14ac:dyDescent="0.2">
      <c r="A430" s="32"/>
      <c r="B430" s="34"/>
      <c r="C430">
        <v>1</v>
      </c>
      <c r="G430">
        <v>1</v>
      </c>
      <c r="H430">
        <f t="shared" si="31"/>
        <v>136</v>
      </c>
      <c r="I430" t="str">
        <f t="shared" si="27"/>
        <v>88</v>
      </c>
      <c r="J430" s="35"/>
    </row>
    <row r="431" spans="1:10" ht="9.75" customHeight="1" x14ac:dyDescent="0.2">
      <c r="A431" s="32"/>
      <c r="B431" s="34"/>
      <c r="C431">
        <v>1</v>
      </c>
      <c r="G431">
        <v>1</v>
      </c>
      <c r="H431">
        <f t="shared" si="31"/>
        <v>136</v>
      </c>
      <c r="I431" t="str">
        <f t="shared" si="27"/>
        <v>88</v>
      </c>
      <c r="J431" s="35"/>
    </row>
    <row r="432" spans="1:10" ht="9.75" customHeight="1" x14ac:dyDescent="0.2">
      <c r="A432" s="32"/>
      <c r="B432" s="34"/>
      <c r="D432">
        <v>1</v>
      </c>
      <c r="E432">
        <v>1</v>
      </c>
      <c r="F432">
        <v>1</v>
      </c>
      <c r="H432">
        <f t="shared" si="31"/>
        <v>112</v>
      </c>
      <c r="I432" t="str">
        <f t="shared" si="27"/>
        <v>70</v>
      </c>
      <c r="J432" s="35"/>
    </row>
    <row r="433" spans="1:10" ht="9.75" customHeight="1" x14ac:dyDescent="0.2">
      <c r="A433" s="32"/>
      <c r="B433" s="27"/>
      <c r="J433" s="25"/>
    </row>
    <row r="434" spans="1:10" ht="9.75" customHeight="1" x14ac:dyDescent="0.2">
      <c r="A434" s="32">
        <v>86</v>
      </c>
      <c r="B434" s="34" t="s">
        <v>139</v>
      </c>
      <c r="C434">
        <v>1</v>
      </c>
      <c r="G434">
        <v>1</v>
      </c>
      <c r="H434">
        <f t="shared" ref="H434:H440" si="62">C434*C$1+D434*D$1+E434*E$1+F434*F$1+G434*G$1</f>
        <v>136</v>
      </c>
      <c r="I434" t="str">
        <f t="shared" ref="I434:I440" si="63">DEC2HEX(H434,2)</f>
        <v>88</v>
      </c>
      <c r="J434" s="35" t="str">
        <f>CONCATENATE("0x",I434,",0x",I435,",0x",I436,",0x",I437,",0x",I438,",0x",I439,",0x",I440,", //",B434)</f>
        <v>0x88,0x88,0x88,0x88,0x88,0x50,0x20, //V</v>
      </c>
    </row>
    <row r="435" spans="1:10" ht="9.75" customHeight="1" x14ac:dyDescent="0.2">
      <c r="A435" s="32"/>
      <c r="B435" s="34"/>
      <c r="C435">
        <v>1</v>
      </c>
      <c r="G435">
        <v>1</v>
      </c>
      <c r="H435">
        <f t="shared" si="62"/>
        <v>136</v>
      </c>
      <c r="I435" t="str">
        <f t="shared" si="63"/>
        <v>88</v>
      </c>
      <c r="J435" s="35"/>
    </row>
    <row r="436" spans="1:10" ht="9.75" customHeight="1" x14ac:dyDescent="0.2">
      <c r="A436" s="32"/>
      <c r="B436" s="34"/>
      <c r="C436">
        <v>1</v>
      </c>
      <c r="G436">
        <v>1</v>
      </c>
      <c r="H436">
        <f t="shared" si="62"/>
        <v>136</v>
      </c>
      <c r="I436" t="str">
        <f t="shared" si="63"/>
        <v>88</v>
      </c>
      <c r="J436" s="35"/>
    </row>
    <row r="437" spans="1:10" ht="9.75" customHeight="1" x14ac:dyDescent="0.2">
      <c r="A437" s="32"/>
      <c r="B437" s="34"/>
      <c r="C437">
        <v>1</v>
      </c>
      <c r="G437">
        <v>1</v>
      </c>
      <c r="H437">
        <f t="shared" si="62"/>
        <v>136</v>
      </c>
      <c r="I437" t="str">
        <f t="shared" si="63"/>
        <v>88</v>
      </c>
      <c r="J437" s="35"/>
    </row>
    <row r="438" spans="1:10" ht="9.75" customHeight="1" x14ac:dyDescent="0.2">
      <c r="A438" s="32"/>
      <c r="B438" s="34"/>
      <c r="C438">
        <v>1</v>
      </c>
      <c r="G438">
        <v>1</v>
      </c>
      <c r="H438">
        <f t="shared" si="62"/>
        <v>136</v>
      </c>
      <c r="I438" t="str">
        <f t="shared" si="63"/>
        <v>88</v>
      </c>
      <c r="J438" s="35"/>
    </row>
    <row r="439" spans="1:10" ht="9.75" customHeight="1" x14ac:dyDescent="0.2">
      <c r="A439" s="32"/>
      <c r="B439" s="34"/>
      <c r="D439">
        <v>1</v>
      </c>
      <c r="F439">
        <v>1</v>
      </c>
      <c r="H439">
        <f t="shared" si="62"/>
        <v>80</v>
      </c>
      <c r="I439" t="str">
        <f t="shared" si="63"/>
        <v>50</v>
      </c>
      <c r="J439" s="35"/>
    </row>
    <row r="440" spans="1:10" ht="9.75" customHeight="1" x14ac:dyDescent="0.2">
      <c r="A440" s="32"/>
      <c r="B440" s="34"/>
      <c r="E440">
        <v>1</v>
      </c>
      <c r="H440">
        <f t="shared" si="62"/>
        <v>32</v>
      </c>
      <c r="I440" t="str">
        <f t="shared" si="63"/>
        <v>20</v>
      </c>
      <c r="J440" s="35"/>
    </row>
    <row r="441" spans="1:10" ht="9.75" customHeight="1" x14ac:dyDescent="0.2">
      <c r="A441" s="32"/>
      <c r="B441" s="27"/>
      <c r="J441" s="25"/>
    </row>
    <row r="442" spans="1:10" ht="9.75" customHeight="1" x14ac:dyDescent="0.2">
      <c r="A442" s="32">
        <v>87</v>
      </c>
      <c r="B442" s="34" t="s">
        <v>140</v>
      </c>
      <c r="C442">
        <v>1</v>
      </c>
      <c r="E442">
        <v>1</v>
      </c>
      <c r="G442">
        <v>1</v>
      </c>
      <c r="H442">
        <f t="shared" si="31"/>
        <v>168</v>
      </c>
      <c r="I442" t="str">
        <f t="shared" si="27"/>
        <v>A8</v>
      </c>
      <c r="J442" s="35" t="str">
        <f>CONCATENATE("0x",I442,",0x",I443,",0x",I444,",0x",I445,",0x",I446,",0x",I447,",0x",I448,", //",B442)</f>
        <v>0xA8,0xA8,0xA8,0xA8,0xA8,0xA8,0x50, //W</v>
      </c>
    </row>
    <row r="443" spans="1:10" ht="9.75" customHeight="1" x14ac:dyDescent="0.2">
      <c r="A443" s="32"/>
      <c r="B443" s="34"/>
      <c r="C443">
        <v>1</v>
      </c>
      <c r="E443">
        <v>1</v>
      </c>
      <c r="G443">
        <v>1</v>
      </c>
      <c r="H443">
        <f t="shared" si="31"/>
        <v>168</v>
      </c>
      <c r="I443" t="str">
        <f t="shared" si="27"/>
        <v>A8</v>
      </c>
      <c r="J443" s="35"/>
    </row>
    <row r="444" spans="1:10" ht="9.75" customHeight="1" x14ac:dyDescent="0.2">
      <c r="A444" s="32"/>
      <c r="B444" s="34"/>
      <c r="C444">
        <v>1</v>
      </c>
      <c r="E444">
        <v>1</v>
      </c>
      <c r="G444">
        <v>1</v>
      </c>
      <c r="H444">
        <f t="shared" si="31"/>
        <v>168</v>
      </c>
      <c r="I444" t="str">
        <f t="shared" si="27"/>
        <v>A8</v>
      </c>
      <c r="J444" s="35"/>
    </row>
    <row r="445" spans="1:10" ht="9.75" customHeight="1" x14ac:dyDescent="0.2">
      <c r="A445" s="32"/>
      <c r="B445" s="34"/>
      <c r="C445">
        <v>1</v>
      </c>
      <c r="E445">
        <v>1</v>
      </c>
      <c r="G445">
        <v>1</v>
      </c>
      <c r="H445">
        <f t="shared" si="31"/>
        <v>168</v>
      </c>
      <c r="I445" t="str">
        <f t="shared" si="27"/>
        <v>A8</v>
      </c>
      <c r="J445" s="35"/>
    </row>
    <row r="446" spans="1:10" ht="9.75" customHeight="1" x14ac:dyDescent="0.2">
      <c r="A446" s="32"/>
      <c r="B446" s="34"/>
      <c r="C446">
        <v>1</v>
      </c>
      <c r="E446">
        <v>1</v>
      </c>
      <c r="G446">
        <v>1</v>
      </c>
      <c r="H446">
        <f t="shared" si="31"/>
        <v>168</v>
      </c>
      <c r="I446" t="str">
        <f t="shared" si="27"/>
        <v>A8</v>
      </c>
      <c r="J446" s="35"/>
    </row>
    <row r="447" spans="1:10" ht="9.75" customHeight="1" x14ac:dyDescent="0.2">
      <c r="A447" s="32"/>
      <c r="B447" s="34"/>
      <c r="C447">
        <v>1</v>
      </c>
      <c r="E447">
        <v>1</v>
      </c>
      <c r="G447">
        <v>1</v>
      </c>
      <c r="H447">
        <f t="shared" si="31"/>
        <v>168</v>
      </c>
      <c r="I447" t="str">
        <f t="shared" si="27"/>
        <v>A8</v>
      </c>
      <c r="J447" s="35"/>
    </row>
    <row r="448" spans="1:10" ht="9.75" customHeight="1" x14ac:dyDescent="0.2">
      <c r="A448" s="32"/>
      <c r="B448" s="34"/>
      <c r="D448">
        <v>1</v>
      </c>
      <c r="F448">
        <v>1</v>
      </c>
      <c r="H448">
        <f t="shared" si="31"/>
        <v>80</v>
      </c>
      <c r="I448" t="str">
        <f t="shared" si="27"/>
        <v>50</v>
      </c>
      <c r="J448" s="35"/>
    </row>
    <row r="449" spans="1:10" ht="9.75" customHeight="1" x14ac:dyDescent="0.2">
      <c r="A449" s="32"/>
      <c r="B449" s="27"/>
      <c r="J449" s="25"/>
    </row>
    <row r="450" spans="1:10" ht="9.75" customHeight="1" x14ac:dyDescent="0.2">
      <c r="A450" s="32">
        <v>88</v>
      </c>
      <c r="B450" s="34" t="s">
        <v>141</v>
      </c>
      <c r="C450">
        <v>1</v>
      </c>
      <c r="G450">
        <v>1</v>
      </c>
      <c r="H450">
        <f t="shared" ref="H450:H456" si="64">C450*C$1+D450*D$1+E450*E$1+F450*F$1+G450*G$1</f>
        <v>136</v>
      </c>
      <c r="I450" t="str">
        <f t="shared" ref="I450:I456" si="65">DEC2HEX(H450,2)</f>
        <v>88</v>
      </c>
      <c r="J450" s="35" t="str">
        <f>CONCATENATE("0x",I450,",0x",I451,",0x",I452,",0x",I453,",0x",I454,",0x",I455,",0x",I456,", //",B450)</f>
        <v>0x88,0x88,0x50,0x20,0x50,0x88,0x88, //X</v>
      </c>
    </row>
    <row r="451" spans="1:10" ht="9.75" customHeight="1" x14ac:dyDescent="0.2">
      <c r="A451" s="32"/>
      <c r="B451" s="34"/>
      <c r="C451">
        <v>1</v>
      </c>
      <c r="G451">
        <v>1</v>
      </c>
      <c r="H451">
        <f t="shared" si="64"/>
        <v>136</v>
      </c>
      <c r="I451" t="str">
        <f t="shared" si="65"/>
        <v>88</v>
      </c>
      <c r="J451" s="35"/>
    </row>
    <row r="452" spans="1:10" ht="9.75" customHeight="1" x14ac:dyDescent="0.2">
      <c r="A452" s="32"/>
      <c r="B452" s="34"/>
      <c r="D452">
        <v>1</v>
      </c>
      <c r="F452">
        <v>1</v>
      </c>
      <c r="H452">
        <f t="shared" si="64"/>
        <v>80</v>
      </c>
      <c r="I452" t="str">
        <f t="shared" si="65"/>
        <v>50</v>
      </c>
      <c r="J452" s="35"/>
    </row>
    <row r="453" spans="1:10" ht="9.75" customHeight="1" x14ac:dyDescent="0.2">
      <c r="A453" s="32"/>
      <c r="B453" s="34"/>
      <c r="E453">
        <v>1</v>
      </c>
      <c r="H453">
        <f t="shared" si="64"/>
        <v>32</v>
      </c>
      <c r="I453" t="str">
        <f t="shared" si="65"/>
        <v>20</v>
      </c>
      <c r="J453" s="35"/>
    </row>
    <row r="454" spans="1:10" ht="9.75" customHeight="1" x14ac:dyDescent="0.2">
      <c r="A454" s="32"/>
      <c r="B454" s="34"/>
      <c r="D454">
        <v>1</v>
      </c>
      <c r="F454">
        <v>1</v>
      </c>
      <c r="H454">
        <f t="shared" si="64"/>
        <v>80</v>
      </c>
      <c r="I454" t="str">
        <f t="shared" si="65"/>
        <v>50</v>
      </c>
      <c r="J454" s="35"/>
    </row>
    <row r="455" spans="1:10" ht="9.75" customHeight="1" x14ac:dyDescent="0.2">
      <c r="A455" s="32"/>
      <c r="B455" s="34"/>
      <c r="C455">
        <v>1</v>
      </c>
      <c r="G455">
        <v>1</v>
      </c>
      <c r="H455">
        <f t="shared" si="64"/>
        <v>136</v>
      </c>
      <c r="I455" t="str">
        <f t="shared" si="65"/>
        <v>88</v>
      </c>
      <c r="J455" s="35"/>
    </row>
    <row r="456" spans="1:10" ht="9.75" customHeight="1" x14ac:dyDescent="0.2">
      <c r="A456" s="32"/>
      <c r="B456" s="34"/>
      <c r="C456">
        <v>1</v>
      </c>
      <c r="G456">
        <v>1</v>
      </c>
      <c r="H456">
        <f t="shared" si="64"/>
        <v>136</v>
      </c>
      <c r="I456" t="str">
        <f t="shared" si="65"/>
        <v>88</v>
      </c>
      <c r="J456" s="35"/>
    </row>
    <row r="457" spans="1:10" ht="9.75" customHeight="1" x14ac:dyDescent="0.2">
      <c r="A457" s="32"/>
      <c r="B457" s="27"/>
      <c r="J457" s="25"/>
    </row>
    <row r="458" spans="1:10" ht="9.75" customHeight="1" x14ac:dyDescent="0.2">
      <c r="A458" s="32">
        <v>89</v>
      </c>
      <c r="B458" s="34" t="s">
        <v>142</v>
      </c>
      <c r="C458">
        <v>1</v>
      </c>
      <c r="G458">
        <v>1</v>
      </c>
      <c r="H458">
        <f t="shared" si="31"/>
        <v>136</v>
      </c>
      <c r="I458" t="str">
        <f t="shared" si="27"/>
        <v>88</v>
      </c>
      <c r="J458" s="35" t="str">
        <f>CONCATENATE("0x",I458,",0x",I459,",0x",I460,",0x",I461,",0x",I462,",0x",I463,",0x",I464,", //",B458)</f>
        <v>0x88,0x88,0x50,0x20,0x20,0x20,0x20, //Y</v>
      </c>
    </row>
    <row r="459" spans="1:10" ht="9.75" customHeight="1" x14ac:dyDescent="0.2">
      <c r="A459" s="32"/>
      <c r="B459" s="34"/>
      <c r="C459">
        <v>1</v>
      </c>
      <c r="G459">
        <v>1</v>
      </c>
      <c r="H459">
        <f t="shared" si="31"/>
        <v>136</v>
      </c>
      <c r="I459" t="str">
        <f t="shared" si="27"/>
        <v>88</v>
      </c>
      <c r="J459" s="35"/>
    </row>
    <row r="460" spans="1:10" ht="9.75" customHeight="1" x14ac:dyDescent="0.2">
      <c r="A460" s="32"/>
      <c r="B460" s="34"/>
      <c r="D460">
        <v>1</v>
      </c>
      <c r="F460">
        <v>1</v>
      </c>
      <c r="H460">
        <f t="shared" si="31"/>
        <v>80</v>
      </c>
      <c r="I460" t="str">
        <f t="shared" si="27"/>
        <v>50</v>
      </c>
      <c r="J460" s="35"/>
    </row>
    <row r="461" spans="1:10" ht="9.75" customHeight="1" x14ac:dyDescent="0.2">
      <c r="A461" s="32"/>
      <c r="B461" s="34"/>
      <c r="E461">
        <v>1</v>
      </c>
      <c r="H461">
        <f t="shared" si="31"/>
        <v>32</v>
      </c>
      <c r="I461" t="str">
        <f t="shared" si="27"/>
        <v>20</v>
      </c>
      <c r="J461" s="35"/>
    </row>
    <row r="462" spans="1:10" ht="9.75" customHeight="1" x14ac:dyDescent="0.2">
      <c r="A462" s="32"/>
      <c r="B462" s="34"/>
      <c r="E462">
        <v>1</v>
      </c>
      <c r="H462">
        <f t="shared" si="31"/>
        <v>32</v>
      </c>
      <c r="I462" t="str">
        <f t="shared" si="27"/>
        <v>20</v>
      </c>
      <c r="J462" s="35"/>
    </row>
    <row r="463" spans="1:10" ht="9.75" customHeight="1" x14ac:dyDescent="0.2">
      <c r="A463" s="32"/>
      <c r="B463" s="34"/>
      <c r="E463">
        <v>1</v>
      </c>
      <c r="H463">
        <f t="shared" si="31"/>
        <v>32</v>
      </c>
      <c r="I463" t="str">
        <f t="shared" si="27"/>
        <v>20</v>
      </c>
      <c r="J463" s="35"/>
    </row>
    <row r="464" spans="1:10" ht="9.75" customHeight="1" x14ac:dyDescent="0.2">
      <c r="A464" s="32"/>
      <c r="B464" s="34"/>
      <c r="E464">
        <v>1</v>
      </c>
      <c r="H464">
        <f t="shared" si="31"/>
        <v>32</v>
      </c>
      <c r="I464" t="str">
        <f t="shared" si="27"/>
        <v>20</v>
      </c>
      <c r="J464" s="35"/>
    </row>
    <row r="465" spans="1:10" ht="9.75" customHeight="1" x14ac:dyDescent="0.2">
      <c r="A465" s="32"/>
      <c r="B465" s="27"/>
      <c r="J465" s="25"/>
    </row>
    <row r="466" spans="1:10" ht="9.75" customHeight="1" x14ac:dyDescent="0.2">
      <c r="A466" s="32">
        <v>90</v>
      </c>
      <c r="B466" s="34" t="s">
        <v>143</v>
      </c>
      <c r="C466">
        <v>1</v>
      </c>
      <c r="D466">
        <v>1</v>
      </c>
      <c r="E466">
        <v>1</v>
      </c>
      <c r="F466">
        <v>1</v>
      </c>
      <c r="G466">
        <v>1</v>
      </c>
      <c r="H466">
        <f t="shared" ref="H466:H472" si="66">C466*C$1+D466*D$1+E466*E$1+F466*F$1+G466*G$1</f>
        <v>248</v>
      </c>
      <c r="I466" t="str">
        <f t="shared" ref="I466:I472" si="67">DEC2HEX(H466,2)</f>
        <v>F8</v>
      </c>
      <c r="J466" s="35" t="str">
        <f>CONCATENATE("0x",I466,",0x",I467,",0x",I468,",0x",I469,",0x",I470,",0x",I471,",0x",I472,", //",B466)</f>
        <v>0xF8,0x08,0x10,0x20,0x40,0x80,0xF8, //Z</v>
      </c>
    </row>
    <row r="467" spans="1:10" ht="9.75" customHeight="1" x14ac:dyDescent="0.2">
      <c r="A467" s="32"/>
      <c r="B467" s="34"/>
      <c r="G467">
        <v>1</v>
      </c>
      <c r="H467">
        <f t="shared" si="66"/>
        <v>8</v>
      </c>
      <c r="I467" t="str">
        <f t="shared" si="67"/>
        <v>08</v>
      </c>
      <c r="J467" s="35"/>
    </row>
    <row r="468" spans="1:10" ht="9.75" customHeight="1" x14ac:dyDescent="0.2">
      <c r="A468" s="32"/>
      <c r="B468" s="34"/>
      <c r="F468">
        <v>1</v>
      </c>
      <c r="H468">
        <f t="shared" si="66"/>
        <v>16</v>
      </c>
      <c r="I468" t="str">
        <f t="shared" si="67"/>
        <v>10</v>
      </c>
      <c r="J468" s="35"/>
    </row>
    <row r="469" spans="1:10" ht="9.75" customHeight="1" x14ac:dyDescent="0.2">
      <c r="A469" s="32"/>
      <c r="B469" s="34"/>
      <c r="E469">
        <v>1</v>
      </c>
      <c r="H469">
        <f t="shared" si="66"/>
        <v>32</v>
      </c>
      <c r="I469" t="str">
        <f t="shared" si="67"/>
        <v>20</v>
      </c>
      <c r="J469" s="35"/>
    </row>
    <row r="470" spans="1:10" ht="9.75" customHeight="1" x14ac:dyDescent="0.2">
      <c r="A470" s="32"/>
      <c r="B470" s="34"/>
      <c r="D470">
        <v>1</v>
      </c>
      <c r="H470">
        <f t="shared" si="66"/>
        <v>64</v>
      </c>
      <c r="I470" t="str">
        <f t="shared" si="67"/>
        <v>40</v>
      </c>
      <c r="J470" s="35"/>
    </row>
    <row r="471" spans="1:10" ht="9.75" customHeight="1" x14ac:dyDescent="0.2">
      <c r="A471" s="32"/>
      <c r="B471" s="34"/>
      <c r="C471">
        <v>1</v>
      </c>
      <c r="H471">
        <f t="shared" si="66"/>
        <v>128</v>
      </c>
      <c r="I471" t="str">
        <f t="shared" si="67"/>
        <v>80</v>
      </c>
      <c r="J471" s="35"/>
    </row>
    <row r="472" spans="1:10" ht="9.75" customHeight="1" x14ac:dyDescent="0.2">
      <c r="A472" s="32"/>
      <c r="B472" s="34"/>
      <c r="C472">
        <v>1</v>
      </c>
      <c r="D472">
        <v>1</v>
      </c>
      <c r="E472">
        <v>1</v>
      </c>
      <c r="F472">
        <v>1</v>
      </c>
      <c r="G472">
        <v>1</v>
      </c>
      <c r="H472">
        <f t="shared" si="66"/>
        <v>248</v>
      </c>
      <c r="I472" t="str">
        <f t="shared" si="67"/>
        <v>F8</v>
      </c>
      <c r="J472" s="35"/>
    </row>
    <row r="473" spans="1:10" ht="9.75" customHeight="1" x14ac:dyDescent="0.2">
      <c r="A473" s="32"/>
      <c r="B473" s="27"/>
      <c r="J473" s="25"/>
    </row>
    <row r="474" spans="1:10" ht="9.75" customHeight="1" x14ac:dyDescent="0.2">
      <c r="B474" s="34" t="s">
        <v>217</v>
      </c>
      <c r="H474">
        <f t="shared" si="31"/>
        <v>0</v>
      </c>
      <c r="I474" t="str">
        <f t="shared" si="27"/>
        <v>00</v>
      </c>
      <c r="J474" s="35" t="str">
        <f>CONCATENATE("0x",I474,",0x",I475,",0x",I476,",0x",I477,",0x",I478,",0x",I479,",0x",I480,",")</f>
        <v>0x00,0x00,0x00,0x00,0x00,0x00,0x00,</v>
      </c>
    </row>
    <row r="475" spans="1:10" ht="9.75" customHeight="1" x14ac:dyDescent="0.2">
      <c r="B475" s="34"/>
      <c r="H475">
        <f t="shared" si="31"/>
        <v>0</v>
      </c>
      <c r="I475" t="str">
        <f t="shared" si="27"/>
        <v>00</v>
      </c>
      <c r="J475" s="35"/>
    </row>
    <row r="476" spans="1:10" ht="9.75" customHeight="1" x14ac:dyDescent="0.2">
      <c r="B476" s="34"/>
      <c r="H476">
        <f t="shared" si="31"/>
        <v>0</v>
      </c>
      <c r="I476" t="str">
        <f t="shared" si="27"/>
        <v>00</v>
      </c>
      <c r="J476" s="35"/>
    </row>
    <row r="477" spans="1:10" ht="9.75" customHeight="1" x14ac:dyDescent="0.2">
      <c r="B477" s="34"/>
      <c r="H477">
        <f t="shared" si="31"/>
        <v>0</v>
      </c>
      <c r="I477" t="str">
        <f t="shared" si="27"/>
        <v>00</v>
      </c>
      <c r="J477" s="35"/>
    </row>
    <row r="478" spans="1:10" ht="9.75" customHeight="1" x14ac:dyDescent="0.2">
      <c r="B478" s="34"/>
      <c r="H478">
        <f t="shared" si="31"/>
        <v>0</v>
      </c>
      <c r="I478" t="str">
        <f t="shared" si="27"/>
        <v>00</v>
      </c>
      <c r="J478" s="35"/>
    </row>
    <row r="479" spans="1:10" ht="9.75" customHeight="1" x14ac:dyDescent="0.2">
      <c r="B479" s="34"/>
      <c r="H479">
        <f t="shared" si="31"/>
        <v>0</v>
      </c>
      <c r="I479" t="str">
        <f t="shared" si="27"/>
        <v>00</v>
      </c>
      <c r="J479" s="35"/>
    </row>
    <row r="480" spans="1:10" ht="9.75" customHeight="1" x14ac:dyDescent="0.2">
      <c r="B480" s="34"/>
      <c r="H480">
        <f t="shared" si="31"/>
        <v>0</v>
      </c>
      <c r="I480" t="str">
        <f t="shared" si="27"/>
        <v>00</v>
      </c>
      <c r="J480" s="35"/>
    </row>
    <row r="481" spans="2:10" ht="9.75" customHeight="1" x14ac:dyDescent="0.2">
      <c r="B481" s="27"/>
      <c r="J481" s="25"/>
    </row>
    <row r="482" spans="2:10" ht="9.75" customHeight="1" x14ac:dyDescent="0.2">
      <c r="B482" s="34" t="s">
        <v>217</v>
      </c>
      <c r="H482">
        <f t="shared" ref="H482:H488" si="68">C482*C$1+D482*D$1+E482*E$1+F482*F$1+G482*G$1</f>
        <v>0</v>
      </c>
      <c r="I482" t="str">
        <f t="shared" ref="I482:I488" si="69">DEC2HEX(H482,2)</f>
        <v>00</v>
      </c>
      <c r="J482" s="35" t="str">
        <f>CONCATENATE("0x",I482,",0x",I483,",0x",I484,",0x",I485,",0x",I486,",0x",I487,",0x",I488,",")</f>
        <v>0x00,0x00,0x00,0x00,0x00,0x00,0x00,</v>
      </c>
    </row>
    <row r="483" spans="2:10" ht="9.75" customHeight="1" x14ac:dyDescent="0.2">
      <c r="B483" s="34"/>
      <c r="H483">
        <f t="shared" si="68"/>
        <v>0</v>
      </c>
      <c r="I483" t="str">
        <f t="shared" si="69"/>
        <v>00</v>
      </c>
      <c r="J483" s="35"/>
    </row>
    <row r="484" spans="2:10" ht="9.75" customHeight="1" x14ac:dyDescent="0.2">
      <c r="B484" s="34"/>
      <c r="H484">
        <f t="shared" si="68"/>
        <v>0</v>
      </c>
      <c r="I484" t="str">
        <f t="shared" si="69"/>
        <v>00</v>
      </c>
      <c r="J484" s="35"/>
    </row>
    <row r="485" spans="2:10" ht="9.75" customHeight="1" x14ac:dyDescent="0.2">
      <c r="B485" s="34"/>
      <c r="H485">
        <f t="shared" si="68"/>
        <v>0</v>
      </c>
      <c r="I485" t="str">
        <f t="shared" si="69"/>
        <v>00</v>
      </c>
      <c r="J485" s="35"/>
    </row>
    <row r="486" spans="2:10" ht="9.75" customHeight="1" x14ac:dyDescent="0.2">
      <c r="B486" s="34"/>
      <c r="H486">
        <f t="shared" si="68"/>
        <v>0</v>
      </c>
      <c r="I486" t="str">
        <f t="shared" si="69"/>
        <v>00</v>
      </c>
      <c r="J486" s="35"/>
    </row>
    <row r="487" spans="2:10" ht="9.75" customHeight="1" x14ac:dyDescent="0.2">
      <c r="B487" s="34"/>
      <c r="H487">
        <f t="shared" si="68"/>
        <v>0</v>
      </c>
      <c r="I487" t="str">
        <f t="shared" si="69"/>
        <v>00</v>
      </c>
      <c r="J487" s="35"/>
    </row>
    <row r="488" spans="2:10" ht="9.75" customHeight="1" x14ac:dyDescent="0.2">
      <c r="B488" s="34"/>
      <c r="H488">
        <f t="shared" si="68"/>
        <v>0</v>
      </c>
      <c r="I488" t="str">
        <f t="shared" si="69"/>
        <v>00</v>
      </c>
      <c r="J488" s="35"/>
    </row>
    <row r="489" spans="2:10" ht="9.75" customHeight="1" x14ac:dyDescent="0.2">
      <c r="B489" s="27"/>
      <c r="J489" s="25"/>
    </row>
    <row r="490" spans="2:10" ht="9.75" customHeight="1" x14ac:dyDescent="0.2">
      <c r="B490" s="34" t="s">
        <v>217</v>
      </c>
      <c r="H490">
        <f t="shared" si="31"/>
        <v>0</v>
      </c>
      <c r="I490" t="str">
        <f t="shared" si="27"/>
        <v>00</v>
      </c>
      <c r="J490" s="35" t="str">
        <f>CONCATENATE("0x",I490,",0x",I491,",0x",I492,",0x",I493,",0x",I494,",0x",I495,",0x",I496,",")</f>
        <v>0x00,0x00,0x00,0x00,0x00,0x00,0x00,</v>
      </c>
    </row>
    <row r="491" spans="2:10" ht="9.75" customHeight="1" x14ac:dyDescent="0.2">
      <c r="B491" s="34"/>
      <c r="H491">
        <f t="shared" si="31"/>
        <v>0</v>
      </c>
      <c r="I491" t="str">
        <f t="shared" si="27"/>
        <v>00</v>
      </c>
      <c r="J491" s="35"/>
    </row>
    <row r="492" spans="2:10" ht="9.75" customHeight="1" x14ac:dyDescent="0.2">
      <c r="B492" s="34"/>
      <c r="H492">
        <f t="shared" si="31"/>
        <v>0</v>
      </c>
      <c r="I492" t="str">
        <f t="shared" si="27"/>
        <v>00</v>
      </c>
      <c r="J492" s="35"/>
    </row>
    <row r="493" spans="2:10" ht="9.75" customHeight="1" x14ac:dyDescent="0.2">
      <c r="B493" s="34"/>
      <c r="H493">
        <f t="shared" si="31"/>
        <v>0</v>
      </c>
      <c r="I493" t="str">
        <f t="shared" si="27"/>
        <v>00</v>
      </c>
      <c r="J493" s="35"/>
    </row>
    <row r="494" spans="2:10" ht="9.75" customHeight="1" x14ac:dyDescent="0.2">
      <c r="B494" s="34"/>
      <c r="H494">
        <f t="shared" si="31"/>
        <v>0</v>
      </c>
      <c r="I494" t="str">
        <f t="shared" si="27"/>
        <v>00</v>
      </c>
      <c r="J494" s="35"/>
    </row>
    <row r="495" spans="2:10" ht="9.75" customHeight="1" x14ac:dyDescent="0.2">
      <c r="B495" s="34"/>
      <c r="H495">
        <f t="shared" si="31"/>
        <v>0</v>
      </c>
      <c r="I495" t="str">
        <f t="shared" si="27"/>
        <v>00</v>
      </c>
      <c r="J495" s="35"/>
    </row>
    <row r="496" spans="2:10" ht="9.75" customHeight="1" x14ac:dyDescent="0.2">
      <c r="B496" s="34"/>
      <c r="H496">
        <f t="shared" si="31"/>
        <v>0</v>
      </c>
      <c r="I496" t="str">
        <f t="shared" si="27"/>
        <v>00</v>
      </c>
      <c r="J496" s="35"/>
    </row>
    <row r="497" spans="2:10" ht="9.75" customHeight="1" x14ac:dyDescent="0.2">
      <c r="B497" s="27"/>
      <c r="J497" s="25"/>
    </row>
    <row r="498" spans="2:10" ht="9.75" customHeight="1" x14ac:dyDescent="0.2">
      <c r="B498" s="34" t="s">
        <v>217</v>
      </c>
      <c r="H498">
        <f t="shared" ref="H498:H504" si="70">C498*C$1+D498*D$1+E498*E$1+F498*F$1+G498*G$1</f>
        <v>0</v>
      </c>
      <c r="I498" t="str">
        <f t="shared" ref="I498:I504" si="71">DEC2HEX(H498,2)</f>
        <v>00</v>
      </c>
      <c r="J498" s="35" t="str">
        <f>CONCATENATE("0x",I498,",0x",I499,",0x",I500,",0x",I501,",0x",I502,",0x",I503,",0x",I504,",")</f>
        <v>0x00,0x00,0x00,0x00,0x00,0x00,0x00,</v>
      </c>
    </row>
    <row r="499" spans="2:10" ht="9.75" customHeight="1" x14ac:dyDescent="0.2">
      <c r="B499" s="34"/>
      <c r="H499">
        <f t="shared" si="70"/>
        <v>0</v>
      </c>
      <c r="I499" t="str">
        <f t="shared" si="71"/>
        <v>00</v>
      </c>
      <c r="J499" s="35"/>
    </row>
    <row r="500" spans="2:10" ht="9.75" customHeight="1" x14ac:dyDescent="0.2">
      <c r="B500" s="34"/>
      <c r="H500">
        <f t="shared" si="70"/>
        <v>0</v>
      </c>
      <c r="I500" t="str">
        <f t="shared" si="71"/>
        <v>00</v>
      </c>
      <c r="J500" s="35"/>
    </row>
    <row r="501" spans="2:10" ht="9.75" customHeight="1" x14ac:dyDescent="0.2">
      <c r="B501" s="34"/>
      <c r="H501">
        <f t="shared" si="70"/>
        <v>0</v>
      </c>
      <c r="I501" t="str">
        <f t="shared" si="71"/>
        <v>00</v>
      </c>
      <c r="J501" s="35"/>
    </row>
    <row r="502" spans="2:10" ht="9.75" customHeight="1" x14ac:dyDescent="0.2">
      <c r="B502" s="34"/>
      <c r="H502">
        <f t="shared" si="70"/>
        <v>0</v>
      </c>
      <c r="I502" t="str">
        <f t="shared" si="71"/>
        <v>00</v>
      </c>
      <c r="J502" s="35"/>
    </row>
    <row r="503" spans="2:10" ht="9.75" customHeight="1" x14ac:dyDescent="0.2">
      <c r="B503" s="34"/>
      <c r="H503">
        <f t="shared" si="70"/>
        <v>0</v>
      </c>
      <c r="I503" t="str">
        <f t="shared" si="71"/>
        <v>00</v>
      </c>
      <c r="J503" s="35"/>
    </row>
    <row r="504" spans="2:10" ht="9.75" customHeight="1" x14ac:dyDescent="0.2">
      <c r="B504" s="34"/>
      <c r="H504">
        <f t="shared" si="70"/>
        <v>0</v>
      </c>
      <c r="I504" t="str">
        <f t="shared" si="71"/>
        <v>00</v>
      </c>
      <c r="J504" s="35"/>
    </row>
    <row r="505" spans="2:10" ht="9.75" customHeight="1" x14ac:dyDescent="0.2">
      <c r="B505" s="27"/>
      <c r="J505" s="25"/>
    </row>
    <row r="506" spans="2:10" ht="9.75" customHeight="1" x14ac:dyDescent="0.2">
      <c r="B506" s="34" t="s">
        <v>217</v>
      </c>
      <c r="H506">
        <f t="shared" si="31"/>
        <v>0</v>
      </c>
      <c r="I506" t="str">
        <f t="shared" si="27"/>
        <v>00</v>
      </c>
      <c r="J506" s="35" t="str">
        <f>CONCATENATE("0x",I506,",0x",I507,",0x",I508,",0x",I509,",0x",I510,",0x",I511,",0x",I512,",")</f>
        <v>0x00,0x00,0x00,0x00,0x00,0x00,0x00,</v>
      </c>
    </row>
    <row r="507" spans="2:10" ht="9.75" customHeight="1" x14ac:dyDescent="0.2">
      <c r="B507" s="34"/>
      <c r="H507">
        <f t="shared" si="31"/>
        <v>0</v>
      </c>
      <c r="I507" t="str">
        <f t="shared" si="27"/>
        <v>00</v>
      </c>
      <c r="J507" s="35"/>
    </row>
    <row r="508" spans="2:10" ht="9.75" customHeight="1" x14ac:dyDescent="0.2">
      <c r="B508" s="34"/>
      <c r="H508">
        <f t="shared" si="31"/>
        <v>0</v>
      </c>
      <c r="I508" t="str">
        <f t="shared" si="27"/>
        <v>00</v>
      </c>
      <c r="J508" s="35"/>
    </row>
    <row r="509" spans="2:10" ht="9.75" customHeight="1" x14ac:dyDescent="0.2">
      <c r="B509" s="34"/>
      <c r="H509">
        <f t="shared" si="31"/>
        <v>0</v>
      </c>
      <c r="I509" t="str">
        <f t="shared" si="27"/>
        <v>00</v>
      </c>
      <c r="J509" s="35"/>
    </row>
    <row r="510" spans="2:10" ht="9.75" customHeight="1" x14ac:dyDescent="0.2">
      <c r="B510" s="34"/>
      <c r="H510">
        <f t="shared" si="31"/>
        <v>0</v>
      </c>
      <c r="I510" t="str">
        <f t="shared" si="27"/>
        <v>00</v>
      </c>
      <c r="J510" s="35"/>
    </row>
    <row r="511" spans="2:10" ht="9.75" customHeight="1" x14ac:dyDescent="0.2">
      <c r="B511" s="34"/>
      <c r="H511">
        <f t="shared" si="31"/>
        <v>0</v>
      </c>
      <c r="I511" t="str">
        <f t="shared" si="27"/>
        <v>00</v>
      </c>
      <c r="J511" s="35"/>
    </row>
    <row r="512" spans="2:10" ht="9.75" customHeight="1" x14ac:dyDescent="0.2">
      <c r="B512" s="34"/>
      <c r="H512">
        <f t="shared" si="31"/>
        <v>0</v>
      </c>
      <c r="I512" t="str">
        <f t="shared" si="27"/>
        <v>00</v>
      </c>
      <c r="J512" s="35"/>
    </row>
    <row r="513" spans="2:10" ht="9.75" customHeight="1" x14ac:dyDescent="0.2">
      <c r="B513" s="27"/>
      <c r="J513" s="25"/>
    </row>
  </sheetData>
  <mergeCells count="187">
    <mergeCell ref="A362:A369"/>
    <mergeCell ref="A370:A377"/>
    <mergeCell ref="A378:A385"/>
    <mergeCell ref="A458:A465"/>
    <mergeCell ref="A466:A473"/>
    <mergeCell ref="A386:A393"/>
    <mergeCell ref="A394:A401"/>
    <mergeCell ref="A402:A409"/>
    <mergeCell ref="A410:A417"/>
    <mergeCell ref="A418:A425"/>
    <mergeCell ref="A426:A433"/>
    <mergeCell ref="A434:A441"/>
    <mergeCell ref="A442:A449"/>
    <mergeCell ref="A450:A457"/>
    <mergeCell ref="A154:A161"/>
    <mergeCell ref="A162:A169"/>
    <mergeCell ref="A170:A177"/>
    <mergeCell ref="A314:A321"/>
    <mergeCell ref="A322:A329"/>
    <mergeCell ref="A330:A337"/>
    <mergeCell ref="A338:A345"/>
    <mergeCell ref="A346:A353"/>
    <mergeCell ref="A354:A361"/>
    <mergeCell ref="B2:B8"/>
    <mergeCell ref="J2:J8"/>
    <mergeCell ref="B10:B16"/>
    <mergeCell ref="J10:J16"/>
    <mergeCell ref="B18:B24"/>
    <mergeCell ref="J18:J24"/>
    <mergeCell ref="B26:B32"/>
    <mergeCell ref="J26:J32"/>
    <mergeCell ref="B34:B40"/>
    <mergeCell ref="J34:J40"/>
    <mergeCell ref="B466:B472"/>
    <mergeCell ref="J466:J472"/>
    <mergeCell ref="B458:B464"/>
    <mergeCell ref="J458:J464"/>
    <mergeCell ref="B58:B64"/>
    <mergeCell ref="J58:J64"/>
    <mergeCell ref="B122:B128"/>
    <mergeCell ref="J122:J128"/>
    <mergeCell ref="B114:B120"/>
    <mergeCell ref="J114:J120"/>
    <mergeCell ref="B106:B112"/>
    <mergeCell ref="J106:J112"/>
    <mergeCell ref="B90:B96"/>
    <mergeCell ref="J90:J96"/>
    <mergeCell ref="B82:B88"/>
    <mergeCell ref="J82:J88"/>
    <mergeCell ref="B74:B80"/>
    <mergeCell ref="J74:J80"/>
    <mergeCell ref="B154:B160"/>
    <mergeCell ref="J154:J160"/>
    <mergeCell ref="B162:B168"/>
    <mergeCell ref="B146:B152"/>
    <mergeCell ref="B194:B200"/>
    <mergeCell ref="J194:J200"/>
    <mergeCell ref="B506:B512"/>
    <mergeCell ref="J506:J512"/>
    <mergeCell ref="B498:B504"/>
    <mergeCell ref="J498:J504"/>
    <mergeCell ref="B490:B496"/>
    <mergeCell ref="J490:J496"/>
    <mergeCell ref="B482:B488"/>
    <mergeCell ref="J482:J488"/>
    <mergeCell ref="B474:B480"/>
    <mergeCell ref="J474:J480"/>
    <mergeCell ref="B426:B432"/>
    <mergeCell ref="J426:J432"/>
    <mergeCell ref="B418:B424"/>
    <mergeCell ref="J418:J424"/>
    <mergeCell ref="B410:B416"/>
    <mergeCell ref="J410:J416"/>
    <mergeCell ref="B450:B456"/>
    <mergeCell ref="J450:J456"/>
    <mergeCell ref="B442:B448"/>
    <mergeCell ref="J442:J448"/>
    <mergeCell ref="B434:B440"/>
    <mergeCell ref="J434:J440"/>
    <mergeCell ref="B378:B384"/>
    <mergeCell ref="J378:J384"/>
    <mergeCell ref="B370:B376"/>
    <mergeCell ref="J370:J376"/>
    <mergeCell ref="B362:B368"/>
    <mergeCell ref="J362:J368"/>
    <mergeCell ref="B402:B408"/>
    <mergeCell ref="J402:J408"/>
    <mergeCell ref="B394:B400"/>
    <mergeCell ref="J394:J400"/>
    <mergeCell ref="B386:B392"/>
    <mergeCell ref="J386:J392"/>
    <mergeCell ref="B330:B336"/>
    <mergeCell ref="J330:J336"/>
    <mergeCell ref="B322:B328"/>
    <mergeCell ref="J322:J328"/>
    <mergeCell ref="B314:B320"/>
    <mergeCell ref="J314:J320"/>
    <mergeCell ref="B354:B360"/>
    <mergeCell ref="J354:J360"/>
    <mergeCell ref="B346:B352"/>
    <mergeCell ref="J346:J352"/>
    <mergeCell ref="B338:B344"/>
    <mergeCell ref="J338:J344"/>
    <mergeCell ref="B282:B288"/>
    <mergeCell ref="J282:J288"/>
    <mergeCell ref="B274:B280"/>
    <mergeCell ref="J274:J280"/>
    <mergeCell ref="B266:B272"/>
    <mergeCell ref="J266:J272"/>
    <mergeCell ref="B306:B312"/>
    <mergeCell ref="J306:J312"/>
    <mergeCell ref="B298:B304"/>
    <mergeCell ref="J298:J304"/>
    <mergeCell ref="B290:B296"/>
    <mergeCell ref="J290:J296"/>
    <mergeCell ref="B258:B264"/>
    <mergeCell ref="J258:J264"/>
    <mergeCell ref="B250:B256"/>
    <mergeCell ref="J250:J256"/>
    <mergeCell ref="B226:B232"/>
    <mergeCell ref="J226:J232"/>
    <mergeCell ref="B202:B208"/>
    <mergeCell ref="J202:J208"/>
    <mergeCell ref="B130:B136"/>
    <mergeCell ref="J130:J136"/>
    <mergeCell ref="J162:J168"/>
    <mergeCell ref="B170:B176"/>
    <mergeCell ref="J170:J176"/>
    <mergeCell ref="B178:B184"/>
    <mergeCell ref="J178:J184"/>
    <mergeCell ref="B186:B192"/>
    <mergeCell ref="J242:J248"/>
    <mergeCell ref="J186:J192"/>
    <mergeCell ref="B138:B144"/>
    <mergeCell ref="J138:J144"/>
    <mergeCell ref="J146:J152"/>
    <mergeCell ref="B234:B240"/>
    <mergeCell ref="J234:J240"/>
    <mergeCell ref="B218:B224"/>
    <mergeCell ref="B242:B248"/>
    <mergeCell ref="A10:A17"/>
    <mergeCell ref="A18:A25"/>
    <mergeCell ref="A26:A33"/>
    <mergeCell ref="A34:A41"/>
    <mergeCell ref="A42:A49"/>
    <mergeCell ref="B50:B56"/>
    <mergeCell ref="J50:J56"/>
    <mergeCell ref="B98:B104"/>
    <mergeCell ref="J98:J104"/>
    <mergeCell ref="A50:A57"/>
    <mergeCell ref="A58:A65"/>
    <mergeCell ref="A66:A73"/>
    <mergeCell ref="A74:A81"/>
    <mergeCell ref="A82:A89"/>
    <mergeCell ref="A90:A97"/>
    <mergeCell ref="A98:A105"/>
    <mergeCell ref="B66:B72"/>
    <mergeCell ref="J66:J72"/>
    <mergeCell ref="B42:B48"/>
    <mergeCell ref="J42:J48"/>
    <mergeCell ref="J218:J224"/>
    <mergeCell ref="B210:B216"/>
    <mergeCell ref="J210:J216"/>
    <mergeCell ref="A2:A9"/>
    <mergeCell ref="A250:A257"/>
    <mergeCell ref="A258:A265"/>
    <mergeCell ref="A266:A273"/>
    <mergeCell ref="A274:A281"/>
    <mergeCell ref="A282:A289"/>
    <mergeCell ref="A290:A297"/>
    <mergeCell ref="A298:A305"/>
    <mergeCell ref="A306:A313"/>
    <mergeCell ref="A178:A185"/>
    <mergeCell ref="A186:A193"/>
    <mergeCell ref="A194:A201"/>
    <mergeCell ref="A202:A209"/>
    <mergeCell ref="A210:A217"/>
    <mergeCell ref="A218:A225"/>
    <mergeCell ref="A226:A233"/>
    <mergeCell ref="A234:A241"/>
    <mergeCell ref="A242:A249"/>
    <mergeCell ref="A106:A113"/>
    <mergeCell ref="A114:A121"/>
    <mergeCell ref="A122:A129"/>
    <mergeCell ref="A130:A137"/>
    <mergeCell ref="A138:A145"/>
    <mergeCell ref="A146:A153"/>
  </mergeCells>
  <phoneticPr fontId="5" type="noConversion"/>
  <conditionalFormatting sqref="C138:G152 C154:G160 C162:G168 C129:G129">
    <cfRule type="expression" dxfId="282" priority="93">
      <formula>C129=1</formula>
    </cfRule>
  </conditionalFormatting>
  <conditionalFormatting sqref="C169:G176">
    <cfRule type="expression" dxfId="281" priority="90">
      <formula>C169=1</formula>
    </cfRule>
  </conditionalFormatting>
  <conditionalFormatting sqref="C177:G184">
    <cfRule type="expression" dxfId="280" priority="89">
      <formula>C177=1</formula>
    </cfRule>
  </conditionalFormatting>
  <conditionalFormatting sqref="C186:G192">
    <cfRule type="expression" dxfId="279" priority="88">
      <formula>C186=1</formula>
    </cfRule>
  </conditionalFormatting>
  <conditionalFormatting sqref="C194:G200">
    <cfRule type="expression" dxfId="278" priority="87">
      <formula>C194=1</formula>
    </cfRule>
  </conditionalFormatting>
  <conditionalFormatting sqref="C202:G209">
    <cfRule type="expression" dxfId="277" priority="86">
      <formula>C202=1</formula>
    </cfRule>
  </conditionalFormatting>
  <conditionalFormatting sqref="C130:G137">
    <cfRule type="expression" dxfId="276" priority="85">
      <formula>C130=1</formula>
    </cfRule>
  </conditionalFormatting>
  <conditionalFormatting sqref="C2:G9">
    <cfRule type="expression" dxfId="275" priority="84">
      <formula>C2=1</formula>
    </cfRule>
  </conditionalFormatting>
  <conditionalFormatting sqref="C10:G16 C25:G25">
    <cfRule type="expression" dxfId="274" priority="83">
      <formula>C10=1</formula>
    </cfRule>
  </conditionalFormatting>
  <conditionalFormatting sqref="C17:G17">
    <cfRule type="expression" dxfId="273" priority="82">
      <formula>C17=1</formula>
    </cfRule>
  </conditionalFormatting>
  <conditionalFormatting sqref="C18:G24">
    <cfRule type="expression" dxfId="272" priority="81">
      <formula>C18=1</formula>
    </cfRule>
  </conditionalFormatting>
  <conditionalFormatting sqref="C26:G33">
    <cfRule type="expression" dxfId="271" priority="80">
      <formula>C26=1</formula>
    </cfRule>
  </conditionalFormatting>
  <conditionalFormatting sqref="C34:G41">
    <cfRule type="expression" dxfId="270" priority="79">
      <formula>C34=1</formula>
    </cfRule>
  </conditionalFormatting>
  <conditionalFormatting sqref="C42:G48 C57:G57">
    <cfRule type="expression" dxfId="269" priority="78">
      <formula>C42=1</formula>
    </cfRule>
  </conditionalFormatting>
  <conditionalFormatting sqref="C58:G58 C65:G65">
    <cfRule type="expression" dxfId="268" priority="77">
      <formula>C58=1</formula>
    </cfRule>
  </conditionalFormatting>
  <conditionalFormatting sqref="C122:G128">
    <cfRule type="expression" dxfId="267" priority="75">
      <formula>C122=1</formula>
    </cfRule>
  </conditionalFormatting>
  <conditionalFormatting sqref="C114:G121">
    <cfRule type="expression" dxfId="266" priority="74">
      <formula>C114=1</formula>
    </cfRule>
  </conditionalFormatting>
  <conditionalFormatting sqref="C113:G113">
    <cfRule type="expression" dxfId="265" priority="73">
      <formula>C113=1</formula>
    </cfRule>
  </conditionalFormatting>
  <conditionalFormatting sqref="C90:G96">
    <cfRule type="expression" dxfId="264" priority="72">
      <formula>C90=1</formula>
    </cfRule>
  </conditionalFormatting>
  <conditionalFormatting sqref="C89:G89">
    <cfRule type="expression" dxfId="263" priority="71">
      <formula>C89=1</formula>
    </cfRule>
  </conditionalFormatting>
  <conditionalFormatting sqref="C74:G81">
    <cfRule type="expression" dxfId="262" priority="70">
      <formula>C74=1</formula>
    </cfRule>
  </conditionalFormatting>
  <conditionalFormatting sqref="C66:G73">
    <cfRule type="expression" dxfId="261" priority="69">
      <formula>C66=1</formula>
    </cfRule>
  </conditionalFormatting>
  <conditionalFormatting sqref="C506:G513">
    <cfRule type="expression" dxfId="260" priority="68">
      <formula>C506=1</formula>
    </cfRule>
  </conditionalFormatting>
  <conditionalFormatting sqref="C498:G505">
    <cfRule type="expression" dxfId="259" priority="67">
      <formula>C498=1</formula>
    </cfRule>
  </conditionalFormatting>
  <conditionalFormatting sqref="C490:G497">
    <cfRule type="expression" dxfId="258" priority="66">
      <formula>C490=1</formula>
    </cfRule>
  </conditionalFormatting>
  <conditionalFormatting sqref="C482:G489">
    <cfRule type="expression" dxfId="257" priority="65">
      <formula>C482=1</formula>
    </cfRule>
  </conditionalFormatting>
  <conditionalFormatting sqref="C474:G481">
    <cfRule type="expression" dxfId="256" priority="64">
      <formula>C474=1</formula>
    </cfRule>
  </conditionalFormatting>
  <conditionalFormatting sqref="C466:G473">
    <cfRule type="expression" dxfId="255" priority="63">
      <formula>C466=1</formula>
    </cfRule>
  </conditionalFormatting>
  <conditionalFormatting sqref="C462:G465">
    <cfRule type="expression" dxfId="254" priority="62">
      <formula>C462=1</formula>
    </cfRule>
  </conditionalFormatting>
  <conditionalFormatting sqref="C450:G457">
    <cfRule type="expression" dxfId="253" priority="61">
      <formula>C450=1</formula>
    </cfRule>
  </conditionalFormatting>
  <conditionalFormatting sqref="C449:G449">
    <cfRule type="expression" dxfId="252" priority="60">
      <formula>C449=1</formula>
    </cfRule>
  </conditionalFormatting>
  <conditionalFormatting sqref="C441:G441">
    <cfRule type="expression" dxfId="251" priority="59">
      <formula>C441=1</formula>
    </cfRule>
  </conditionalFormatting>
  <conditionalFormatting sqref="C433:G433">
    <cfRule type="expression" dxfId="250" priority="58">
      <formula>C433=1</formula>
    </cfRule>
  </conditionalFormatting>
  <conditionalFormatting sqref="C424:G425">
    <cfRule type="expression" dxfId="249" priority="57">
      <formula>C424=1</formula>
    </cfRule>
  </conditionalFormatting>
  <conditionalFormatting sqref="C417:G417">
    <cfRule type="expression" dxfId="248" priority="56">
      <formula>C417=1</formula>
    </cfRule>
  </conditionalFormatting>
  <conditionalFormatting sqref="C409:G409">
    <cfRule type="expression" dxfId="247" priority="55">
      <formula>C409=1</formula>
    </cfRule>
  </conditionalFormatting>
  <conditionalFormatting sqref="C401:G401">
    <cfRule type="expression" dxfId="246" priority="54">
      <formula>C401=1</formula>
    </cfRule>
  </conditionalFormatting>
  <conditionalFormatting sqref="C393:G393">
    <cfRule type="expression" dxfId="245" priority="53">
      <formula>C393=1</formula>
    </cfRule>
  </conditionalFormatting>
  <conditionalFormatting sqref="C385:G385">
    <cfRule type="expression" dxfId="244" priority="52">
      <formula>C385=1</formula>
    </cfRule>
  </conditionalFormatting>
  <conditionalFormatting sqref="C377:G377">
    <cfRule type="expression" dxfId="243" priority="51">
      <formula>C377=1</formula>
    </cfRule>
  </conditionalFormatting>
  <conditionalFormatting sqref="C369:G369">
    <cfRule type="expression" dxfId="242" priority="50">
      <formula>C369=1</formula>
    </cfRule>
  </conditionalFormatting>
  <conditionalFormatting sqref="C361:G361">
    <cfRule type="expression" dxfId="241" priority="49">
      <formula>C361=1</formula>
    </cfRule>
  </conditionalFormatting>
  <conditionalFormatting sqref="C353:G353">
    <cfRule type="expression" dxfId="240" priority="48">
      <formula>C353=1</formula>
    </cfRule>
  </conditionalFormatting>
  <conditionalFormatting sqref="C345:G345">
    <cfRule type="expression" dxfId="239" priority="47">
      <formula>C345=1</formula>
    </cfRule>
  </conditionalFormatting>
  <conditionalFormatting sqref="C330:G337">
    <cfRule type="expression" dxfId="238" priority="46">
      <formula>C330=1</formula>
    </cfRule>
  </conditionalFormatting>
  <conditionalFormatting sqref="C329:G329">
    <cfRule type="expression" dxfId="237" priority="45">
      <formula>C329=1</formula>
    </cfRule>
  </conditionalFormatting>
  <conditionalFormatting sqref="C321:G321">
    <cfRule type="expression" dxfId="236" priority="44">
      <formula>C321=1</formula>
    </cfRule>
  </conditionalFormatting>
  <conditionalFormatting sqref="C313:G313">
    <cfRule type="expression" dxfId="235" priority="43">
      <formula>C313=1</formula>
    </cfRule>
  </conditionalFormatting>
  <conditionalFormatting sqref="C298:G305">
    <cfRule type="expression" dxfId="234" priority="42">
      <formula>C298=1</formula>
    </cfRule>
  </conditionalFormatting>
  <conditionalFormatting sqref="C297:G297">
    <cfRule type="expression" dxfId="233" priority="41">
      <formula>C297=1</formula>
    </cfRule>
  </conditionalFormatting>
  <conditionalFormatting sqref="C282:G289">
    <cfRule type="expression" dxfId="232" priority="40">
      <formula>C282=1</formula>
    </cfRule>
  </conditionalFormatting>
  <conditionalFormatting sqref="C281:G281">
    <cfRule type="expression" dxfId="231" priority="39">
      <formula>C281=1</formula>
    </cfRule>
  </conditionalFormatting>
  <conditionalFormatting sqref="C266:G273">
    <cfRule type="expression" dxfId="230" priority="38">
      <formula>C266=1</formula>
    </cfRule>
  </conditionalFormatting>
  <conditionalFormatting sqref="C258:G265">
    <cfRule type="expression" dxfId="229" priority="37">
      <formula>C258=1</formula>
    </cfRule>
  </conditionalFormatting>
  <conditionalFormatting sqref="C250:G257">
    <cfRule type="expression" dxfId="228" priority="36">
      <formula>C250=1</formula>
    </cfRule>
  </conditionalFormatting>
  <conditionalFormatting sqref="C226:G233">
    <cfRule type="expression" dxfId="227" priority="35">
      <formula>C226=1</formula>
    </cfRule>
  </conditionalFormatting>
  <conditionalFormatting sqref="C218:G225">
    <cfRule type="expression" dxfId="226" priority="34">
      <formula>C218=1</formula>
    </cfRule>
  </conditionalFormatting>
  <conditionalFormatting sqref="C210:G217">
    <cfRule type="expression" dxfId="225" priority="33">
      <formula>C210=1</formula>
    </cfRule>
  </conditionalFormatting>
  <conditionalFormatting sqref="C274:G280">
    <cfRule type="expression" dxfId="224" priority="32">
      <formula>C274=1</formula>
    </cfRule>
  </conditionalFormatting>
  <conditionalFormatting sqref="C290:G296">
    <cfRule type="expression" dxfId="223" priority="31">
      <formula>C290=1</formula>
    </cfRule>
  </conditionalFormatting>
  <conditionalFormatting sqref="C306:G312">
    <cfRule type="expression" dxfId="222" priority="30">
      <formula>C306=1</formula>
    </cfRule>
  </conditionalFormatting>
  <conditionalFormatting sqref="C314:G320">
    <cfRule type="expression" dxfId="221" priority="29">
      <formula>C314=1</formula>
    </cfRule>
  </conditionalFormatting>
  <conditionalFormatting sqref="C322:G328">
    <cfRule type="expression" dxfId="220" priority="28">
      <formula>C322=1</formula>
    </cfRule>
  </conditionalFormatting>
  <conditionalFormatting sqref="C338:G344">
    <cfRule type="expression" dxfId="219" priority="27">
      <formula>C338=1</formula>
    </cfRule>
  </conditionalFormatting>
  <conditionalFormatting sqref="C346:G352">
    <cfRule type="expression" dxfId="218" priority="26">
      <formula>C346=1</formula>
    </cfRule>
  </conditionalFormatting>
  <conditionalFormatting sqref="C354:G360">
    <cfRule type="expression" dxfId="217" priority="25">
      <formula>C354=1</formula>
    </cfRule>
  </conditionalFormatting>
  <conditionalFormatting sqref="C362:G368">
    <cfRule type="expression" dxfId="216" priority="24">
      <formula>C362=1</formula>
    </cfRule>
  </conditionalFormatting>
  <conditionalFormatting sqref="C370:G376">
    <cfRule type="expression" dxfId="215" priority="23">
      <formula>C370=1</formula>
    </cfRule>
  </conditionalFormatting>
  <conditionalFormatting sqref="C378:G384">
    <cfRule type="expression" dxfId="214" priority="22">
      <formula>C378=1</formula>
    </cfRule>
  </conditionalFormatting>
  <conditionalFormatting sqref="C386:G392">
    <cfRule type="expression" dxfId="213" priority="21">
      <formula>C386=1</formula>
    </cfRule>
  </conditionalFormatting>
  <conditionalFormatting sqref="C394:G400">
    <cfRule type="expression" dxfId="212" priority="20">
      <formula>C394=1</formula>
    </cfRule>
  </conditionalFormatting>
  <conditionalFormatting sqref="C402:G408">
    <cfRule type="expression" dxfId="211" priority="19">
      <formula>C402=1</formula>
    </cfRule>
  </conditionalFormatting>
  <conditionalFormatting sqref="C410:G416">
    <cfRule type="expression" dxfId="210" priority="18">
      <formula>C410=1</formula>
    </cfRule>
  </conditionalFormatting>
  <conditionalFormatting sqref="C418:G423">
    <cfRule type="expression" dxfId="209" priority="17">
      <formula>C418=1</formula>
    </cfRule>
  </conditionalFormatting>
  <conditionalFormatting sqref="C426:G432">
    <cfRule type="expression" dxfId="208" priority="16">
      <formula>C426=1</formula>
    </cfRule>
  </conditionalFormatting>
  <conditionalFormatting sqref="C434:G440">
    <cfRule type="expression" dxfId="207" priority="15">
      <formula>C434=1</formula>
    </cfRule>
  </conditionalFormatting>
  <conditionalFormatting sqref="C442:G448">
    <cfRule type="expression" dxfId="206" priority="14">
      <formula>C442=1</formula>
    </cfRule>
  </conditionalFormatting>
  <conditionalFormatting sqref="C458:G461">
    <cfRule type="expression" dxfId="205" priority="13">
      <formula>C458=1</formula>
    </cfRule>
  </conditionalFormatting>
  <conditionalFormatting sqref="C49:G49">
    <cfRule type="expression" dxfId="204" priority="12">
      <formula>C49=1</formula>
    </cfRule>
  </conditionalFormatting>
  <conditionalFormatting sqref="C50:G56">
    <cfRule type="expression" dxfId="203" priority="11">
      <formula>C50=1</formula>
    </cfRule>
  </conditionalFormatting>
  <conditionalFormatting sqref="C59:G64">
    <cfRule type="expression" dxfId="202" priority="10">
      <formula>C59=1</formula>
    </cfRule>
  </conditionalFormatting>
  <conditionalFormatting sqref="C97:G97">
    <cfRule type="expression" dxfId="201" priority="8">
      <formula>C97=1</formula>
    </cfRule>
  </conditionalFormatting>
  <conditionalFormatting sqref="C105:G105">
    <cfRule type="expression" dxfId="200" priority="9">
      <formula>C105=1</formula>
    </cfRule>
  </conditionalFormatting>
  <conditionalFormatting sqref="C242:G249">
    <cfRule type="expression" dxfId="199" priority="7">
      <formula>C242=1</formula>
    </cfRule>
  </conditionalFormatting>
  <conditionalFormatting sqref="C234:G241">
    <cfRule type="expression" dxfId="198" priority="6">
      <formula>C234=1</formula>
    </cfRule>
  </conditionalFormatting>
  <conditionalFormatting sqref="C98:G104">
    <cfRule type="expression" dxfId="197" priority="5">
      <formula>C98=1</formula>
    </cfRule>
  </conditionalFormatting>
  <conditionalFormatting sqref="C106:G106">
    <cfRule type="expression" dxfId="196" priority="4">
      <formula>C106=1</formula>
    </cfRule>
  </conditionalFormatting>
  <conditionalFormatting sqref="C106:G112">
    <cfRule type="expression" dxfId="195" priority="3">
      <formula>C106=1</formula>
    </cfRule>
  </conditionalFormatting>
  <conditionalFormatting sqref="C82:G82">
    <cfRule type="expression" dxfId="194" priority="2">
      <formula>C82=1</formula>
    </cfRule>
  </conditionalFormatting>
  <conditionalFormatting sqref="C82:G88">
    <cfRule type="expression" dxfId="193" priority="1">
      <formula>C82=1</formula>
    </cfRule>
  </conditionalFormatting>
  <pageMargins left="0.7" right="0.7" top="0.75" bottom="0.75" header="0.3" footer="0.3"/>
  <pageSetup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C5E6-5B57-4CF0-BFDE-6B65C3E36001}">
  <sheetPr codeName="Sheet12"/>
  <dimension ref="A1:Q152"/>
  <sheetViews>
    <sheetView zoomScale="115" zoomScaleNormal="115" workbookViewId="0">
      <pane ySplit="1" topLeftCell="A2" activePane="bottomLeft" state="frozen"/>
      <selection pane="bottomLeft" activeCell="Q135" sqref="Q135:Q141"/>
    </sheetView>
  </sheetViews>
  <sheetFormatPr defaultColWidth="9" defaultRowHeight="9.75" customHeight="1" x14ac:dyDescent="0.2"/>
  <cols>
    <col min="1" max="1" width="9" style="30"/>
    <col min="2" max="2" width="10.5" style="30" bestFit="1" customWidth="1"/>
    <col min="3" max="3" width="16.5" style="28" bestFit="1" customWidth="1"/>
    <col min="4" max="14" width="2.125" style="30" customWidth="1"/>
    <col min="15" max="16" width="9" style="30"/>
    <col min="17" max="17" width="41.75" style="30" customWidth="1"/>
    <col min="18" max="16384" width="9" style="30"/>
  </cols>
  <sheetData>
    <row r="1" spans="1:17" ht="60.75" x14ac:dyDescent="0.2">
      <c r="D1" s="31">
        <v>32768</v>
      </c>
      <c r="E1" s="31">
        <f>D1/2</f>
        <v>16384</v>
      </c>
      <c r="F1" s="31">
        <f t="shared" ref="F1:N1" si="0">E1/2</f>
        <v>8192</v>
      </c>
      <c r="G1" s="31">
        <f t="shared" si="0"/>
        <v>4096</v>
      </c>
      <c r="H1" s="31">
        <f t="shared" si="0"/>
        <v>2048</v>
      </c>
      <c r="I1" s="31">
        <f t="shared" si="0"/>
        <v>1024</v>
      </c>
      <c r="J1" s="31">
        <f t="shared" si="0"/>
        <v>512</v>
      </c>
      <c r="K1" s="31">
        <f t="shared" si="0"/>
        <v>256</v>
      </c>
      <c r="L1" s="31">
        <f t="shared" si="0"/>
        <v>128</v>
      </c>
      <c r="M1" s="31">
        <f t="shared" si="0"/>
        <v>64</v>
      </c>
      <c r="N1" s="31">
        <f t="shared" si="0"/>
        <v>32</v>
      </c>
    </row>
    <row r="2" spans="1:17" ht="9.75" customHeight="1" x14ac:dyDescent="0.2">
      <c r="A2" s="30">
        <v>1</v>
      </c>
      <c r="B2" s="32">
        <v>65</v>
      </c>
      <c r="C2" s="34" t="s">
        <v>121</v>
      </c>
      <c r="O2" s="30">
        <f>D2*D$1+E2*E$1+F2*F$1+G2*G$1+H2*H$1+I2*I$1+J2*J$1+K2*K$1+L2*L$1+M2*M$1+N2*N$1</f>
        <v>0</v>
      </c>
      <c r="P2" s="30" t="str">
        <f>DEC2HEX(O2,4)</f>
        <v>0000</v>
      </c>
      <c r="Q2" s="35" t="str">
        <f>CONCATENATE("0x",P2,",0x",P3,",0x",P4,",0x",P5,",0x",P6,",0x",P7,",0x",P8,",0x",P9,",0x",P10,",0x",P11,",0x",P12,",0x",P13,",0x",P14,",0x",P15,",0x",P16,",0x",P17,",0x",P18,",0x",P19,", //",C2)</f>
        <v>0x0000,0x3F00,0x7F80,0x6180,0x6180,0x6180,0x6180,0x6180,0x7F80,0x7F80,0x6180,0x6180,0x6180,0x6180,0x6180,0x0000,0x0000,0x0000, //A</v>
      </c>
    </row>
    <row r="3" spans="1:17" ht="9.75" customHeight="1" x14ac:dyDescent="0.2">
      <c r="A3" s="30">
        <v>2</v>
      </c>
      <c r="B3" s="35"/>
      <c r="C3" s="35"/>
      <c r="F3" s="30">
        <v>1</v>
      </c>
      <c r="G3" s="30">
        <v>1</v>
      </c>
      <c r="H3" s="30">
        <v>1</v>
      </c>
      <c r="I3" s="30">
        <v>1</v>
      </c>
      <c r="J3" s="30">
        <v>1</v>
      </c>
      <c r="K3" s="30">
        <v>1</v>
      </c>
      <c r="O3" s="30">
        <f t="shared" ref="O3:O16" si="1">D3*D$1+E3*E$1+F3*F$1+G3*G$1+H3*H$1+I3*I$1+J3*J$1+K3*K$1+L3*L$1+M3*M$1+N3*N$1</f>
        <v>16128</v>
      </c>
      <c r="P3" s="30" t="str">
        <f t="shared" ref="P3:P19" si="2">DEC2HEX(O3,4)</f>
        <v>3F00</v>
      </c>
      <c r="Q3" s="35"/>
    </row>
    <row r="4" spans="1:17" ht="9.75" customHeight="1" x14ac:dyDescent="0.2">
      <c r="A4" s="30">
        <v>3</v>
      </c>
      <c r="B4" s="35"/>
      <c r="C4" s="35"/>
      <c r="E4" s="30">
        <v>1</v>
      </c>
      <c r="F4" s="30">
        <v>1</v>
      </c>
      <c r="G4" s="30">
        <v>1</v>
      </c>
      <c r="H4" s="30">
        <v>1</v>
      </c>
      <c r="I4" s="30">
        <v>1</v>
      </c>
      <c r="J4" s="30">
        <v>1</v>
      </c>
      <c r="K4" s="30">
        <v>1</v>
      </c>
      <c r="L4" s="30">
        <v>1</v>
      </c>
      <c r="O4" s="30">
        <f t="shared" si="1"/>
        <v>32640</v>
      </c>
      <c r="P4" s="30" t="str">
        <f t="shared" si="2"/>
        <v>7F80</v>
      </c>
      <c r="Q4" s="35"/>
    </row>
    <row r="5" spans="1:17" ht="9.75" customHeight="1" x14ac:dyDescent="0.2">
      <c r="A5" s="30">
        <v>4</v>
      </c>
      <c r="B5" s="35"/>
      <c r="C5" s="35"/>
      <c r="E5" s="30">
        <v>1</v>
      </c>
      <c r="F5" s="30">
        <v>1</v>
      </c>
      <c r="K5" s="30">
        <v>1</v>
      </c>
      <c r="L5" s="30">
        <v>1</v>
      </c>
      <c r="O5" s="30">
        <f t="shared" si="1"/>
        <v>24960</v>
      </c>
      <c r="P5" s="30" t="str">
        <f t="shared" si="2"/>
        <v>6180</v>
      </c>
      <c r="Q5" s="35"/>
    </row>
    <row r="6" spans="1:17" ht="9.75" customHeight="1" x14ac:dyDescent="0.2">
      <c r="A6" s="30">
        <v>5</v>
      </c>
      <c r="B6" s="35"/>
      <c r="C6" s="35"/>
      <c r="E6" s="30">
        <v>1</v>
      </c>
      <c r="F6" s="30">
        <v>1</v>
      </c>
      <c r="K6" s="30">
        <v>1</v>
      </c>
      <c r="L6" s="30">
        <v>1</v>
      </c>
      <c r="O6" s="30">
        <f t="shared" si="1"/>
        <v>24960</v>
      </c>
      <c r="P6" s="30" t="str">
        <f t="shared" si="2"/>
        <v>6180</v>
      </c>
      <c r="Q6" s="35"/>
    </row>
    <row r="7" spans="1:17" ht="9.75" customHeight="1" x14ac:dyDescent="0.2">
      <c r="A7" s="30">
        <v>6</v>
      </c>
      <c r="B7" s="35"/>
      <c r="C7" s="35"/>
      <c r="E7" s="30">
        <v>1</v>
      </c>
      <c r="F7" s="30">
        <v>1</v>
      </c>
      <c r="K7" s="30">
        <v>1</v>
      </c>
      <c r="L7" s="30">
        <v>1</v>
      </c>
      <c r="O7" s="30">
        <f t="shared" si="1"/>
        <v>24960</v>
      </c>
      <c r="P7" s="30" t="str">
        <f t="shared" si="2"/>
        <v>6180</v>
      </c>
      <c r="Q7" s="35"/>
    </row>
    <row r="8" spans="1:17" ht="9.75" customHeight="1" x14ac:dyDescent="0.2">
      <c r="A8" s="30">
        <v>7</v>
      </c>
      <c r="B8" s="35"/>
      <c r="C8" s="35"/>
      <c r="E8" s="30">
        <v>1</v>
      </c>
      <c r="F8" s="30">
        <v>1</v>
      </c>
      <c r="K8" s="30">
        <v>1</v>
      </c>
      <c r="L8" s="30">
        <v>1</v>
      </c>
      <c r="O8" s="30">
        <f t="shared" si="1"/>
        <v>24960</v>
      </c>
      <c r="P8" s="30" t="str">
        <f t="shared" si="2"/>
        <v>6180</v>
      </c>
      <c r="Q8" s="35"/>
    </row>
    <row r="9" spans="1:17" ht="9.75" customHeight="1" x14ac:dyDescent="0.2">
      <c r="A9" s="30">
        <v>8</v>
      </c>
      <c r="B9" s="35"/>
      <c r="C9" s="35"/>
      <c r="E9" s="30">
        <v>1</v>
      </c>
      <c r="F9" s="30">
        <v>1</v>
      </c>
      <c r="K9" s="30">
        <v>1</v>
      </c>
      <c r="L9" s="30">
        <v>1</v>
      </c>
      <c r="O9" s="30">
        <f t="shared" si="1"/>
        <v>24960</v>
      </c>
      <c r="P9" s="30" t="str">
        <f t="shared" si="2"/>
        <v>6180</v>
      </c>
      <c r="Q9" s="35"/>
    </row>
    <row r="10" spans="1:17" ht="9.75" customHeight="1" x14ac:dyDescent="0.2">
      <c r="A10" s="30">
        <v>9</v>
      </c>
      <c r="B10" s="35"/>
      <c r="C10" s="35"/>
      <c r="E10" s="30">
        <v>1</v>
      </c>
      <c r="F10" s="30">
        <v>1</v>
      </c>
      <c r="G10" s="30">
        <v>1</v>
      </c>
      <c r="H10" s="30">
        <v>1</v>
      </c>
      <c r="I10" s="30">
        <v>1</v>
      </c>
      <c r="J10" s="30">
        <v>1</v>
      </c>
      <c r="K10" s="30">
        <v>1</v>
      </c>
      <c r="L10" s="30">
        <v>1</v>
      </c>
      <c r="O10" s="30">
        <f t="shared" si="1"/>
        <v>32640</v>
      </c>
      <c r="P10" s="30" t="str">
        <f t="shared" si="2"/>
        <v>7F80</v>
      </c>
      <c r="Q10" s="35"/>
    </row>
    <row r="11" spans="1:17" ht="9.75" customHeight="1" x14ac:dyDescent="0.2">
      <c r="A11" s="30">
        <v>10</v>
      </c>
      <c r="B11" s="35"/>
      <c r="C11" s="35"/>
      <c r="E11" s="30">
        <v>1</v>
      </c>
      <c r="F11" s="30">
        <v>1</v>
      </c>
      <c r="G11" s="30">
        <v>1</v>
      </c>
      <c r="H11" s="30">
        <v>1</v>
      </c>
      <c r="I11" s="30">
        <v>1</v>
      </c>
      <c r="J11" s="30">
        <v>1</v>
      </c>
      <c r="K11" s="30">
        <v>1</v>
      </c>
      <c r="L11" s="30">
        <v>1</v>
      </c>
      <c r="O11" s="30">
        <f t="shared" si="1"/>
        <v>32640</v>
      </c>
      <c r="P11" s="30" t="str">
        <f t="shared" si="2"/>
        <v>7F80</v>
      </c>
      <c r="Q11" s="35"/>
    </row>
    <row r="12" spans="1:17" ht="9.75" customHeight="1" x14ac:dyDescent="0.2">
      <c r="A12" s="30">
        <v>11</v>
      </c>
      <c r="B12" s="35"/>
      <c r="C12" s="35"/>
      <c r="E12" s="30">
        <v>1</v>
      </c>
      <c r="F12" s="30">
        <v>1</v>
      </c>
      <c r="K12" s="30">
        <v>1</v>
      </c>
      <c r="L12" s="30">
        <v>1</v>
      </c>
      <c r="O12" s="30">
        <f t="shared" si="1"/>
        <v>24960</v>
      </c>
      <c r="P12" s="30" t="str">
        <f t="shared" si="2"/>
        <v>6180</v>
      </c>
      <c r="Q12" s="35"/>
    </row>
    <row r="13" spans="1:17" ht="9.75" customHeight="1" x14ac:dyDescent="0.2">
      <c r="A13" s="30">
        <v>12</v>
      </c>
      <c r="B13" s="35"/>
      <c r="C13" s="35"/>
      <c r="E13" s="30">
        <v>1</v>
      </c>
      <c r="F13" s="30">
        <v>1</v>
      </c>
      <c r="K13" s="30">
        <v>1</v>
      </c>
      <c r="L13" s="30">
        <v>1</v>
      </c>
      <c r="O13" s="30">
        <f t="shared" si="1"/>
        <v>24960</v>
      </c>
      <c r="P13" s="30" t="str">
        <f t="shared" si="2"/>
        <v>6180</v>
      </c>
      <c r="Q13" s="35"/>
    </row>
    <row r="14" spans="1:17" ht="9.75" customHeight="1" x14ac:dyDescent="0.2">
      <c r="A14" s="30">
        <v>13</v>
      </c>
      <c r="B14" s="35"/>
      <c r="C14" s="35"/>
      <c r="E14" s="30">
        <v>1</v>
      </c>
      <c r="F14" s="30">
        <v>1</v>
      </c>
      <c r="K14" s="30">
        <v>1</v>
      </c>
      <c r="L14" s="30">
        <v>1</v>
      </c>
      <c r="O14" s="30">
        <f t="shared" si="1"/>
        <v>24960</v>
      </c>
      <c r="P14" s="30" t="str">
        <f t="shared" si="2"/>
        <v>6180</v>
      </c>
      <c r="Q14" s="35"/>
    </row>
    <row r="15" spans="1:17" ht="9.75" customHeight="1" x14ac:dyDescent="0.2">
      <c r="A15" s="30">
        <v>14</v>
      </c>
      <c r="B15" s="35"/>
      <c r="C15" s="35"/>
      <c r="E15" s="30">
        <v>1</v>
      </c>
      <c r="F15" s="30">
        <v>1</v>
      </c>
      <c r="K15" s="30">
        <v>1</v>
      </c>
      <c r="L15" s="30">
        <v>1</v>
      </c>
      <c r="O15" s="30">
        <f t="shared" si="1"/>
        <v>24960</v>
      </c>
      <c r="P15" s="30" t="str">
        <f t="shared" si="2"/>
        <v>6180</v>
      </c>
      <c r="Q15" s="35"/>
    </row>
    <row r="16" spans="1:17" ht="9.75" customHeight="1" x14ac:dyDescent="0.2">
      <c r="A16" s="30">
        <v>15</v>
      </c>
      <c r="B16" s="35"/>
      <c r="C16" s="35"/>
      <c r="E16" s="30">
        <v>1</v>
      </c>
      <c r="F16" s="30">
        <v>1</v>
      </c>
      <c r="K16" s="30">
        <v>1</v>
      </c>
      <c r="L16" s="30">
        <v>1</v>
      </c>
      <c r="O16" s="30">
        <f t="shared" si="1"/>
        <v>24960</v>
      </c>
      <c r="P16" s="30" t="str">
        <f t="shared" si="2"/>
        <v>6180</v>
      </c>
    </row>
    <row r="17" spans="1:17" ht="9.75" customHeight="1" x14ac:dyDescent="0.2">
      <c r="A17" s="30">
        <v>16</v>
      </c>
      <c r="B17" s="35"/>
      <c r="C17" s="35"/>
      <c r="O17" s="30">
        <f t="shared" ref="O17:O19" si="3">D17*D$1+E17*E$1+F17*F$1+G17*G$1+H17*H$1+I17*I$1+J17*J$1+K17*K$1+L17*L$1+M17*M$1+N17*N$1</f>
        <v>0</v>
      </c>
      <c r="P17" s="30" t="str">
        <f t="shared" si="2"/>
        <v>0000</v>
      </c>
    </row>
    <row r="18" spans="1:17" ht="9.75" customHeight="1" x14ac:dyDescent="0.2">
      <c r="A18" s="30">
        <v>17</v>
      </c>
      <c r="B18" s="35"/>
      <c r="C18" s="35"/>
      <c r="O18" s="30">
        <f t="shared" si="3"/>
        <v>0</v>
      </c>
      <c r="P18" s="30" t="str">
        <f t="shared" si="2"/>
        <v>0000</v>
      </c>
    </row>
    <row r="19" spans="1:17" ht="9.75" customHeight="1" x14ac:dyDescent="0.2">
      <c r="A19" s="30">
        <v>18</v>
      </c>
      <c r="B19" s="35"/>
      <c r="C19" s="35"/>
      <c r="O19" s="30">
        <f t="shared" si="3"/>
        <v>0</v>
      </c>
      <c r="P19" s="30" t="str">
        <f t="shared" si="2"/>
        <v>0000</v>
      </c>
    </row>
    <row r="21" spans="1:17" ht="9.75" customHeight="1" x14ac:dyDescent="0.2">
      <c r="A21" s="30">
        <v>1</v>
      </c>
      <c r="B21" s="32">
        <v>67</v>
      </c>
      <c r="C21" s="34" t="s">
        <v>2</v>
      </c>
      <c r="O21" s="30">
        <f>D21*D$1+E21*E$1+F21*F$1+G21*G$1+H21*H$1+I21*I$1+J21*J$1+K21*K$1+L21*L$1+M21*M$1+N21*N$1</f>
        <v>0</v>
      </c>
      <c r="P21" s="30" t="str">
        <f>DEC2HEX(O21,4)</f>
        <v>0000</v>
      </c>
      <c r="Q21" s="35" t="str">
        <f>CONCATENATE("0x",P21,",0x",P22,",0x",P23,",0x",P24,",0x",P25,",0x",P26,",0x",P27,",0x",P28,",0x",P29,",0x",P30,",0x",P31,",0x",P32,",0x",P33,",0x",P34,",0x",P35,",0x",P36,",0x",P37,",0x",P38,", //",C21)</f>
        <v>0x0000,0x3F00,0x7F80,0x6180,0x6180,0x6000,0x6000,0x6000,0x6000,0x6000,0x6000,0x6180,0x6180,0x7F80,0x3F00,0x0000,0x0000,0x0000, //C</v>
      </c>
    </row>
    <row r="22" spans="1:17" ht="9.75" customHeight="1" x14ac:dyDescent="0.2">
      <c r="A22" s="30">
        <v>2</v>
      </c>
      <c r="B22" s="35"/>
      <c r="C22" s="35"/>
      <c r="F22" s="30">
        <v>1</v>
      </c>
      <c r="G22" s="30">
        <v>1</v>
      </c>
      <c r="H22" s="30">
        <v>1</v>
      </c>
      <c r="I22" s="30">
        <v>1</v>
      </c>
      <c r="J22" s="30">
        <v>1</v>
      </c>
      <c r="K22" s="30">
        <v>1</v>
      </c>
      <c r="O22" s="30">
        <f t="shared" ref="O22:O38" si="4">D22*D$1+E22*E$1+F22*F$1+G22*G$1+H22*H$1+I22*I$1+J22*J$1+K22*K$1+L22*L$1+M22*M$1+N22*N$1</f>
        <v>16128</v>
      </c>
      <c r="P22" s="30" t="str">
        <f t="shared" ref="P22:P38" si="5">DEC2HEX(O22,4)</f>
        <v>3F00</v>
      </c>
      <c r="Q22" s="35"/>
    </row>
    <row r="23" spans="1:17" ht="9.75" customHeight="1" x14ac:dyDescent="0.2">
      <c r="A23" s="30">
        <v>3</v>
      </c>
      <c r="B23" s="35"/>
      <c r="C23" s="35"/>
      <c r="E23" s="30">
        <v>1</v>
      </c>
      <c r="F23" s="30">
        <v>1</v>
      </c>
      <c r="G23" s="30">
        <v>1</v>
      </c>
      <c r="H23" s="30">
        <v>1</v>
      </c>
      <c r="I23" s="30">
        <v>1</v>
      </c>
      <c r="J23" s="30">
        <v>1</v>
      </c>
      <c r="K23" s="30">
        <v>1</v>
      </c>
      <c r="L23" s="30">
        <v>1</v>
      </c>
      <c r="O23" s="30">
        <f t="shared" si="4"/>
        <v>32640</v>
      </c>
      <c r="P23" s="30" t="str">
        <f t="shared" si="5"/>
        <v>7F80</v>
      </c>
      <c r="Q23" s="35"/>
    </row>
    <row r="24" spans="1:17" ht="9.75" customHeight="1" x14ac:dyDescent="0.2">
      <c r="A24" s="30">
        <v>4</v>
      </c>
      <c r="B24" s="35"/>
      <c r="C24" s="35"/>
      <c r="E24" s="30">
        <v>1</v>
      </c>
      <c r="F24" s="30">
        <v>1</v>
      </c>
      <c r="K24" s="30">
        <v>1</v>
      </c>
      <c r="L24" s="30">
        <v>1</v>
      </c>
      <c r="O24" s="30">
        <f t="shared" si="4"/>
        <v>24960</v>
      </c>
      <c r="P24" s="30" t="str">
        <f t="shared" si="5"/>
        <v>6180</v>
      </c>
      <c r="Q24" s="35"/>
    </row>
    <row r="25" spans="1:17" ht="9.75" customHeight="1" x14ac:dyDescent="0.2">
      <c r="A25" s="30">
        <v>5</v>
      </c>
      <c r="B25" s="35"/>
      <c r="C25" s="35"/>
      <c r="E25" s="30">
        <v>1</v>
      </c>
      <c r="F25" s="30">
        <v>1</v>
      </c>
      <c r="K25" s="30">
        <v>1</v>
      </c>
      <c r="L25" s="30">
        <v>1</v>
      </c>
      <c r="O25" s="30">
        <f t="shared" si="4"/>
        <v>24960</v>
      </c>
      <c r="P25" s="30" t="str">
        <f t="shared" si="5"/>
        <v>6180</v>
      </c>
      <c r="Q25" s="35"/>
    </row>
    <row r="26" spans="1:17" ht="9.75" customHeight="1" x14ac:dyDescent="0.2">
      <c r="A26" s="30">
        <v>6</v>
      </c>
      <c r="B26" s="35"/>
      <c r="C26" s="35"/>
      <c r="E26" s="30">
        <v>1</v>
      </c>
      <c r="F26" s="30">
        <v>1</v>
      </c>
      <c r="O26" s="30">
        <f t="shared" si="4"/>
        <v>24576</v>
      </c>
      <c r="P26" s="30" t="str">
        <f t="shared" si="5"/>
        <v>6000</v>
      </c>
      <c r="Q26" s="35"/>
    </row>
    <row r="27" spans="1:17" ht="9.75" customHeight="1" x14ac:dyDescent="0.2">
      <c r="A27" s="30">
        <v>7</v>
      </c>
      <c r="B27" s="35"/>
      <c r="C27" s="35"/>
      <c r="E27" s="30">
        <v>1</v>
      </c>
      <c r="F27" s="30">
        <v>1</v>
      </c>
      <c r="O27" s="30">
        <f t="shared" si="4"/>
        <v>24576</v>
      </c>
      <c r="P27" s="30" t="str">
        <f t="shared" si="5"/>
        <v>6000</v>
      </c>
      <c r="Q27" s="35"/>
    </row>
    <row r="28" spans="1:17" ht="9.75" customHeight="1" x14ac:dyDescent="0.2">
      <c r="A28" s="30">
        <v>8</v>
      </c>
      <c r="B28" s="35"/>
      <c r="C28" s="35"/>
      <c r="E28" s="30">
        <v>1</v>
      </c>
      <c r="F28" s="30">
        <v>1</v>
      </c>
      <c r="O28" s="30">
        <f t="shared" si="4"/>
        <v>24576</v>
      </c>
      <c r="P28" s="30" t="str">
        <f t="shared" si="5"/>
        <v>6000</v>
      </c>
      <c r="Q28" s="35"/>
    </row>
    <row r="29" spans="1:17" ht="9.75" customHeight="1" x14ac:dyDescent="0.2">
      <c r="A29" s="30">
        <v>9</v>
      </c>
      <c r="B29" s="35"/>
      <c r="C29" s="35"/>
      <c r="E29" s="30">
        <v>1</v>
      </c>
      <c r="F29" s="30">
        <v>1</v>
      </c>
      <c r="O29" s="30">
        <f t="shared" si="4"/>
        <v>24576</v>
      </c>
      <c r="P29" s="30" t="str">
        <f t="shared" si="5"/>
        <v>6000</v>
      </c>
      <c r="Q29" s="35"/>
    </row>
    <row r="30" spans="1:17" ht="9.75" customHeight="1" x14ac:dyDescent="0.2">
      <c r="A30" s="30">
        <v>10</v>
      </c>
      <c r="B30" s="35"/>
      <c r="C30" s="35"/>
      <c r="E30" s="30">
        <v>1</v>
      </c>
      <c r="F30" s="30">
        <v>1</v>
      </c>
      <c r="O30" s="30">
        <f t="shared" si="4"/>
        <v>24576</v>
      </c>
      <c r="P30" s="30" t="str">
        <f t="shared" si="5"/>
        <v>6000</v>
      </c>
      <c r="Q30" s="35"/>
    </row>
    <row r="31" spans="1:17" ht="9.75" customHeight="1" x14ac:dyDescent="0.2">
      <c r="A31" s="30">
        <v>11</v>
      </c>
      <c r="B31" s="35"/>
      <c r="C31" s="35"/>
      <c r="E31" s="30">
        <v>1</v>
      </c>
      <c r="F31" s="30">
        <v>1</v>
      </c>
      <c r="O31" s="30">
        <f t="shared" si="4"/>
        <v>24576</v>
      </c>
      <c r="P31" s="30" t="str">
        <f t="shared" si="5"/>
        <v>6000</v>
      </c>
      <c r="Q31" s="35"/>
    </row>
    <row r="32" spans="1:17" ht="9.75" customHeight="1" x14ac:dyDescent="0.2">
      <c r="A32" s="30">
        <v>12</v>
      </c>
      <c r="B32" s="35"/>
      <c r="C32" s="35"/>
      <c r="E32" s="30">
        <v>1</v>
      </c>
      <c r="F32" s="30">
        <v>1</v>
      </c>
      <c r="K32" s="30">
        <v>1</v>
      </c>
      <c r="L32" s="30">
        <v>1</v>
      </c>
      <c r="O32" s="30">
        <f t="shared" si="4"/>
        <v>24960</v>
      </c>
      <c r="P32" s="30" t="str">
        <f t="shared" si="5"/>
        <v>6180</v>
      </c>
      <c r="Q32" s="35"/>
    </row>
    <row r="33" spans="1:17" ht="9.75" customHeight="1" x14ac:dyDescent="0.2">
      <c r="A33" s="30">
        <v>13</v>
      </c>
      <c r="B33" s="35"/>
      <c r="C33" s="35"/>
      <c r="E33" s="30">
        <v>1</v>
      </c>
      <c r="F33" s="30">
        <v>1</v>
      </c>
      <c r="K33" s="30">
        <v>1</v>
      </c>
      <c r="L33" s="30">
        <v>1</v>
      </c>
      <c r="O33" s="30">
        <f t="shared" si="4"/>
        <v>24960</v>
      </c>
      <c r="P33" s="30" t="str">
        <f t="shared" si="5"/>
        <v>6180</v>
      </c>
      <c r="Q33" s="35"/>
    </row>
    <row r="34" spans="1:17" ht="9.75" customHeight="1" x14ac:dyDescent="0.2">
      <c r="A34" s="30">
        <v>14</v>
      </c>
      <c r="B34" s="35"/>
      <c r="C34" s="35"/>
      <c r="E34" s="30">
        <v>1</v>
      </c>
      <c r="F34" s="30">
        <v>1</v>
      </c>
      <c r="G34" s="30">
        <v>1</v>
      </c>
      <c r="H34" s="30">
        <v>1</v>
      </c>
      <c r="I34" s="30">
        <v>1</v>
      </c>
      <c r="J34" s="30">
        <v>1</v>
      </c>
      <c r="K34" s="30">
        <v>1</v>
      </c>
      <c r="L34" s="30">
        <v>1</v>
      </c>
      <c r="O34" s="30">
        <f t="shared" si="4"/>
        <v>32640</v>
      </c>
      <c r="P34" s="30" t="str">
        <f t="shared" si="5"/>
        <v>7F80</v>
      </c>
      <c r="Q34" s="35"/>
    </row>
    <row r="35" spans="1:17" ht="9.75" customHeight="1" x14ac:dyDescent="0.2">
      <c r="A35" s="30">
        <v>15</v>
      </c>
      <c r="B35" s="35"/>
      <c r="C35" s="35"/>
      <c r="F35" s="30">
        <v>1</v>
      </c>
      <c r="G35" s="30">
        <v>1</v>
      </c>
      <c r="H35" s="30">
        <v>1</v>
      </c>
      <c r="I35" s="30">
        <v>1</v>
      </c>
      <c r="J35" s="30">
        <v>1</v>
      </c>
      <c r="K35" s="30">
        <v>1</v>
      </c>
      <c r="O35" s="30">
        <f t="shared" si="4"/>
        <v>16128</v>
      </c>
      <c r="P35" s="30" t="str">
        <f t="shared" si="5"/>
        <v>3F00</v>
      </c>
    </row>
    <row r="36" spans="1:17" ht="9.75" customHeight="1" x14ac:dyDescent="0.2">
      <c r="A36" s="30">
        <v>16</v>
      </c>
      <c r="B36" s="35"/>
      <c r="C36" s="35"/>
      <c r="O36" s="30">
        <f t="shared" si="4"/>
        <v>0</v>
      </c>
      <c r="P36" s="30" t="str">
        <f t="shared" si="5"/>
        <v>0000</v>
      </c>
    </row>
    <row r="37" spans="1:17" ht="9.75" customHeight="1" x14ac:dyDescent="0.2">
      <c r="A37" s="30">
        <v>17</v>
      </c>
      <c r="B37" s="35"/>
      <c r="C37" s="35"/>
      <c r="O37" s="30">
        <f t="shared" si="4"/>
        <v>0</v>
      </c>
      <c r="P37" s="30" t="str">
        <f t="shared" si="5"/>
        <v>0000</v>
      </c>
    </row>
    <row r="38" spans="1:17" ht="9.75" customHeight="1" x14ac:dyDescent="0.2">
      <c r="A38" s="30">
        <v>18</v>
      </c>
      <c r="B38" s="35"/>
      <c r="C38" s="35"/>
      <c r="O38" s="30">
        <f t="shared" si="4"/>
        <v>0</v>
      </c>
      <c r="P38" s="30" t="str">
        <f t="shared" si="5"/>
        <v>0000</v>
      </c>
    </row>
    <row r="40" spans="1:17" ht="9.75" customHeight="1" x14ac:dyDescent="0.2">
      <c r="A40" s="30">
        <v>1</v>
      </c>
      <c r="B40" s="32"/>
      <c r="C40" s="34" t="s">
        <v>130</v>
      </c>
      <c r="O40" s="30">
        <f>D40*D$1+E40*E$1+F40*F$1+G40*G$1+H40*H$1+I40*I$1+J40*J$1+K40*K$1+L40*L$1+M40*M$1+N40*N$1</f>
        <v>0</v>
      </c>
      <c r="P40" s="30" t="str">
        <f>DEC2HEX(O40,4)</f>
        <v>0000</v>
      </c>
      <c r="Q40" s="35" t="str">
        <f>CONCATENATE("0x",P40,",0x",P41,",0x",P42,",0x",P43,",0x",P44,",0x",P45,",0x",P46,",0x",P47,",0x",P48,",0x",P49,",0x",P50,",0x",P51,",0x",P52,",0x",P53,",0x",P54,",0x",P55,",0x",P56,",0x",P57,", //",C40)</f>
        <v>0x0000,0x6180,0x6180,0x7380,0x7380,0x7F80,0x7F80,0x6D80,0x6D80,0x6180,0x6180,0x6180,0x6180,0x6180,0x6180,0x0000,0x0000,0x0000, //M</v>
      </c>
    </row>
    <row r="41" spans="1:17" ht="9.75" customHeight="1" x14ac:dyDescent="0.2">
      <c r="A41" s="30">
        <v>2</v>
      </c>
      <c r="B41" s="35"/>
      <c r="C41" s="35"/>
      <c r="E41" s="30">
        <v>1</v>
      </c>
      <c r="F41" s="30">
        <v>1</v>
      </c>
      <c r="K41" s="30">
        <v>1</v>
      </c>
      <c r="L41" s="30">
        <v>1</v>
      </c>
      <c r="O41" s="30">
        <f t="shared" ref="O41:O57" si="6">D41*D$1+E41*E$1+F41*F$1+G41*G$1+H41*H$1+I41*I$1+J41*J$1+K41*K$1+L41*L$1+M41*M$1+N41*N$1</f>
        <v>24960</v>
      </c>
      <c r="P41" s="30" t="str">
        <f t="shared" ref="P41:P57" si="7">DEC2HEX(O41,4)</f>
        <v>6180</v>
      </c>
      <c r="Q41" s="35"/>
    </row>
    <row r="42" spans="1:17" ht="9.75" customHeight="1" x14ac:dyDescent="0.2">
      <c r="A42" s="30">
        <v>3</v>
      </c>
      <c r="B42" s="35"/>
      <c r="C42" s="35"/>
      <c r="E42" s="30">
        <v>1</v>
      </c>
      <c r="F42" s="30">
        <v>1</v>
      </c>
      <c r="K42" s="30">
        <v>1</v>
      </c>
      <c r="L42" s="30">
        <v>1</v>
      </c>
      <c r="O42" s="30">
        <f t="shared" si="6"/>
        <v>24960</v>
      </c>
      <c r="P42" s="30" t="str">
        <f t="shared" si="7"/>
        <v>6180</v>
      </c>
      <c r="Q42" s="35"/>
    </row>
    <row r="43" spans="1:17" ht="9.75" customHeight="1" x14ac:dyDescent="0.2">
      <c r="A43" s="30">
        <v>4</v>
      </c>
      <c r="B43" s="35"/>
      <c r="C43" s="35"/>
      <c r="E43" s="30">
        <v>1</v>
      </c>
      <c r="F43" s="30">
        <v>1</v>
      </c>
      <c r="G43" s="30">
        <v>1</v>
      </c>
      <c r="J43" s="30">
        <v>1</v>
      </c>
      <c r="K43" s="30">
        <v>1</v>
      </c>
      <c r="L43" s="30">
        <v>1</v>
      </c>
      <c r="O43" s="30">
        <f t="shared" si="6"/>
        <v>29568</v>
      </c>
      <c r="P43" s="30" t="str">
        <f t="shared" si="7"/>
        <v>7380</v>
      </c>
      <c r="Q43" s="35"/>
    </row>
    <row r="44" spans="1:17" ht="9.75" customHeight="1" x14ac:dyDescent="0.2">
      <c r="A44" s="30">
        <v>5</v>
      </c>
      <c r="B44" s="35"/>
      <c r="C44" s="35"/>
      <c r="E44" s="30">
        <v>1</v>
      </c>
      <c r="F44" s="30">
        <v>1</v>
      </c>
      <c r="G44" s="30">
        <v>1</v>
      </c>
      <c r="J44" s="30">
        <v>1</v>
      </c>
      <c r="K44" s="30">
        <v>1</v>
      </c>
      <c r="L44" s="30">
        <v>1</v>
      </c>
      <c r="O44" s="30">
        <f t="shared" si="6"/>
        <v>29568</v>
      </c>
      <c r="P44" s="30" t="str">
        <f t="shared" si="7"/>
        <v>7380</v>
      </c>
      <c r="Q44" s="35"/>
    </row>
    <row r="45" spans="1:17" ht="9.75" customHeight="1" x14ac:dyDescent="0.2">
      <c r="A45" s="30">
        <v>6</v>
      </c>
      <c r="B45" s="35"/>
      <c r="C45" s="35"/>
      <c r="E45" s="30">
        <v>1</v>
      </c>
      <c r="F45" s="30">
        <v>1</v>
      </c>
      <c r="G45" s="30">
        <v>1</v>
      </c>
      <c r="H45" s="30">
        <v>1</v>
      </c>
      <c r="I45" s="30">
        <v>1</v>
      </c>
      <c r="J45" s="30">
        <v>1</v>
      </c>
      <c r="K45" s="30">
        <v>1</v>
      </c>
      <c r="L45" s="30">
        <v>1</v>
      </c>
      <c r="O45" s="30">
        <f t="shared" si="6"/>
        <v>32640</v>
      </c>
      <c r="P45" s="30" t="str">
        <f t="shared" si="7"/>
        <v>7F80</v>
      </c>
      <c r="Q45" s="35"/>
    </row>
    <row r="46" spans="1:17" ht="9.75" customHeight="1" x14ac:dyDescent="0.2">
      <c r="A46" s="30">
        <v>7</v>
      </c>
      <c r="B46" s="35"/>
      <c r="C46" s="35"/>
      <c r="E46" s="30">
        <v>1</v>
      </c>
      <c r="F46" s="30">
        <v>1</v>
      </c>
      <c r="G46" s="30">
        <v>1</v>
      </c>
      <c r="H46" s="30">
        <v>1</v>
      </c>
      <c r="I46" s="30">
        <v>1</v>
      </c>
      <c r="J46" s="30">
        <v>1</v>
      </c>
      <c r="K46" s="30">
        <v>1</v>
      </c>
      <c r="L46" s="30">
        <v>1</v>
      </c>
      <c r="O46" s="30">
        <f t="shared" si="6"/>
        <v>32640</v>
      </c>
      <c r="P46" s="30" t="str">
        <f t="shared" si="7"/>
        <v>7F80</v>
      </c>
      <c r="Q46" s="35"/>
    </row>
    <row r="47" spans="1:17" ht="9.75" customHeight="1" x14ac:dyDescent="0.2">
      <c r="A47" s="30">
        <v>8</v>
      </c>
      <c r="B47" s="35"/>
      <c r="C47" s="35"/>
      <c r="E47" s="30">
        <v>1</v>
      </c>
      <c r="F47" s="30">
        <v>1</v>
      </c>
      <c r="H47" s="30">
        <v>1</v>
      </c>
      <c r="I47" s="30">
        <v>1</v>
      </c>
      <c r="K47" s="30">
        <v>1</v>
      </c>
      <c r="L47" s="30">
        <v>1</v>
      </c>
      <c r="O47" s="30">
        <f t="shared" si="6"/>
        <v>28032</v>
      </c>
      <c r="P47" s="30" t="str">
        <f t="shared" si="7"/>
        <v>6D80</v>
      </c>
      <c r="Q47" s="35"/>
    </row>
    <row r="48" spans="1:17" ht="9.75" customHeight="1" x14ac:dyDescent="0.2">
      <c r="A48" s="30">
        <v>9</v>
      </c>
      <c r="B48" s="35"/>
      <c r="C48" s="35"/>
      <c r="E48" s="30">
        <v>1</v>
      </c>
      <c r="F48" s="30">
        <v>1</v>
      </c>
      <c r="H48" s="30">
        <v>1</v>
      </c>
      <c r="I48" s="30">
        <v>1</v>
      </c>
      <c r="K48" s="30">
        <v>1</v>
      </c>
      <c r="L48" s="30">
        <v>1</v>
      </c>
      <c r="O48" s="30">
        <f t="shared" si="6"/>
        <v>28032</v>
      </c>
      <c r="P48" s="30" t="str">
        <f t="shared" si="7"/>
        <v>6D80</v>
      </c>
      <c r="Q48" s="35"/>
    </row>
    <row r="49" spans="1:17" ht="9.75" customHeight="1" x14ac:dyDescent="0.2">
      <c r="A49" s="30">
        <v>10</v>
      </c>
      <c r="B49" s="35"/>
      <c r="C49" s="35"/>
      <c r="E49" s="30">
        <v>1</v>
      </c>
      <c r="F49" s="30">
        <v>1</v>
      </c>
      <c r="K49" s="30">
        <v>1</v>
      </c>
      <c r="L49" s="30">
        <v>1</v>
      </c>
      <c r="O49" s="30">
        <f t="shared" si="6"/>
        <v>24960</v>
      </c>
      <c r="P49" s="30" t="str">
        <f t="shared" si="7"/>
        <v>6180</v>
      </c>
      <c r="Q49" s="35"/>
    </row>
    <row r="50" spans="1:17" ht="9.75" customHeight="1" x14ac:dyDescent="0.2">
      <c r="A50" s="30">
        <v>11</v>
      </c>
      <c r="B50" s="35"/>
      <c r="C50" s="35"/>
      <c r="E50" s="30">
        <v>1</v>
      </c>
      <c r="F50" s="30">
        <v>1</v>
      </c>
      <c r="K50" s="30">
        <v>1</v>
      </c>
      <c r="L50" s="30">
        <v>1</v>
      </c>
      <c r="O50" s="30">
        <f t="shared" si="6"/>
        <v>24960</v>
      </c>
      <c r="P50" s="30" t="str">
        <f t="shared" si="7"/>
        <v>6180</v>
      </c>
      <c r="Q50" s="35"/>
    </row>
    <row r="51" spans="1:17" ht="9.75" customHeight="1" x14ac:dyDescent="0.2">
      <c r="A51" s="30">
        <v>12</v>
      </c>
      <c r="B51" s="35"/>
      <c r="C51" s="35"/>
      <c r="E51" s="30">
        <v>1</v>
      </c>
      <c r="F51" s="30">
        <v>1</v>
      </c>
      <c r="K51" s="30">
        <v>1</v>
      </c>
      <c r="L51" s="30">
        <v>1</v>
      </c>
      <c r="O51" s="30">
        <f t="shared" si="6"/>
        <v>24960</v>
      </c>
      <c r="P51" s="30" t="str">
        <f t="shared" si="7"/>
        <v>6180</v>
      </c>
      <c r="Q51" s="35"/>
    </row>
    <row r="52" spans="1:17" ht="9.75" customHeight="1" x14ac:dyDescent="0.2">
      <c r="A52" s="30">
        <v>13</v>
      </c>
      <c r="B52" s="35"/>
      <c r="C52" s="35"/>
      <c r="E52" s="30">
        <v>1</v>
      </c>
      <c r="F52" s="30">
        <v>1</v>
      </c>
      <c r="K52" s="30">
        <v>1</v>
      </c>
      <c r="L52" s="30">
        <v>1</v>
      </c>
      <c r="O52" s="30">
        <f t="shared" si="6"/>
        <v>24960</v>
      </c>
      <c r="P52" s="30" t="str">
        <f t="shared" si="7"/>
        <v>6180</v>
      </c>
      <c r="Q52" s="35"/>
    </row>
    <row r="53" spans="1:17" ht="9.75" customHeight="1" x14ac:dyDescent="0.2">
      <c r="A53" s="30">
        <v>14</v>
      </c>
      <c r="B53" s="35"/>
      <c r="C53" s="35"/>
      <c r="E53" s="30">
        <v>1</v>
      </c>
      <c r="F53" s="30">
        <v>1</v>
      </c>
      <c r="K53" s="30">
        <v>1</v>
      </c>
      <c r="L53" s="30">
        <v>1</v>
      </c>
      <c r="O53" s="30">
        <f t="shared" si="6"/>
        <v>24960</v>
      </c>
      <c r="P53" s="30" t="str">
        <f t="shared" si="7"/>
        <v>6180</v>
      </c>
      <c r="Q53" s="35"/>
    </row>
    <row r="54" spans="1:17" ht="9.75" customHeight="1" x14ac:dyDescent="0.2">
      <c r="A54" s="30">
        <v>15</v>
      </c>
      <c r="B54" s="35"/>
      <c r="C54" s="35"/>
      <c r="E54" s="30">
        <v>1</v>
      </c>
      <c r="F54" s="30">
        <v>1</v>
      </c>
      <c r="K54" s="30">
        <v>1</v>
      </c>
      <c r="L54" s="30">
        <v>1</v>
      </c>
      <c r="O54" s="30">
        <f t="shared" si="6"/>
        <v>24960</v>
      </c>
      <c r="P54" s="30" t="str">
        <f t="shared" si="7"/>
        <v>6180</v>
      </c>
    </row>
    <row r="55" spans="1:17" ht="9.75" customHeight="1" x14ac:dyDescent="0.2">
      <c r="A55" s="30">
        <v>16</v>
      </c>
      <c r="B55" s="35"/>
      <c r="C55" s="35"/>
      <c r="O55" s="30">
        <f t="shared" si="6"/>
        <v>0</v>
      </c>
      <c r="P55" s="30" t="str">
        <f t="shared" si="7"/>
        <v>0000</v>
      </c>
    </row>
    <row r="56" spans="1:17" ht="9.75" customHeight="1" x14ac:dyDescent="0.2">
      <c r="A56" s="30">
        <v>17</v>
      </c>
      <c r="B56" s="35"/>
      <c r="C56" s="35"/>
      <c r="O56" s="30">
        <f t="shared" si="6"/>
        <v>0</v>
      </c>
      <c r="P56" s="30" t="str">
        <f t="shared" si="7"/>
        <v>0000</v>
      </c>
    </row>
    <row r="57" spans="1:17" ht="9.75" customHeight="1" x14ac:dyDescent="0.2">
      <c r="A57" s="30">
        <v>18</v>
      </c>
      <c r="B57" s="35"/>
      <c r="C57" s="35"/>
      <c r="O57" s="30">
        <f t="shared" si="6"/>
        <v>0</v>
      </c>
      <c r="P57" s="30" t="str">
        <f t="shared" si="7"/>
        <v>0000</v>
      </c>
    </row>
    <row r="59" spans="1:17" ht="9.75" customHeight="1" x14ac:dyDescent="0.2">
      <c r="A59" s="30">
        <v>1</v>
      </c>
      <c r="B59" s="32"/>
      <c r="C59" s="34" t="s">
        <v>132</v>
      </c>
      <c r="O59" s="30">
        <f>D59*D$1+E59*E$1+F59*F$1+G59*G$1+H59*H$1+I59*I$1+J59*J$1+K59*K$1+L59*L$1+M59*M$1+N59*N$1</f>
        <v>0</v>
      </c>
      <c r="P59" s="30" t="str">
        <f>DEC2HEX(O59,4)</f>
        <v>0000</v>
      </c>
      <c r="Q59" s="35" t="str">
        <f>CONCATENATE("0x",P59,",0x",P60,",0x",P61,",0x",P62,",0x",P63,",0x",P64,",0x",P65,",0x",P66,",0x",P67,",0x",P68,",0x",P69,",0x",P70,",0x",P71,",0x",P72,",0x",P73,",0x",P74,",0x",P75,",0x",P76,", //",C59)</f>
        <v>0x0000,0x3F00,0x7F80,0x6180,0x6180,0x6180,0x6180,0x6180,0x6180,0x6180,0x6180,0x6180,0x6180,0x7F80,0x3F00,0x0000,0x0000,0x0000, //O</v>
      </c>
    </row>
    <row r="60" spans="1:17" ht="9.75" customHeight="1" x14ac:dyDescent="0.2">
      <c r="A60" s="30">
        <v>2</v>
      </c>
      <c r="B60" s="35"/>
      <c r="C60" s="35"/>
      <c r="F60" s="30">
        <v>1</v>
      </c>
      <c r="G60" s="30">
        <v>1</v>
      </c>
      <c r="H60" s="30">
        <v>1</v>
      </c>
      <c r="I60" s="30">
        <v>1</v>
      </c>
      <c r="J60" s="30">
        <v>1</v>
      </c>
      <c r="K60" s="30">
        <v>1</v>
      </c>
      <c r="O60" s="30">
        <f t="shared" ref="O60:O76" si="8">D60*D$1+E60*E$1+F60*F$1+G60*G$1+H60*H$1+I60*I$1+J60*J$1+K60*K$1+L60*L$1+M60*M$1+N60*N$1</f>
        <v>16128</v>
      </c>
      <c r="P60" s="30" t="str">
        <f t="shared" ref="P60:P76" si="9">DEC2HEX(O60,4)</f>
        <v>3F00</v>
      </c>
      <c r="Q60" s="35"/>
    </row>
    <row r="61" spans="1:17" ht="9.75" customHeight="1" x14ac:dyDescent="0.2">
      <c r="A61" s="30">
        <v>3</v>
      </c>
      <c r="B61" s="35"/>
      <c r="C61" s="35"/>
      <c r="E61" s="30">
        <v>1</v>
      </c>
      <c r="F61" s="30">
        <v>1</v>
      </c>
      <c r="G61" s="30">
        <v>1</v>
      </c>
      <c r="H61" s="30">
        <v>1</v>
      </c>
      <c r="I61" s="30">
        <v>1</v>
      </c>
      <c r="J61" s="30">
        <v>1</v>
      </c>
      <c r="K61" s="30">
        <v>1</v>
      </c>
      <c r="L61" s="30">
        <v>1</v>
      </c>
      <c r="O61" s="30">
        <f t="shared" si="8"/>
        <v>32640</v>
      </c>
      <c r="P61" s="30" t="str">
        <f t="shared" si="9"/>
        <v>7F80</v>
      </c>
      <c r="Q61" s="35"/>
    </row>
    <row r="62" spans="1:17" ht="9.75" customHeight="1" x14ac:dyDescent="0.2">
      <c r="A62" s="30">
        <v>4</v>
      </c>
      <c r="B62" s="35"/>
      <c r="C62" s="35"/>
      <c r="E62" s="30">
        <v>1</v>
      </c>
      <c r="F62" s="30">
        <v>1</v>
      </c>
      <c r="K62" s="30">
        <v>1</v>
      </c>
      <c r="L62" s="30">
        <v>1</v>
      </c>
      <c r="O62" s="30">
        <f t="shared" si="8"/>
        <v>24960</v>
      </c>
      <c r="P62" s="30" t="str">
        <f t="shared" si="9"/>
        <v>6180</v>
      </c>
      <c r="Q62" s="35"/>
    </row>
    <row r="63" spans="1:17" ht="9.75" customHeight="1" x14ac:dyDescent="0.2">
      <c r="A63" s="30">
        <v>5</v>
      </c>
      <c r="B63" s="35"/>
      <c r="C63" s="35"/>
      <c r="E63" s="30">
        <v>1</v>
      </c>
      <c r="F63" s="30">
        <v>1</v>
      </c>
      <c r="K63" s="30">
        <v>1</v>
      </c>
      <c r="L63" s="30">
        <v>1</v>
      </c>
      <c r="O63" s="30">
        <f t="shared" si="8"/>
        <v>24960</v>
      </c>
      <c r="P63" s="30" t="str">
        <f t="shared" si="9"/>
        <v>6180</v>
      </c>
      <c r="Q63" s="35"/>
    </row>
    <row r="64" spans="1:17" ht="9.75" customHeight="1" x14ac:dyDescent="0.2">
      <c r="A64" s="30">
        <v>6</v>
      </c>
      <c r="B64" s="35"/>
      <c r="C64" s="35"/>
      <c r="E64" s="30">
        <v>1</v>
      </c>
      <c r="F64" s="30">
        <v>1</v>
      </c>
      <c r="K64" s="30">
        <v>1</v>
      </c>
      <c r="L64" s="30">
        <v>1</v>
      </c>
      <c r="O64" s="30">
        <f t="shared" si="8"/>
        <v>24960</v>
      </c>
      <c r="P64" s="30" t="str">
        <f t="shared" si="9"/>
        <v>6180</v>
      </c>
      <c r="Q64" s="35"/>
    </row>
    <row r="65" spans="1:17" ht="9.75" customHeight="1" x14ac:dyDescent="0.2">
      <c r="A65" s="30">
        <v>7</v>
      </c>
      <c r="B65" s="35"/>
      <c r="C65" s="35"/>
      <c r="E65" s="30">
        <v>1</v>
      </c>
      <c r="F65" s="30">
        <v>1</v>
      </c>
      <c r="K65" s="30">
        <v>1</v>
      </c>
      <c r="L65" s="30">
        <v>1</v>
      </c>
      <c r="O65" s="30">
        <f t="shared" si="8"/>
        <v>24960</v>
      </c>
      <c r="P65" s="30" t="str">
        <f t="shared" si="9"/>
        <v>6180</v>
      </c>
      <c r="Q65" s="35"/>
    </row>
    <row r="66" spans="1:17" ht="9.75" customHeight="1" x14ac:dyDescent="0.2">
      <c r="A66" s="30">
        <v>8</v>
      </c>
      <c r="B66" s="35"/>
      <c r="C66" s="35"/>
      <c r="E66" s="30">
        <v>1</v>
      </c>
      <c r="F66" s="30">
        <v>1</v>
      </c>
      <c r="K66" s="30">
        <v>1</v>
      </c>
      <c r="L66" s="30">
        <v>1</v>
      </c>
      <c r="O66" s="30">
        <f t="shared" si="8"/>
        <v>24960</v>
      </c>
      <c r="P66" s="30" t="str">
        <f t="shared" si="9"/>
        <v>6180</v>
      </c>
      <c r="Q66" s="35"/>
    </row>
    <row r="67" spans="1:17" ht="9.75" customHeight="1" x14ac:dyDescent="0.2">
      <c r="A67" s="30">
        <v>9</v>
      </c>
      <c r="B67" s="35"/>
      <c r="C67" s="35"/>
      <c r="E67" s="30">
        <v>1</v>
      </c>
      <c r="F67" s="30">
        <v>1</v>
      </c>
      <c r="K67" s="30">
        <v>1</v>
      </c>
      <c r="L67" s="30">
        <v>1</v>
      </c>
      <c r="O67" s="30">
        <f t="shared" si="8"/>
        <v>24960</v>
      </c>
      <c r="P67" s="30" t="str">
        <f t="shared" si="9"/>
        <v>6180</v>
      </c>
      <c r="Q67" s="35"/>
    </row>
    <row r="68" spans="1:17" ht="9.75" customHeight="1" x14ac:dyDescent="0.2">
      <c r="A68" s="30">
        <v>10</v>
      </c>
      <c r="B68" s="35"/>
      <c r="C68" s="35"/>
      <c r="E68" s="30">
        <v>1</v>
      </c>
      <c r="F68" s="30">
        <v>1</v>
      </c>
      <c r="K68" s="30">
        <v>1</v>
      </c>
      <c r="L68" s="30">
        <v>1</v>
      </c>
      <c r="O68" s="30">
        <f t="shared" si="8"/>
        <v>24960</v>
      </c>
      <c r="P68" s="30" t="str">
        <f t="shared" si="9"/>
        <v>6180</v>
      </c>
      <c r="Q68" s="35"/>
    </row>
    <row r="69" spans="1:17" ht="9.75" customHeight="1" x14ac:dyDescent="0.2">
      <c r="A69" s="30">
        <v>11</v>
      </c>
      <c r="B69" s="35"/>
      <c r="C69" s="35"/>
      <c r="E69" s="30">
        <v>1</v>
      </c>
      <c r="F69" s="30">
        <v>1</v>
      </c>
      <c r="K69" s="30">
        <v>1</v>
      </c>
      <c r="L69" s="30">
        <v>1</v>
      </c>
      <c r="O69" s="30">
        <f t="shared" si="8"/>
        <v>24960</v>
      </c>
      <c r="P69" s="30" t="str">
        <f t="shared" si="9"/>
        <v>6180</v>
      </c>
      <c r="Q69" s="35"/>
    </row>
    <row r="70" spans="1:17" ht="9.75" customHeight="1" x14ac:dyDescent="0.2">
      <c r="A70" s="30">
        <v>12</v>
      </c>
      <c r="B70" s="35"/>
      <c r="C70" s="35"/>
      <c r="E70" s="30">
        <v>1</v>
      </c>
      <c r="F70" s="30">
        <v>1</v>
      </c>
      <c r="K70" s="30">
        <v>1</v>
      </c>
      <c r="L70" s="30">
        <v>1</v>
      </c>
      <c r="O70" s="30">
        <f t="shared" si="8"/>
        <v>24960</v>
      </c>
      <c r="P70" s="30" t="str">
        <f t="shared" si="9"/>
        <v>6180</v>
      </c>
      <c r="Q70" s="35"/>
    </row>
    <row r="71" spans="1:17" ht="9.75" customHeight="1" x14ac:dyDescent="0.2">
      <c r="A71" s="30">
        <v>13</v>
      </c>
      <c r="B71" s="35"/>
      <c r="C71" s="35"/>
      <c r="E71" s="30">
        <v>1</v>
      </c>
      <c r="F71" s="30">
        <v>1</v>
      </c>
      <c r="K71" s="30">
        <v>1</v>
      </c>
      <c r="L71" s="30">
        <v>1</v>
      </c>
      <c r="O71" s="30">
        <f t="shared" si="8"/>
        <v>24960</v>
      </c>
      <c r="P71" s="30" t="str">
        <f t="shared" si="9"/>
        <v>6180</v>
      </c>
      <c r="Q71" s="35"/>
    </row>
    <row r="72" spans="1:17" ht="9.75" customHeight="1" x14ac:dyDescent="0.2">
      <c r="A72" s="30">
        <v>14</v>
      </c>
      <c r="B72" s="35"/>
      <c r="C72" s="35"/>
      <c r="E72" s="30">
        <v>1</v>
      </c>
      <c r="F72" s="30">
        <v>1</v>
      </c>
      <c r="G72" s="30">
        <v>1</v>
      </c>
      <c r="H72" s="30">
        <v>1</v>
      </c>
      <c r="I72" s="30">
        <v>1</v>
      </c>
      <c r="J72" s="30">
        <v>1</v>
      </c>
      <c r="K72" s="30">
        <v>1</v>
      </c>
      <c r="L72" s="30">
        <v>1</v>
      </c>
      <c r="O72" s="30">
        <f t="shared" si="8"/>
        <v>32640</v>
      </c>
      <c r="P72" s="30" t="str">
        <f t="shared" si="9"/>
        <v>7F80</v>
      </c>
      <c r="Q72" s="35"/>
    </row>
    <row r="73" spans="1:17" ht="9.75" customHeight="1" x14ac:dyDescent="0.2">
      <c r="A73" s="30">
        <v>15</v>
      </c>
      <c r="B73" s="35"/>
      <c r="C73" s="35"/>
      <c r="F73" s="30">
        <v>1</v>
      </c>
      <c r="G73" s="30">
        <v>1</v>
      </c>
      <c r="H73" s="30">
        <v>1</v>
      </c>
      <c r="I73" s="30">
        <v>1</v>
      </c>
      <c r="J73" s="30">
        <v>1</v>
      </c>
      <c r="K73" s="30">
        <v>1</v>
      </c>
      <c r="O73" s="30">
        <f t="shared" si="8"/>
        <v>16128</v>
      </c>
      <c r="P73" s="30" t="str">
        <f t="shared" si="9"/>
        <v>3F00</v>
      </c>
    </row>
    <row r="74" spans="1:17" ht="9.75" customHeight="1" x14ac:dyDescent="0.2">
      <c r="A74" s="30">
        <v>16</v>
      </c>
      <c r="B74" s="35"/>
      <c r="C74" s="35"/>
      <c r="O74" s="30">
        <f t="shared" si="8"/>
        <v>0</v>
      </c>
      <c r="P74" s="30" t="str">
        <f t="shared" si="9"/>
        <v>0000</v>
      </c>
    </row>
    <row r="75" spans="1:17" ht="9.75" customHeight="1" x14ac:dyDescent="0.2">
      <c r="A75" s="30">
        <v>17</v>
      </c>
      <c r="B75" s="35"/>
      <c r="C75" s="35"/>
      <c r="O75" s="30">
        <f t="shared" si="8"/>
        <v>0</v>
      </c>
      <c r="P75" s="30" t="str">
        <f t="shared" si="9"/>
        <v>0000</v>
      </c>
    </row>
    <row r="76" spans="1:17" ht="9.75" customHeight="1" x14ac:dyDescent="0.2">
      <c r="A76" s="30">
        <v>18</v>
      </c>
      <c r="B76" s="35"/>
      <c r="C76" s="35"/>
      <c r="O76" s="30">
        <f t="shared" si="8"/>
        <v>0</v>
      </c>
      <c r="P76" s="30" t="str">
        <f t="shared" si="9"/>
        <v>0000</v>
      </c>
    </row>
    <row r="78" spans="1:17" ht="9.75" customHeight="1" x14ac:dyDescent="0.2">
      <c r="A78" s="30">
        <v>1</v>
      </c>
      <c r="B78" s="32"/>
      <c r="C78" s="34" t="s">
        <v>133</v>
      </c>
      <c r="O78" s="30">
        <f>D78*D$1+E78*E$1+F78*F$1+G78*G$1+H78*H$1+I78*I$1+J78*J$1+K78*K$1+L78*L$1+M78*M$1+N78*N$1</f>
        <v>0</v>
      </c>
      <c r="P78" s="30" t="str">
        <f>DEC2HEX(O78,4)</f>
        <v>0000</v>
      </c>
      <c r="Q78" s="35" t="str">
        <f>CONCATENATE("0x",P78,",0x",P79,",0x",P80,",0x",P81,",0x",P82,",0x",P83,",0x",P84,",0x",P85,",0x",P86,",0x",P87,",0x",P88,",0x",P89,",0x",P90,",0x",P91,",0x",P92,",0x",P93,",0x",P94,",0x",P95,", //",C78)</f>
        <v>0x0000,0x7F00,0x7F80,0x6180,0x6180,0x6180,0x6180,0x6180,0x7F80,0x7F00,0x6000,0x6000,0x6000,0x6000,0x6000,0x0000,0x0000,0x0000, //P</v>
      </c>
    </row>
    <row r="79" spans="1:17" ht="9.75" customHeight="1" x14ac:dyDescent="0.2">
      <c r="A79" s="30">
        <v>2</v>
      </c>
      <c r="B79" s="35"/>
      <c r="C79" s="35"/>
      <c r="E79" s="30">
        <v>1</v>
      </c>
      <c r="F79" s="30">
        <v>1</v>
      </c>
      <c r="G79" s="30">
        <v>1</v>
      </c>
      <c r="H79" s="30">
        <v>1</v>
      </c>
      <c r="I79" s="30">
        <v>1</v>
      </c>
      <c r="J79" s="30">
        <v>1</v>
      </c>
      <c r="K79" s="30">
        <v>1</v>
      </c>
      <c r="O79" s="30">
        <f t="shared" ref="O79:O95" si="10">D79*D$1+E79*E$1+F79*F$1+G79*G$1+H79*H$1+I79*I$1+J79*J$1+K79*K$1+L79*L$1+M79*M$1+N79*N$1</f>
        <v>32512</v>
      </c>
      <c r="P79" s="30" t="str">
        <f t="shared" ref="P79:P95" si="11">DEC2HEX(O79,4)</f>
        <v>7F00</v>
      </c>
      <c r="Q79" s="35"/>
    </row>
    <row r="80" spans="1:17" ht="9.75" customHeight="1" x14ac:dyDescent="0.2">
      <c r="A80" s="30">
        <v>3</v>
      </c>
      <c r="B80" s="35"/>
      <c r="C80" s="35"/>
      <c r="E80" s="30">
        <v>1</v>
      </c>
      <c r="F80" s="30">
        <v>1</v>
      </c>
      <c r="G80" s="30">
        <v>1</v>
      </c>
      <c r="H80" s="30">
        <v>1</v>
      </c>
      <c r="I80" s="30">
        <v>1</v>
      </c>
      <c r="J80" s="30">
        <v>1</v>
      </c>
      <c r="K80" s="30">
        <v>1</v>
      </c>
      <c r="L80" s="30">
        <v>1</v>
      </c>
      <c r="O80" s="30">
        <f t="shared" si="10"/>
        <v>32640</v>
      </c>
      <c r="P80" s="30" t="str">
        <f t="shared" si="11"/>
        <v>7F80</v>
      </c>
      <c r="Q80" s="35"/>
    </row>
    <row r="81" spans="1:17" ht="9.75" customHeight="1" x14ac:dyDescent="0.2">
      <c r="A81" s="30">
        <v>4</v>
      </c>
      <c r="B81" s="35"/>
      <c r="C81" s="35"/>
      <c r="E81" s="30">
        <v>1</v>
      </c>
      <c r="F81" s="30">
        <v>1</v>
      </c>
      <c r="K81" s="30">
        <v>1</v>
      </c>
      <c r="L81" s="30">
        <v>1</v>
      </c>
      <c r="O81" s="30">
        <f t="shared" si="10"/>
        <v>24960</v>
      </c>
      <c r="P81" s="30" t="str">
        <f t="shared" si="11"/>
        <v>6180</v>
      </c>
      <c r="Q81" s="35"/>
    </row>
    <row r="82" spans="1:17" ht="9.75" customHeight="1" x14ac:dyDescent="0.2">
      <c r="A82" s="30">
        <v>5</v>
      </c>
      <c r="B82" s="35"/>
      <c r="C82" s="35"/>
      <c r="E82" s="30">
        <v>1</v>
      </c>
      <c r="F82" s="30">
        <v>1</v>
      </c>
      <c r="K82" s="30">
        <v>1</v>
      </c>
      <c r="L82" s="30">
        <v>1</v>
      </c>
      <c r="O82" s="30">
        <f t="shared" si="10"/>
        <v>24960</v>
      </c>
      <c r="P82" s="30" t="str">
        <f t="shared" si="11"/>
        <v>6180</v>
      </c>
      <c r="Q82" s="35"/>
    </row>
    <row r="83" spans="1:17" ht="9.75" customHeight="1" x14ac:dyDescent="0.2">
      <c r="A83" s="30">
        <v>6</v>
      </c>
      <c r="B83" s="35"/>
      <c r="C83" s="35"/>
      <c r="E83" s="30">
        <v>1</v>
      </c>
      <c r="F83" s="30">
        <v>1</v>
      </c>
      <c r="K83" s="30">
        <v>1</v>
      </c>
      <c r="L83" s="30">
        <v>1</v>
      </c>
      <c r="O83" s="30">
        <f t="shared" si="10"/>
        <v>24960</v>
      </c>
      <c r="P83" s="30" t="str">
        <f t="shared" si="11"/>
        <v>6180</v>
      </c>
      <c r="Q83" s="35"/>
    </row>
    <row r="84" spans="1:17" ht="9.75" customHeight="1" x14ac:dyDescent="0.2">
      <c r="A84" s="30">
        <v>7</v>
      </c>
      <c r="B84" s="35"/>
      <c r="C84" s="35"/>
      <c r="E84" s="30">
        <v>1</v>
      </c>
      <c r="F84" s="30">
        <v>1</v>
      </c>
      <c r="K84" s="30">
        <v>1</v>
      </c>
      <c r="L84" s="30">
        <v>1</v>
      </c>
      <c r="O84" s="30">
        <f t="shared" si="10"/>
        <v>24960</v>
      </c>
      <c r="P84" s="30" t="str">
        <f t="shared" si="11"/>
        <v>6180</v>
      </c>
      <c r="Q84" s="35"/>
    </row>
    <row r="85" spans="1:17" ht="9.75" customHeight="1" x14ac:dyDescent="0.2">
      <c r="A85" s="30">
        <v>8</v>
      </c>
      <c r="B85" s="35"/>
      <c r="C85" s="35"/>
      <c r="E85" s="30">
        <v>1</v>
      </c>
      <c r="F85" s="30">
        <v>1</v>
      </c>
      <c r="K85" s="30">
        <v>1</v>
      </c>
      <c r="L85" s="30">
        <v>1</v>
      </c>
      <c r="O85" s="30">
        <f t="shared" si="10"/>
        <v>24960</v>
      </c>
      <c r="P85" s="30" t="str">
        <f t="shared" si="11"/>
        <v>6180</v>
      </c>
      <c r="Q85" s="35"/>
    </row>
    <row r="86" spans="1:17" ht="9.75" customHeight="1" x14ac:dyDescent="0.2">
      <c r="A86" s="30">
        <v>9</v>
      </c>
      <c r="B86" s="35"/>
      <c r="C86" s="35"/>
      <c r="E86" s="30">
        <v>1</v>
      </c>
      <c r="F86" s="30">
        <v>1</v>
      </c>
      <c r="G86" s="30">
        <v>1</v>
      </c>
      <c r="H86" s="30">
        <v>1</v>
      </c>
      <c r="I86" s="30">
        <v>1</v>
      </c>
      <c r="J86" s="30">
        <v>1</v>
      </c>
      <c r="K86" s="30">
        <v>1</v>
      </c>
      <c r="L86" s="30">
        <v>1</v>
      </c>
      <c r="O86" s="30">
        <f t="shared" si="10"/>
        <v>32640</v>
      </c>
      <c r="P86" s="30" t="str">
        <f t="shared" si="11"/>
        <v>7F80</v>
      </c>
      <c r="Q86" s="35"/>
    </row>
    <row r="87" spans="1:17" ht="9.75" customHeight="1" x14ac:dyDescent="0.2">
      <c r="A87" s="30">
        <v>10</v>
      </c>
      <c r="B87" s="35"/>
      <c r="C87" s="35"/>
      <c r="E87" s="30">
        <v>1</v>
      </c>
      <c r="F87" s="30">
        <v>1</v>
      </c>
      <c r="G87" s="30">
        <v>1</v>
      </c>
      <c r="H87" s="30">
        <v>1</v>
      </c>
      <c r="I87" s="30">
        <v>1</v>
      </c>
      <c r="J87" s="30">
        <v>1</v>
      </c>
      <c r="K87" s="30">
        <v>1</v>
      </c>
      <c r="O87" s="30">
        <f t="shared" si="10"/>
        <v>32512</v>
      </c>
      <c r="P87" s="30" t="str">
        <f t="shared" si="11"/>
        <v>7F00</v>
      </c>
      <c r="Q87" s="35"/>
    </row>
    <row r="88" spans="1:17" ht="9.75" customHeight="1" x14ac:dyDescent="0.2">
      <c r="A88" s="30">
        <v>11</v>
      </c>
      <c r="B88" s="35"/>
      <c r="C88" s="35"/>
      <c r="E88" s="30">
        <v>1</v>
      </c>
      <c r="F88" s="30">
        <v>1</v>
      </c>
      <c r="O88" s="30">
        <f t="shared" si="10"/>
        <v>24576</v>
      </c>
      <c r="P88" s="30" t="str">
        <f t="shared" si="11"/>
        <v>6000</v>
      </c>
      <c r="Q88" s="35"/>
    </row>
    <row r="89" spans="1:17" ht="9.75" customHeight="1" x14ac:dyDescent="0.2">
      <c r="A89" s="30">
        <v>12</v>
      </c>
      <c r="B89" s="35"/>
      <c r="C89" s="35"/>
      <c r="E89" s="30">
        <v>1</v>
      </c>
      <c r="F89" s="30">
        <v>1</v>
      </c>
      <c r="O89" s="30">
        <f t="shared" si="10"/>
        <v>24576</v>
      </c>
      <c r="P89" s="30" t="str">
        <f t="shared" si="11"/>
        <v>6000</v>
      </c>
      <c r="Q89" s="35"/>
    </row>
    <row r="90" spans="1:17" ht="9.75" customHeight="1" x14ac:dyDescent="0.2">
      <c r="A90" s="30">
        <v>13</v>
      </c>
      <c r="B90" s="35"/>
      <c r="C90" s="35"/>
      <c r="E90" s="30">
        <v>1</v>
      </c>
      <c r="F90" s="30">
        <v>1</v>
      </c>
      <c r="O90" s="30">
        <f t="shared" si="10"/>
        <v>24576</v>
      </c>
      <c r="P90" s="30" t="str">
        <f t="shared" si="11"/>
        <v>6000</v>
      </c>
      <c r="Q90" s="35"/>
    </row>
    <row r="91" spans="1:17" ht="9.75" customHeight="1" x14ac:dyDescent="0.2">
      <c r="A91" s="30">
        <v>14</v>
      </c>
      <c r="B91" s="35"/>
      <c r="C91" s="35"/>
      <c r="E91" s="30">
        <v>1</v>
      </c>
      <c r="F91" s="30">
        <v>1</v>
      </c>
      <c r="O91" s="30">
        <f t="shared" si="10"/>
        <v>24576</v>
      </c>
      <c r="P91" s="30" t="str">
        <f t="shared" si="11"/>
        <v>6000</v>
      </c>
      <c r="Q91" s="35"/>
    </row>
    <row r="92" spans="1:17" ht="9.75" customHeight="1" x14ac:dyDescent="0.2">
      <c r="A92" s="30">
        <v>15</v>
      </c>
      <c r="B92" s="35"/>
      <c r="C92" s="35"/>
      <c r="E92" s="30">
        <v>1</v>
      </c>
      <c r="F92" s="30">
        <v>1</v>
      </c>
      <c r="O92" s="30">
        <f t="shared" si="10"/>
        <v>24576</v>
      </c>
      <c r="P92" s="30" t="str">
        <f t="shared" si="11"/>
        <v>6000</v>
      </c>
    </row>
    <row r="93" spans="1:17" ht="9.75" customHeight="1" x14ac:dyDescent="0.2">
      <c r="A93" s="30">
        <v>16</v>
      </c>
      <c r="B93" s="35"/>
      <c r="C93" s="35"/>
      <c r="O93" s="30">
        <f t="shared" si="10"/>
        <v>0</v>
      </c>
      <c r="P93" s="30" t="str">
        <f t="shared" si="11"/>
        <v>0000</v>
      </c>
    </row>
    <row r="94" spans="1:17" ht="9.75" customHeight="1" x14ac:dyDescent="0.2">
      <c r="A94" s="30">
        <v>17</v>
      </c>
      <c r="B94" s="35"/>
      <c r="C94" s="35"/>
      <c r="O94" s="30">
        <f t="shared" si="10"/>
        <v>0</v>
      </c>
      <c r="P94" s="30" t="str">
        <f t="shared" si="11"/>
        <v>0000</v>
      </c>
    </row>
    <row r="95" spans="1:17" ht="9.75" customHeight="1" x14ac:dyDescent="0.2">
      <c r="A95" s="30">
        <v>18</v>
      </c>
      <c r="B95" s="35"/>
      <c r="C95" s="35"/>
      <c r="O95" s="30">
        <f t="shared" si="10"/>
        <v>0</v>
      </c>
      <c r="P95" s="30" t="str">
        <f t="shared" si="11"/>
        <v>0000</v>
      </c>
    </row>
    <row r="97" spans="1:17" ht="9.75" customHeight="1" x14ac:dyDescent="0.2">
      <c r="A97" s="30">
        <v>1</v>
      </c>
      <c r="B97" s="32"/>
      <c r="C97" s="34" t="s">
        <v>135</v>
      </c>
      <c r="O97" s="30">
        <f>D97*D$1+E97*E$1+F97*F$1+G97*G$1+H97*H$1+I97*I$1+J97*J$1+K97*K$1+L97*L$1+M97*M$1+N97*N$1</f>
        <v>0</v>
      </c>
      <c r="P97" s="30" t="str">
        <f>DEC2HEX(O97,4)</f>
        <v>0000</v>
      </c>
      <c r="Q97" s="35" t="str">
        <f>CONCATENATE("0x",P97,",0x",P98,",0x",P99,",0x",P100,",0x",P101,",0x",P102,",0x",P103,",0x",P104,",0x",P105,",0x",P106,",0x",P107,",0x",P108,",0x",P109,",0x",P110,",0x",P111,",0x",P112,",0x",P113,",0x",P114,", //",C97)</f>
        <v>0x0000,0x7F00,0x7F80,0x6180,0x6180,0x6180,0x6180,0x6180,0x7F80,0x7F00,0x6300,0x6380,0x6180,0x6180,0x6180,0x0000,0x0000,0x0000, //R</v>
      </c>
    </row>
    <row r="98" spans="1:17" ht="9.75" customHeight="1" x14ac:dyDescent="0.2">
      <c r="A98" s="30">
        <v>2</v>
      </c>
      <c r="B98" s="35"/>
      <c r="C98" s="35"/>
      <c r="E98" s="30">
        <v>1</v>
      </c>
      <c r="F98" s="30">
        <v>1</v>
      </c>
      <c r="G98" s="30">
        <v>1</v>
      </c>
      <c r="H98" s="30">
        <v>1</v>
      </c>
      <c r="I98" s="30">
        <v>1</v>
      </c>
      <c r="J98" s="30">
        <v>1</v>
      </c>
      <c r="K98" s="30">
        <v>1</v>
      </c>
      <c r="O98" s="30">
        <f t="shared" ref="O98:O114" si="12">D98*D$1+E98*E$1+F98*F$1+G98*G$1+H98*H$1+I98*I$1+J98*J$1+K98*K$1+L98*L$1+M98*M$1+N98*N$1</f>
        <v>32512</v>
      </c>
      <c r="P98" s="30" t="str">
        <f t="shared" ref="P98:P114" si="13">DEC2HEX(O98,4)</f>
        <v>7F00</v>
      </c>
      <c r="Q98" s="35"/>
    </row>
    <row r="99" spans="1:17" ht="9.75" customHeight="1" x14ac:dyDescent="0.2">
      <c r="A99" s="30">
        <v>3</v>
      </c>
      <c r="B99" s="35"/>
      <c r="C99" s="35"/>
      <c r="E99" s="30">
        <v>1</v>
      </c>
      <c r="F99" s="30">
        <v>1</v>
      </c>
      <c r="G99" s="30">
        <v>1</v>
      </c>
      <c r="H99" s="30">
        <v>1</v>
      </c>
      <c r="I99" s="30">
        <v>1</v>
      </c>
      <c r="J99" s="30">
        <v>1</v>
      </c>
      <c r="K99" s="30">
        <v>1</v>
      </c>
      <c r="L99" s="30">
        <v>1</v>
      </c>
      <c r="O99" s="30">
        <f t="shared" si="12"/>
        <v>32640</v>
      </c>
      <c r="P99" s="30" t="str">
        <f t="shared" si="13"/>
        <v>7F80</v>
      </c>
      <c r="Q99" s="35"/>
    </row>
    <row r="100" spans="1:17" ht="9.75" customHeight="1" x14ac:dyDescent="0.2">
      <c r="A100" s="30">
        <v>4</v>
      </c>
      <c r="B100" s="35"/>
      <c r="C100" s="35"/>
      <c r="E100" s="30">
        <v>1</v>
      </c>
      <c r="F100" s="30">
        <v>1</v>
      </c>
      <c r="K100" s="30">
        <v>1</v>
      </c>
      <c r="L100" s="30">
        <v>1</v>
      </c>
      <c r="O100" s="30">
        <f t="shared" si="12"/>
        <v>24960</v>
      </c>
      <c r="P100" s="30" t="str">
        <f t="shared" si="13"/>
        <v>6180</v>
      </c>
      <c r="Q100" s="35"/>
    </row>
    <row r="101" spans="1:17" ht="9.75" customHeight="1" x14ac:dyDescent="0.2">
      <c r="A101" s="30">
        <v>5</v>
      </c>
      <c r="B101" s="35"/>
      <c r="C101" s="35"/>
      <c r="E101" s="30">
        <v>1</v>
      </c>
      <c r="F101" s="30">
        <v>1</v>
      </c>
      <c r="K101" s="30">
        <v>1</v>
      </c>
      <c r="L101" s="30">
        <v>1</v>
      </c>
      <c r="O101" s="30">
        <f t="shared" si="12"/>
        <v>24960</v>
      </c>
      <c r="P101" s="30" t="str">
        <f t="shared" si="13"/>
        <v>6180</v>
      </c>
      <c r="Q101" s="35"/>
    </row>
    <row r="102" spans="1:17" ht="9.75" customHeight="1" x14ac:dyDescent="0.2">
      <c r="A102" s="30">
        <v>6</v>
      </c>
      <c r="B102" s="35"/>
      <c r="C102" s="35"/>
      <c r="E102" s="30">
        <v>1</v>
      </c>
      <c r="F102" s="30">
        <v>1</v>
      </c>
      <c r="K102" s="30">
        <v>1</v>
      </c>
      <c r="L102" s="30">
        <v>1</v>
      </c>
      <c r="O102" s="30">
        <f t="shared" si="12"/>
        <v>24960</v>
      </c>
      <c r="P102" s="30" t="str">
        <f t="shared" si="13"/>
        <v>6180</v>
      </c>
      <c r="Q102" s="35"/>
    </row>
    <row r="103" spans="1:17" ht="9.75" customHeight="1" x14ac:dyDescent="0.2">
      <c r="A103" s="30">
        <v>7</v>
      </c>
      <c r="B103" s="35"/>
      <c r="C103" s="35"/>
      <c r="E103" s="30">
        <v>1</v>
      </c>
      <c r="F103" s="30">
        <v>1</v>
      </c>
      <c r="K103" s="30">
        <v>1</v>
      </c>
      <c r="L103" s="30">
        <v>1</v>
      </c>
      <c r="O103" s="30">
        <f t="shared" si="12"/>
        <v>24960</v>
      </c>
      <c r="P103" s="30" t="str">
        <f t="shared" si="13"/>
        <v>6180</v>
      </c>
      <c r="Q103" s="35"/>
    </row>
    <row r="104" spans="1:17" ht="9.75" customHeight="1" x14ac:dyDescent="0.2">
      <c r="A104" s="30">
        <v>8</v>
      </c>
      <c r="B104" s="35"/>
      <c r="C104" s="35"/>
      <c r="E104" s="30">
        <v>1</v>
      </c>
      <c r="F104" s="30">
        <v>1</v>
      </c>
      <c r="K104" s="30">
        <v>1</v>
      </c>
      <c r="L104" s="30">
        <v>1</v>
      </c>
      <c r="O104" s="30">
        <f t="shared" si="12"/>
        <v>24960</v>
      </c>
      <c r="P104" s="30" t="str">
        <f t="shared" si="13"/>
        <v>6180</v>
      </c>
      <c r="Q104" s="35"/>
    </row>
    <row r="105" spans="1:17" ht="9.75" customHeight="1" x14ac:dyDescent="0.2">
      <c r="A105" s="30">
        <v>9</v>
      </c>
      <c r="B105" s="35"/>
      <c r="C105" s="35"/>
      <c r="E105" s="30">
        <v>1</v>
      </c>
      <c r="F105" s="30">
        <v>1</v>
      </c>
      <c r="G105" s="30">
        <v>1</v>
      </c>
      <c r="H105" s="30">
        <v>1</v>
      </c>
      <c r="I105" s="30">
        <v>1</v>
      </c>
      <c r="J105" s="30">
        <v>1</v>
      </c>
      <c r="K105" s="30">
        <v>1</v>
      </c>
      <c r="L105" s="30">
        <v>1</v>
      </c>
      <c r="O105" s="30">
        <f t="shared" si="12"/>
        <v>32640</v>
      </c>
      <c r="P105" s="30" t="str">
        <f t="shared" si="13"/>
        <v>7F80</v>
      </c>
      <c r="Q105" s="35"/>
    </row>
    <row r="106" spans="1:17" ht="9.75" customHeight="1" x14ac:dyDescent="0.2">
      <c r="A106" s="30">
        <v>10</v>
      </c>
      <c r="B106" s="35"/>
      <c r="C106" s="35"/>
      <c r="E106" s="30">
        <v>1</v>
      </c>
      <c r="F106" s="30">
        <v>1</v>
      </c>
      <c r="G106" s="30">
        <v>1</v>
      </c>
      <c r="H106" s="30">
        <v>1</v>
      </c>
      <c r="I106" s="30">
        <v>1</v>
      </c>
      <c r="J106" s="30">
        <v>1</v>
      </c>
      <c r="K106" s="30">
        <v>1</v>
      </c>
      <c r="O106" s="30">
        <f t="shared" si="12"/>
        <v>32512</v>
      </c>
      <c r="P106" s="30" t="str">
        <f t="shared" si="13"/>
        <v>7F00</v>
      </c>
      <c r="Q106" s="35"/>
    </row>
    <row r="107" spans="1:17" ht="9.75" customHeight="1" x14ac:dyDescent="0.2">
      <c r="A107" s="30">
        <v>11</v>
      </c>
      <c r="B107" s="35"/>
      <c r="C107" s="35"/>
      <c r="E107" s="30">
        <v>1</v>
      </c>
      <c r="F107" s="30">
        <v>1</v>
      </c>
      <c r="J107" s="30">
        <v>1</v>
      </c>
      <c r="K107" s="30">
        <v>1</v>
      </c>
      <c r="O107" s="30">
        <f t="shared" si="12"/>
        <v>25344</v>
      </c>
      <c r="P107" s="30" t="str">
        <f t="shared" si="13"/>
        <v>6300</v>
      </c>
      <c r="Q107" s="35"/>
    </row>
    <row r="108" spans="1:17" ht="9.75" customHeight="1" x14ac:dyDescent="0.2">
      <c r="A108" s="30">
        <v>12</v>
      </c>
      <c r="B108" s="35"/>
      <c r="C108" s="35"/>
      <c r="E108" s="30">
        <v>1</v>
      </c>
      <c r="F108" s="30">
        <v>1</v>
      </c>
      <c r="J108" s="30">
        <v>1</v>
      </c>
      <c r="K108" s="30">
        <v>1</v>
      </c>
      <c r="L108" s="30">
        <v>1</v>
      </c>
      <c r="O108" s="30">
        <f t="shared" si="12"/>
        <v>25472</v>
      </c>
      <c r="P108" s="30" t="str">
        <f t="shared" si="13"/>
        <v>6380</v>
      </c>
      <c r="Q108" s="35"/>
    </row>
    <row r="109" spans="1:17" ht="9.75" customHeight="1" x14ac:dyDescent="0.2">
      <c r="A109" s="30">
        <v>13</v>
      </c>
      <c r="B109" s="35"/>
      <c r="C109" s="35"/>
      <c r="E109" s="30">
        <v>1</v>
      </c>
      <c r="F109" s="30">
        <v>1</v>
      </c>
      <c r="K109" s="30">
        <v>1</v>
      </c>
      <c r="L109" s="30">
        <v>1</v>
      </c>
      <c r="O109" s="30">
        <f t="shared" si="12"/>
        <v>24960</v>
      </c>
      <c r="P109" s="30" t="str">
        <f t="shared" si="13"/>
        <v>6180</v>
      </c>
      <c r="Q109" s="35"/>
    </row>
    <row r="110" spans="1:17" ht="9.75" customHeight="1" x14ac:dyDescent="0.2">
      <c r="A110" s="30">
        <v>14</v>
      </c>
      <c r="B110" s="35"/>
      <c r="C110" s="35"/>
      <c r="E110" s="30">
        <v>1</v>
      </c>
      <c r="F110" s="30">
        <v>1</v>
      </c>
      <c r="K110" s="30">
        <v>1</v>
      </c>
      <c r="L110" s="30">
        <v>1</v>
      </c>
      <c r="O110" s="30">
        <f t="shared" si="12"/>
        <v>24960</v>
      </c>
      <c r="P110" s="30" t="str">
        <f t="shared" si="13"/>
        <v>6180</v>
      </c>
      <c r="Q110" s="35"/>
    </row>
    <row r="111" spans="1:17" ht="9.75" customHeight="1" x14ac:dyDescent="0.2">
      <c r="A111" s="30">
        <v>15</v>
      </c>
      <c r="B111" s="35"/>
      <c r="C111" s="35"/>
      <c r="E111" s="30">
        <v>1</v>
      </c>
      <c r="F111" s="30">
        <v>1</v>
      </c>
      <c r="K111" s="30">
        <v>1</v>
      </c>
      <c r="L111" s="30">
        <v>1</v>
      </c>
      <c r="O111" s="30">
        <f t="shared" si="12"/>
        <v>24960</v>
      </c>
      <c r="P111" s="30" t="str">
        <f t="shared" si="13"/>
        <v>6180</v>
      </c>
    </row>
    <row r="112" spans="1:17" ht="9.75" customHeight="1" x14ac:dyDescent="0.2">
      <c r="A112" s="30">
        <v>16</v>
      </c>
      <c r="B112" s="35"/>
      <c r="C112" s="35"/>
      <c r="O112" s="30">
        <f t="shared" si="12"/>
        <v>0</v>
      </c>
      <c r="P112" s="30" t="str">
        <f t="shared" si="13"/>
        <v>0000</v>
      </c>
    </row>
    <row r="113" spans="1:17" ht="9.75" customHeight="1" x14ac:dyDescent="0.2">
      <c r="A113" s="30">
        <v>17</v>
      </c>
      <c r="B113" s="35"/>
      <c r="C113" s="35"/>
      <c r="O113" s="30">
        <f t="shared" si="12"/>
        <v>0</v>
      </c>
      <c r="P113" s="30" t="str">
        <f t="shared" si="13"/>
        <v>0000</v>
      </c>
    </row>
    <row r="114" spans="1:17" ht="9.75" customHeight="1" x14ac:dyDescent="0.2">
      <c r="A114" s="30">
        <v>18</v>
      </c>
      <c r="B114" s="35"/>
      <c r="C114" s="35"/>
      <c r="O114" s="30">
        <f t="shared" si="12"/>
        <v>0</v>
      </c>
      <c r="P114" s="30" t="str">
        <f t="shared" si="13"/>
        <v>0000</v>
      </c>
    </row>
    <row r="116" spans="1:17" ht="9.75" customHeight="1" x14ac:dyDescent="0.2">
      <c r="A116" s="30">
        <v>1</v>
      </c>
      <c r="B116" s="32"/>
      <c r="C116" s="34" t="s">
        <v>136</v>
      </c>
      <c r="O116" s="30">
        <f>D116*D$1+E116*E$1+F116*F$1+G116*G$1+H116*H$1+I116*I$1+J116*J$1+K116*K$1+L116*L$1+M116*M$1+N116*N$1</f>
        <v>0</v>
      </c>
      <c r="P116" s="30" t="str">
        <f>DEC2HEX(O116,4)</f>
        <v>0000</v>
      </c>
      <c r="Q116" s="35" t="str">
        <f>CONCATENATE("0x",P116,",0x",P117,",0x",P118,",0x",P119,",0x",P120,",0x",P121,",0x",P122,",0x",P123,",0x",P124,",0x",P125,",0x",P126,",0x",P127,",0x",P128,",0x",P129,",0x",P130,",0x",P131,",0x",P132,",0x",P133,", //",C116)</f>
        <v>0x0000,0x3F00,0x7F80,0x6180,0x6180,0x6000,0x6000,0x7F00,0x3F80,0x0180,0x0180,0x6180,0x6180,0x7F80,0x3F00,0x0000,0x0000,0x0000, //S</v>
      </c>
    </row>
    <row r="117" spans="1:17" ht="9.75" customHeight="1" x14ac:dyDescent="0.2">
      <c r="A117" s="30">
        <v>2</v>
      </c>
      <c r="B117" s="35"/>
      <c r="C117" s="35"/>
      <c r="F117" s="30">
        <v>1</v>
      </c>
      <c r="G117" s="30">
        <v>1</v>
      </c>
      <c r="H117" s="30">
        <v>1</v>
      </c>
      <c r="I117" s="30">
        <v>1</v>
      </c>
      <c r="J117" s="30">
        <v>1</v>
      </c>
      <c r="K117" s="30">
        <v>1</v>
      </c>
      <c r="O117" s="30">
        <f t="shared" ref="O117:O133" si="14">D117*D$1+E117*E$1+F117*F$1+G117*G$1+H117*H$1+I117*I$1+J117*J$1+K117*K$1+L117*L$1+M117*M$1+N117*N$1</f>
        <v>16128</v>
      </c>
      <c r="P117" s="30" t="str">
        <f t="shared" ref="P117:P133" si="15">DEC2HEX(O117,4)</f>
        <v>3F00</v>
      </c>
      <c r="Q117" s="35"/>
    </row>
    <row r="118" spans="1:17" ht="9.75" customHeight="1" x14ac:dyDescent="0.2">
      <c r="A118" s="30">
        <v>3</v>
      </c>
      <c r="B118" s="35"/>
      <c r="C118" s="35"/>
      <c r="E118" s="30">
        <v>1</v>
      </c>
      <c r="F118" s="30">
        <v>1</v>
      </c>
      <c r="G118" s="30">
        <v>1</v>
      </c>
      <c r="H118" s="30">
        <v>1</v>
      </c>
      <c r="I118" s="30">
        <v>1</v>
      </c>
      <c r="J118" s="30">
        <v>1</v>
      </c>
      <c r="K118" s="30">
        <v>1</v>
      </c>
      <c r="L118" s="30">
        <v>1</v>
      </c>
      <c r="O118" s="30">
        <f t="shared" si="14"/>
        <v>32640</v>
      </c>
      <c r="P118" s="30" t="str">
        <f t="shared" si="15"/>
        <v>7F80</v>
      </c>
      <c r="Q118" s="35"/>
    </row>
    <row r="119" spans="1:17" ht="9.75" customHeight="1" x14ac:dyDescent="0.2">
      <c r="A119" s="30">
        <v>4</v>
      </c>
      <c r="B119" s="35"/>
      <c r="C119" s="35"/>
      <c r="E119" s="30">
        <v>1</v>
      </c>
      <c r="F119" s="30">
        <v>1</v>
      </c>
      <c r="K119" s="30">
        <v>1</v>
      </c>
      <c r="L119" s="30">
        <v>1</v>
      </c>
      <c r="O119" s="30">
        <f t="shared" si="14"/>
        <v>24960</v>
      </c>
      <c r="P119" s="30" t="str">
        <f t="shared" si="15"/>
        <v>6180</v>
      </c>
      <c r="Q119" s="35"/>
    </row>
    <row r="120" spans="1:17" ht="9.75" customHeight="1" x14ac:dyDescent="0.2">
      <c r="A120" s="30">
        <v>5</v>
      </c>
      <c r="B120" s="35"/>
      <c r="C120" s="35"/>
      <c r="E120" s="30">
        <v>1</v>
      </c>
      <c r="F120" s="30">
        <v>1</v>
      </c>
      <c r="K120" s="30">
        <v>1</v>
      </c>
      <c r="L120" s="30">
        <v>1</v>
      </c>
      <c r="O120" s="30">
        <f t="shared" si="14"/>
        <v>24960</v>
      </c>
      <c r="P120" s="30" t="str">
        <f t="shared" si="15"/>
        <v>6180</v>
      </c>
      <c r="Q120" s="35"/>
    </row>
    <row r="121" spans="1:17" ht="9.75" customHeight="1" x14ac:dyDescent="0.2">
      <c r="A121" s="30">
        <v>6</v>
      </c>
      <c r="B121" s="35"/>
      <c r="C121" s="35"/>
      <c r="E121" s="30">
        <v>1</v>
      </c>
      <c r="F121" s="30">
        <v>1</v>
      </c>
      <c r="O121" s="30">
        <f t="shared" si="14"/>
        <v>24576</v>
      </c>
      <c r="P121" s="30" t="str">
        <f t="shared" si="15"/>
        <v>6000</v>
      </c>
      <c r="Q121" s="35"/>
    </row>
    <row r="122" spans="1:17" ht="9.75" customHeight="1" x14ac:dyDescent="0.2">
      <c r="A122" s="30">
        <v>7</v>
      </c>
      <c r="B122" s="35"/>
      <c r="C122" s="35"/>
      <c r="E122" s="30">
        <v>1</v>
      </c>
      <c r="F122" s="30">
        <v>1</v>
      </c>
      <c r="O122" s="30">
        <f t="shared" si="14"/>
        <v>24576</v>
      </c>
      <c r="P122" s="30" t="str">
        <f t="shared" si="15"/>
        <v>6000</v>
      </c>
      <c r="Q122" s="35"/>
    </row>
    <row r="123" spans="1:17" ht="9.75" customHeight="1" x14ac:dyDescent="0.2">
      <c r="A123" s="30">
        <v>8</v>
      </c>
      <c r="B123" s="35"/>
      <c r="C123" s="35"/>
      <c r="E123" s="30">
        <v>1</v>
      </c>
      <c r="F123" s="30">
        <v>1</v>
      </c>
      <c r="G123" s="30">
        <v>1</v>
      </c>
      <c r="H123" s="30">
        <v>1</v>
      </c>
      <c r="I123" s="30">
        <v>1</v>
      </c>
      <c r="J123" s="30">
        <v>1</v>
      </c>
      <c r="K123" s="30">
        <v>1</v>
      </c>
      <c r="O123" s="30">
        <f t="shared" si="14"/>
        <v>32512</v>
      </c>
      <c r="P123" s="30" t="str">
        <f t="shared" si="15"/>
        <v>7F00</v>
      </c>
      <c r="Q123" s="35"/>
    </row>
    <row r="124" spans="1:17" ht="9.75" customHeight="1" x14ac:dyDescent="0.2">
      <c r="A124" s="30">
        <v>9</v>
      </c>
      <c r="B124" s="35"/>
      <c r="C124" s="35"/>
      <c r="F124" s="30">
        <v>1</v>
      </c>
      <c r="G124" s="30">
        <v>1</v>
      </c>
      <c r="H124" s="30">
        <v>1</v>
      </c>
      <c r="I124" s="30">
        <v>1</v>
      </c>
      <c r="J124" s="30">
        <v>1</v>
      </c>
      <c r="K124" s="30">
        <v>1</v>
      </c>
      <c r="L124" s="30">
        <v>1</v>
      </c>
      <c r="O124" s="30">
        <f t="shared" si="14"/>
        <v>16256</v>
      </c>
      <c r="P124" s="30" t="str">
        <f t="shared" si="15"/>
        <v>3F80</v>
      </c>
      <c r="Q124" s="35"/>
    </row>
    <row r="125" spans="1:17" ht="9.75" customHeight="1" x14ac:dyDescent="0.2">
      <c r="A125" s="30">
        <v>10</v>
      </c>
      <c r="B125" s="35"/>
      <c r="C125" s="35"/>
      <c r="K125" s="30">
        <v>1</v>
      </c>
      <c r="L125" s="30">
        <v>1</v>
      </c>
      <c r="O125" s="30">
        <f t="shared" si="14"/>
        <v>384</v>
      </c>
      <c r="P125" s="30" t="str">
        <f t="shared" si="15"/>
        <v>0180</v>
      </c>
      <c r="Q125" s="35"/>
    </row>
    <row r="126" spans="1:17" ht="9.75" customHeight="1" x14ac:dyDescent="0.2">
      <c r="A126" s="30">
        <v>11</v>
      </c>
      <c r="B126" s="35"/>
      <c r="C126" s="35"/>
      <c r="K126" s="30">
        <v>1</v>
      </c>
      <c r="L126" s="30">
        <v>1</v>
      </c>
      <c r="O126" s="30">
        <f t="shared" si="14"/>
        <v>384</v>
      </c>
      <c r="P126" s="30" t="str">
        <f t="shared" si="15"/>
        <v>0180</v>
      </c>
      <c r="Q126" s="35"/>
    </row>
    <row r="127" spans="1:17" ht="9.75" customHeight="1" x14ac:dyDescent="0.2">
      <c r="A127" s="30">
        <v>12</v>
      </c>
      <c r="B127" s="35"/>
      <c r="C127" s="35"/>
      <c r="E127" s="30">
        <v>1</v>
      </c>
      <c r="F127" s="30">
        <v>1</v>
      </c>
      <c r="K127" s="30">
        <v>1</v>
      </c>
      <c r="L127" s="30">
        <v>1</v>
      </c>
      <c r="O127" s="30">
        <f t="shared" si="14"/>
        <v>24960</v>
      </c>
      <c r="P127" s="30" t="str">
        <f t="shared" si="15"/>
        <v>6180</v>
      </c>
      <c r="Q127" s="35"/>
    </row>
    <row r="128" spans="1:17" ht="9.75" customHeight="1" x14ac:dyDescent="0.2">
      <c r="A128" s="30">
        <v>13</v>
      </c>
      <c r="B128" s="35"/>
      <c r="C128" s="35"/>
      <c r="E128" s="30">
        <v>1</v>
      </c>
      <c r="F128" s="30">
        <v>1</v>
      </c>
      <c r="K128" s="30">
        <v>1</v>
      </c>
      <c r="L128" s="30">
        <v>1</v>
      </c>
      <c r="O128" s="30">
        <f t="shared" si="14"/>
        <v>24960</v>
      </c>
      <c r="P128" s="30" t="str">
        <f t="shared" si="15"/>
        <v>6180</v>
      </c>
      <c r="Q128" s="35"/>
    </row>
    <row r="129" spans="1:17" ht="9.75" customHeight="1" x14ac:dyDescent="0.2">
      <c r="A129" s="30">
        <v>14</v>
      </c>
      <c r="B129" s="35"/>
      <c r="C129" s="35"/>
      <c r="E129" s="30">
        <v>1</v>
      </c>
      <c r="F129" s="30">
        <v>1</v>
      </c>
      <c r="G129" s="30">
        <v>1</v>
      </c>
      <c r="H129" s="30">
        <v>1</v>
      </c>
      <c r="I129" s="30">
        <v>1</v>
      </c>
      <c r="J129" s="30">
        <v>1</v>
      </c>
      <c r="K129" s="30">
        <v>1</v>
      </c>
      <c r="L129" s="30">
        <v>1</v>
      </c>
      <c r="O129" s="30">
        <f t="shared" si="14"/>
        <v>32640</v>
      </c>
      <c r="P129" s="30" t="str">
        <f t="shared" si="15"/>
        <v>7F80</v>
      </c>
      <c r="Q129" s="35"/>
    </row>
    <row r="130" spans="1:17" ht="9.75" customHeight="1" x14ac:dyDescent="0.2">
      <c r="A130" s="30">
        <v>15</v>
      </c>
      <c r="B130" s="35"/>
      <c r="C130" s="35"/>
      <c r="F130" s="30">
        <v>1</v>
      </c>
      <c r="G130" s="30">
        <v>1</v>
      </c>
      <c r="H130" s="30">
        <v>1</v>
      </c>
      <c r="I130" s="30">
        <v>1</v>
      </c>
      <c r="J130" s="30">
        <v>1</v>
      </c>
      <c r="K130" s="30">
        <v>1</v>
      </c>
      <c r="O130" s="30">
        <f t="shared" si="14"/>
        <v>16128</v>
      </c>
      <c r="P130" s="30" t="str">
        <f t="shared" si="15"/>
        <v>3F00</v>
      </c>
    </row>
    <row r="131" spans="1:17" ht="9.75" customHeight="1" x14ac:dyDescent="0.2">
      <c r="A131" s="30">
        <v>16</v>
      </c>
      <c r="B131" s="35"/>
      <c r="C131" s="35"/>
      <c r="O131" s="30">
        <f t="shared" si="14"/>
        <v>0</v>
      </c>
      <c r="P131" s="30" t="str">
        <f t="shared" si="15"/>
        <v>0000</v>
      </c>
    </row>
    <row r="132" spans="1:17" ht="9.75" customHeight="1" x14ac:dyDescent="0.2">
      <c r="A132" s="30">
        <v>17</v>
      </c>
      <c r="B132" s="35"/>
      <c r="C132" s="35"/>
      <c r="O132" s="30">
        <f t="shared" si="14"/>
        <v>0</v>
      </c>
      <c r="P132" s="30" t="str">
        <f t="shared" si="15"/>
        <v>0000</v>
      </c>
    </row>
    <row r="133" spans="1:17" ht="9.75" customHeight="1" x14ac:dyDescent="0.2">
      <c r="A133" s="30">
        <v>18</v>
      </c>
      <c r="B133" s="35"/>
      <c r="C133" s="35"/>
      <c r="O133" s="30">
        <f t="shared" si="14"/>
        <v>0</v>
      </c>
      <c r="P133" s="30" t="str">
        <f t="shared" si="15"/>
        <v>0000</v>
      </c>
    </row>
    <row r="135" spans="1:17" ht="9.75" customHeight="1" x14ac:dyDescent="0.2">
      <c r="A135" s="30">
        <v>1</v>
      </c>
      <c r="B135" s="32"/>
      <c r="C135" s="34" t="s">
        <v>137</v>
      </c>
      <c r="O135" s="30">
        <f>D135*D$1+E135*E$1+F135*F$1+G135*G$1+H135*H$1+I135*I$1+J135*J$1+K135*K$1+L135*L$1+M135*M$1+N135*N$1</f>
        <v>0</v>
      </c>
      <c r="P135" s="30" t="str">
        <f>DEC2HEX(O135,4)</f>
        <v>0000</v>
      </c>
      <c r="Q135" s="35" t="str">
        <f>CONCATENATE("0x",P135,",0x",P136,",0x",P137,",0x",P138,",0x",P139,",0x",P140,",0x",P141,",0x",P142,",0x",P143,",0x",P144,",0x",P145,",0x",P146,",0x",P147,",0x",P148,",0x",P149,",0x",P150,",0x",P151,",0x",P152,", //",C135)</f>
        <v>0x0000,0x7F80,0x7F80,0x0C00,0x0C00,0x0C00,0x0C00,0x0C00,0x0C00,0x0C00,0x0C00,0x0C00,0x0C00,0x0C00,0x0C00,0x0000,0x0000,0x0000, //T</v>
      </c>
    </row>
    <row r="136" spans="1:17" ht="9.75" customHeight="1" x14ac:dyDescent="0.2">
      <c r="A136" s="30">
        <v>2</v>
      </c>
      <c r="B136" s="35"/>
      <c r="C136" s="35"/>
      <c r="E136" s="30">
        <v>1</v>
      </c>
      <c r="F136" s="30">
        <v>1</v>
      </c>
      <c r="G136" s="30">
        <v>1</v>
      </c>
      <c r="H136" s="30">
        <v>1</v>
      </c>
      <c r="I136" s="30">
        <v>1</v>
      </c>
      <c r="J136" s="30">
        <v>1</v>
      </c>
      <c r="K136" s="30">
        <v>1</v>
      </c>
      <c r="L136" s="30">
        <v>1</v>
      </c>
      <c r="O136" s="30">
        <f t="shared" ref="O136:O152" si="16">D136*D$1+E136*E$1+F136*F$1+G136*G$1+H136*H$1+I136*I$1+J136*J$1+K136*K$1+L136*L$1+M136*M$1+N136*N$1</f>
        <v>32640</v>
      </c>
      <c r="P136" s="30" t="str">
        <f t="shared" ref="P136:P152" si="17">DEC2HEX(O136,4)</f>
        <v>7F80</v>
      </c>
      <c r="Q136" s="35"/>
    </row>
    <row r="137" spans="1:17" ht="9.75" customHeight="1" x14ac:dyDescent="0.2">
      <c r="A137" s="30">
        <v>3</v>
      </c>
      <c r="B137" s="35"/>
      <c r="C137" s="35"/>
      <c r="E137" s="30">
        <v>1</v>
      </c>
      <c r="F137" s="30">
        <v>1</v>
      </c>
      <c r="G137" s="30">
        <v>1</v>
      </c>
      <c r="H137" s="30">
        <v>1</v>
      </c>
      <c r="I137" s="30">
        <v>1</v>
      </c>
      <c r="J137" s="30">
        <v>1</v>
      </c>
      <c r="K137" s="30">
        <v>1</v>
      </c>
      <c r="L137" s="30">
        <v>1</v>
      </c>
      <c r="O137" s="30">
        <f t="shared" si="16"/>
        <v>32640</v>
      </c>
      <c r="P137" s="30" t="str">
        <f t="shared" si="17"/>
        <v>7F80</v>
      </c>
      <c r="Q137" s="35"/>
    </row>
    <row r="138" spans="1:17" ht="9.75" customHeight="1" x14ac:dyDescent="0.2">
      <c r="A138" s="30">
        <v>4</v>
      </c>
      <c r="B138" s="35"/>
      <c r="C138" s="35"/>
      <c r="H138" s="30">
        <v>1</v>
      </c>
      <c r="I138" s="30">
        <v>1</v>
      </c>
      <c r="O138" s="30">
        <f t="shared" si="16"/>
        <v>3072</v>
      </c>
      <c r="P138" s="30" t="str">
        <f t="shared" si="17"/>
        <v>0C00</v>
      </c>
      <c r="Q138" s="35"/>
    </row>
    <row r="139" spans="1:17" ht="9.75" customHeight="1" x14ac:dyDescent="0.2">
      <c r="A139" s="30">
        <v>5</v>
      </c>
      <c r="B139" s="35"/>
      <c r="C139" s="35"/>
      <c r="H139" s="30">
        <v>1</v>
      </c>
      <c r="I139" s="30">
        <v>1</v>
      </c>
      <c r="O139" s="30">
        <f t="shared" si="16"/>
        <v>3072</v>
      </c>
      <c r="P139" s="30" t="str">
        <f t="shared" si="17"/>
        <v>0C00</v>
      </c>
      <c r="Q139" s="35"/>
    </row>
    <row r="140" spans="1:17" ht="9.75" customHeight="1" x14ac:dyDescent="0.2">
      <c r="A140" s="30">
        <v>6</v>
      </c>
      <c r="B140" s="35"/>
      <c r="C140" s="35"/>
      <c r="H140" s="30">
        <v>1</v>
      </c>
      <c r="I140" s="30">
        <v>1</v>
      </c>
      <c r="O140" s="30">
        <f t="shared" si="16"/>
        <v>3072</v>
      </c>
      <c r="P140" s="30" t="str">
        <f t="shared" si="17"/>
        <v>0C00</v>
      </c>
      <c r="Q140" s="35"/>
    </row>
    <row r="141" spans="1:17" ht="9.75" customHeight="1" x14ac:dyDescent="0.2">
      <c r="A141" s="30">
        <v>7</v>
      </c>
      <c r="B141" s="35"/>
      <c r="C141" s="35"/>
      <c r="H141" s="30">
        <v>1</v>
      </c>
      <c r="I141" s="30">
        <v>1</v>
      </c>
      <c r="O141" s="30">
        <f t="shared" si="16"/>
        <v>3072</v>
      </c>
      <c r="P141" s="30" t="str">
        <f t="shared" si="17"/>
        <v>0C00</v>
      </c>
      <c r="Q141" s="35"/>
    </row>
    <row r="142" spans="1:17" ht="9.75" customHeight="1" x14ac:dyDescent="0.2">
      <c r="A142" s="30">
        <v>8</v>
      </c>
      <c r="B142" s="35"/>
      <c r="C142" s="35"/>
      <c r="H142" s="30">
        <v>1</v>
      </c>
      <c r="I142" s="30">
        <v>1</v>
      </c>
      <c r="O142" s="30">
        <f t="shared" si="16"/>
        <v>3072</v>
      </c>
      <c r="P142" s="30" t="str">
        <f t="shared" si="17"/>
        <v>0C00</v>
      </c>
      <c r="Q142" s="35"/>
    </row>
    <row r="143" spans="1:17" ht="9.75" customHeight="1" x14ac:dyDescent="0.2">
      <c r="A143" s="30">
        <v>9</v>
      </c>
      <c r="B143" s="35"/>
      <c r="C143" s="35"/>
      <c r="H143" s="30">
        <v>1</v>
      </c>
      <c r="I143" s="30">
        <v>1</v>
      </c>
      <c r="O143" s="30">
        <f t="shared" si="16"/>
        <v>3072</v>
      </c>
      <c r="P143" s="30" t="str">
        <f t="shared" si="17"/>
        <v>0C00</v>
      </c>
      <c r="Q143" s="35"/>
    </row>
    <row r="144" spans="1:17" ht="9.75" customHeight="1" x14ac:dyDescent="0.2">
      <c r="A144" s="30">
        <v>10</v>
      </c>
      <c r="B144" s="35"/>
      <c r="C144" s="35"/>
      <c r="H144" s="30">
        <v>1</v>
      </c>
      <c r="I144" s="30">
        <v>1</v>
      </c>
      <c r="O144" s="30">
        <f t="shared" si="16"/>
        <v>3072</v>
      </c>
      <c r="P144" s="30" t="str">
        <f t="shared" si="17"/>
        <v>0C00</v>
      </c>
      <c r="Q144" s="35"/>
    </row>
    <row r="145" spans="1:17" ht="9.75" customHeight="1" x14ac:dyDescent="0.2">
      <c r="A145" s="30">
        <v>11</v>
      </c>
      <c r="B145" s="35"/>
      <c r="C145" s="35"/>
      <c r="H145" s="30">
        <v>1</v>
      </c>
      <c r="I145" s="30">
        <v>1</v>
      </c>
      <c r="O145" s="30">
        <f t="shared" si="16"/>
        <v>3072</v>
      </c>
      <c r="P145" s="30" t="str">
        <f t="shared" si="17"/>
        <v>0C00</v>
      </c>
      <c r="Q145" s="35"/>
    </row>
    <row r="146" spans="1:17" ht="9.75" customHeight="1" x14ac:dyDescent="0.2">
      <c r="A146" s="30">
        <v>12</v>
      </c>
      <c r="B146" s="35"/>
      <c r="C146" s="35"/>
      <c r="H146" s="30">
        <v>1</v>
      </c>
      <c r="I146" s="30">
        <v>1</v>
      </c>
      <c r="O146" s="30">
        <f t="shared" si="16"/>
        <v>3072</v>
      </c>
      <c r="P146" s="30" t="str">
        <f t="shared" si="17"/>
        <v>0C00</v>
      </c>
      <c r="Q146" s="35"/>
    </row>
    <row r="147" spans="1:17" ht="9.75" customHeight="1" x14ac:dyDescent="0.2">
      <c r="A147" s="30">
        <v>13</v>
      </c>
      <c r="B147" s="35"/>
      <c r="C147" s="35"/>
      <c r="H147" s="30">
        <v>1</v>
      </c>
      <c r="I147" s="30">
        <v>1</v>
      </c>
      <c r="O147" s="30">
        <f t="shared" si="16"/>
        <v>3072</v>
      </c>
      <c r="P147" s="30" t="str">
        <f t="shared" si="17"/>
        <v>0C00</v>
      </c>
      <c r="Q147" s="35"/>
    </row>
    <row r="148" spans="1:17" ht="9.75" customHeight="1" x14ac:dyDescent="0.2">
      <c r="A148" s="30">
        <v>14</v>
      </c>
      <c r="B148" s="35"/>
      <c r="C148" s="35"/>
      <c r="H148" s="30">
        <v>1</v>
      </c>
      <c r="I148" s="30">
        <v>1</v>
      </c>
      <c r="O148" s="30">
        <f t="shared" si="16"/>
        <v>3072</v>
      </c>
      <c r="P148" s="30" t="str">
        <f t="shared" si="17"/>
        <v>0C00</v>
      </c>
      <c r="Q148" s="35"/>
    </row>
    <row r="149" spans="1:17" ht="9.75" customHeight="1" x14ac:dyDescent="0.2">
      <c r="A149" s="30">
        <v>15</v>
      </c>
      <c r="B149" s="35"/>
      <c r="C149" s="35"/>
      <c r="H149" s="30">
        <v>1</v>
      </c>
      <c r="I149" s="30">
        <v>1</v>
      </c>
      <c r="O149" s="30">
        <f t="shared" si="16"/>
        <v>3072</v>
      </c>
      <c r="P149" s="30" t="str">
        <f t="shared" si="17"/>
        <v>0C00</v>
      </c>
    </row>
    <row r="150" spans="1:17" ht="9.75" customHeight="1" x14ac:dyDescent="0.2">
      <c r="A150" s="30">
        <v>16</v>
      </c>
      <c r="B150" s="35"/>
      <c r="C150" s="35"/>
      <c r="O150" s="30">
        <f t="shared" si="16"/>
        <v>0</v>
      </c>
      <c r="P150" s="30" t="str">
        <f t="shared" si="17"/>
        <v>0000</v>
      </c>
    </row>
    <row r="151" spans="1:17" ht="9.75" customHeight="1" x14ac:dyDescent="0.2">
      <c r="A151" s="30">
        <v>17</v>
      </c>
      <c r="B151" s="35"/>
      <c r="C151" s="35"/>
      <c r="O151" s="30">
        <f t="shared" si="16"/>
        <v>0</v>
      </c>
      <c r="P151" s="30" t="str">
        <f t="shared" si="17"/>
        <v>0000</v>
      </c>
    </row>
    <row r="152" spans="1:17" ht="9.75" customHeight="1" x14ac:dyDescent="0.2">
      <c r="A152" s="30">
        <v>18</v>
      </c>
      <c r="B152" s="35"/>
      <c r="C152" s="35"/>
      <c r="O152" s="30">
        <f t="shared" si="16"/>
        <v>0</v>
      </c>
      <c r="P152" s="30" t="str">
        <f t="shared" si="17"/>
        <v>0000</v>
      </c>
    </row>
  </sheetData>
  <mergeCells count="32">
    <mergeCell ref="B2:B19"/>
    <mergeCell ref="C2:C19"/>
    <mergeCell ref="Q9:Q15"/>
    <mergeCell ref="Q2:Q8"/>
    <mergeCell ref="B135:B152"/>
    <mergeCell ref="C135:C152"/>
    <mergeCell ref="B40:B57"/>
    <mergeCell ref="C40:C57"/>
    <mergeCell ref="B21:B38"/>
    <mergeCell ref="C21:C38"/>
    <mergeCell ref="Q116:Q122"/>
    <mergeCell ref="Q123:Q129"/>
    <mergeCell ref="B97:B114"/>
    <mergeCell ref="C97:C114"/>
    <mergeCell ref="Q97:Q103"/>
    <mergeCell ref="Q104:Q110"/>
    <mergeCell ref="Q135:Q141"/>
    <mergeCell ref="Q142:Q148"/>
    <mergeCell ref="Q21:Q27"/>
    <mergeCell ref="Q28:Q34"/>
    <mergeCell ref="B78:B95"/>
    <mergeCell ref="C78:C95"/>
    <mergeCell ref="Q78:Q84"/>
    <mergeCell ref="Q85:Q91"/>
    <mergeCell ref="B59:B76"/>
    <mergeCell ref="C59:C76"/>
    <mergeCell ref="Q59:Q65"/>
    <mergeCell ref="Q66:Q72"/>
    <mergeCell ref="Q40:Q46"/>
    <mergeCell ref="Q47:Q53"/>
    <mergeCell ref="B116:B133"/>
    <mergeCell ref="C116:C133"/>
  </mergeCells>
  <conditionalFormatting sqref="D17:H17">
    <cfRule type="expression" dxfId="192" priority="206">
      <formula>D17=1</formula>
    </cfRule>
  </conditionalFormatting>
  <conditionalFormatting sqref="D9:H16">
    <cfRule type="expression" dxfId="191" priority="199">
      <formula>D9=1</formula>
    </cfRule>
  </conditionalFormatting>
  <conditionalFormatting sqref="I17:J17 N17">
    <cfRule type="expression" dxfId="190" priority="118">
      <formula>I17=1</formula>
    </cfRule>
  </conditionalFormatting>
  <conditionalFormatting sqref="I9:J16 N9:N16">
    <cfRule type="expression" dxfId="189" priority="117">
      <formula>I9=1</formula>
    </cfRule>
  </conditionalFormatting>
  <conditionalFormatting sqref="D2:H8">
    <cfRule type="expression" dxfId="188" priority="116">
      <formula>D2=1</formula>
    </cfRule>
  </conditionalFormatting>
  <conditionalFormatting sqref="I2:J8 N2:N8">
    <cfRule type="expression" dxfId="187" priority="115">
      <formula>I2=1</formula>
    </cfRule>
  </conditionalFormatting>
  <conditionalFormatting sqref="M17">
    <cfRule type="expression" dxfId="186" priority="114">
      <formula>M17=1</formula>
    </cfRule>
  </conditionalFormatting>
  <conditionalFormatting sqref="M9:M16">
    <cfRule type="expression" dxfId="185" priority="113">
      <formula>M9=1</formula>
    </cfRule>
  </conditionalFormatting>
  <conditionalFormatting sqref="M2:M8">
    <cfRule type="expression" dxfId="184" priority="112">
      <formula>M2=1</formula>
    </cfRule>
  </conditionalFormatting>
  <conditionalFormatting sqref="L17">
    <cfRule type="expression" dxfId="183" priority="111">
      <formula>L17=1</formula>
    </cfRule>
  </conditionalFormatting>
  <conditionalFormatting sqref="L9:L16">
    <cfRule type="expression" dxfId="182" priority="110">
      <formula>L9=1</formula>
    </cfRule>
  </conditionalFormatting>
  <conditionalFormatting sqref="L2:L8">
    <cfRule type="expression" dxfId="181" priority="109">
      <formula>L2=1</formula>
    </cfRule>
  </conditionalFormatting>
  <conditionalFormatting sqref="K17">
    <cfRule type="expression" dxfId="180" priority="108">
      <formula>K17=1</formula>
    </cfRule>
  </conditionalFormatting>
  <conditionalFormatting sqref="K9:K16">
    <cfRule type="expression" dxfId="179" priority="107">
      <formula>K9=1</formula>
    </cfRule>
  </conditionalFormatting>
  <conditionalFormatting sqref="K2:K8">
    <cfRule type="expression" dxfId="178" priority="106">
      <formula>K2=1</formula>
    </cfRule>
  </conditionalFormatting>
  <conditionalFormatting sqref="D55:H55">
    <cfRule type="expression" dxfId="177" priority="105">
      <formula>D55=1</formula>
    </cfRule>
  </conditionalFormatting>
  <conditionalFormatting sqref="D47:H54">
    <cfRule type="expression" dxfId="176" priority="104">
      <formula>D47=1</formula>
    </cfRule>
  </conditionalFormatting>
  <conditionalFormatting sqref="I55:J55 N55">
    <cfRule type="expression" dxfId="175" priority="103">
      <formula>I55=1</formula>
    </cfRule>
  </conditionalFormatting>
  <conditionalFormatting sqref="I47:J54 N47:N54">
    <cfRule type="expression" dxfId="174" priority="102">
      <formula>I47=1</formula>
    </cfRule>
  </conditionalFormatting>
  <conditionalFormatting sqref="D40:H46">
    <cfRule type="expression" dxfId="173" priority="101">
      <formula>D40=1</formula>
    </cfRule>
  </conditionalFormatting>
  <conditionalFormatting sqref="I40:J46 N40:N46">
    <cfRule type="expression" dxfId="172" priority="100">
      <formula>I40=1</formula>
    </cfRule>
  </conditionalFormatting>
  <conditionalFormatting sqref="M55">
    <cfRule type="expression" dxfId="171" priority="99">
      <formula>M55=1</formula>
    </cfRule>
  </conditionalFormatting>
  <conditionalFormatting sqref="M47:M54">
    <cfRule type="expression" dxfId="170" priority="98">
      <formula>M47=1</formula>
    </cfRule>
  </conditionalFormatting>
  <conditionalFormatting sqref="M40:M46">
    <cfRule type="expression" dxfId="169" priority="97">
      <formula>M40=1</formula>
    </cfRule>
  </conditionalFormatting>
  <conditionalFormatting sqref="L55">
    <cfRule type="expression" dxfId="168" priority="96">
      <formula>L55=1</formula>
    </cfRule>
  </conditionalFormatting>
  <conditionalFormatting sqref="L47:L54">
    <cfRule type="expression" dxfId="167" priority="95">
      <formula>L47=1</formula>
    </cfRule>
  </conditionalFormatting>
  <conditionalFormatting sqref="L40:L46">
    <cfRule type="expression" dxfId="166" priority="94">
      <formula>L40=1</formula>
    </cfRule>
  </conditionalFormatting>
  <conditionalFormatting sqref="K55">
    <cfRule type="expression" dxfId="165" priority="93">
      <formula>K55=1</formula>
    </cfRule>
  </conditionalFormatting>
  <conditionalFormatting sqref="K47:K54">
    <cfRule type="expression" dxfId="164" priority="92">
      <formula>K47=1</formula>
    </cfRule>
  </conditionalFormatting>
  <conditionalFormatting sqref="K40:K46">
    <cfRule type="expression" dxfId="163" priority="91">
      <formula>K40=1</formula>
    </cfRule>
  </conditionalFormatting>
  <conditionalFormatting sqref="D131:H131">
    <cfRule type="expression" dxfId="162" priority="90">
      <formula>D131=1</formula>
    </cfRule>
  </conditionalFormatting>
  <conditionalFormatting sqref="D123:H130">
    <cfRule type="expression" dxfId="161" priority="89">
      <formula>D123=1</formula>
    </cfRule>
  </conditionalFormatting>
  <conditionalFormatting sqref="I131:J131 N131">
    <cfRule type="expression" dxfId="160" priority="88">
      <formula>I131=1</formula>
    </cfRule>
  </conditionalFormatting>
  <conditionalFormatting sqref="I123:J130 N123:N130">
    <cfRule type="expression" dxfId="159" priority="87">
      <formula>I123=1</formula>
    </cfRule>
  </conditionalFormatting>
  <conditionalFormatting sqref="D116:H122">
    <cfRule type="expression" dxfId="158" priority="86">
      <formula>D116=1</formula>
    </cfRule>
  </conditionalFormatting>
  <conditionalFormatting sqref="I116:J122 N116:N122">
    <cfRule type="expression" dxfId="157" priority="85">
      <formula>I116=1</formula>
    </cfRule>
  </conditionalFormatting>
  <conditionalFormatting sqref="M131">
    <cfRule type="expression" dxfId="156" priority="84">
      <formula>M131=1</formula>
    </cfRule>
  </conditionalFormatting>
  <conditionalFormatting sqref="M123:M130">
    <cfRule type="expression" dxfId="155" priority="83">
      <formula>M123=1</formula>
    </cfRule>
  </conditionalFormatting>
  <conditionalFormatting sqref="M116:M122">
    <cfRule type="expression" dxfId="154" priority="82">
      <formula>M116=1</formula>
    </cfRule>
  </conditionalFormatting>
  <conditionalFormatting sqref="L131">
    <cfRule type="expression" dxfId="153" priority="81">
      <formula>L131=1</formula>
    </cfRule>
  </conditionalFormatting>
  <conditionalFormatting sqref="L123:L130">
    <cfRule type="expression" dxfId="152" priority="80">
      <formula>L123=1</formula>
    </cfRule>
  </conditionalFormatting>
  <conditionalFormatting sqref="L116:L122">
    <cfRule type="expression" dxfId="151" priority="79">
      <formula>L116=1</formula>
    </cfRule>
  </conditionalFormatting>
  <conditionalFormatting sqref="K131">
    <cfRule type="expression" dxfId="150" priority="78">
      <formula>K131=1</formula>
    </cfRule>
  </conditionalFormatting>
  <conditionalFormatting sqref="K123:K130">
    <cfRule type="expression" dxfId="149" priority="77">
      <formula>K123=1</formula>
    </cfRule>
  </conditionalFormatting>
  <conditionalFormatting sqref="K116:K122">
    <cfRule type="expression" dxfId="148" priority="76">
      <formula>K116=1</formula>
    </cfRule>
  </conditionalFormatting>
  <conditionalFormatting sqref="D36:H36">
    <cfRule type="expression" dxfId="147" priority="75">
      <formula>D36=1</formula>
    </cfRule>
  </conditionalFormatting>
  <conditionalFormatting sqref="D28:H35">
    <cfRule type="expression" dxfId="146" priority="74">
      <formula>D28=1</formula>
    </cfRule>
  </conditionalFormatting>
  <conditionalFormatting sqref="I36:J36 N36">
    <cfRule type="expression" dxfId="145" priority="73">
      <formula>I36=1</formula>
    </cfRule>
  </conditionalFormatting>
  <conditionalFormatting sqref="I28:J35 N28:N35">
    <cfRule type="expression" dxfId="144" priority="72">
      <formula>I28=1</formula>
    </cfRule>
  </conditionalFormatting>
  <conditionalFormatting sqref="D21:H27">
    <cfRule type="expression" dxfId="143" priority="71">
      <formula>D21=1</formula>
    </cfRule>
  </conditionalFormatting>
  <conditionalFormatting sqref="I21:J27 N21:N27">
    <cfRule type="expression" dxfId="142" priority="70">
      <formula>I21=1</formula>
    </cfRule>
  </conditionalFormatting>
  <conditionalFormatting sqref="M36">
    <cfRule type="expression" dxfId="141" priority="69">
      <formula>M36=1</formula>
    </cfRule>
  </conditionalFormatting>
  <conditionalFormatting sqref="M28:M35">
    <cfRule type="expression" dxfId="140" priority="68">
      <formula>M28=1</formula>
    </cfRule>
  </conditionalFormatting>
  <conditionalFormatting sqref="M21:M27">
    <cfRule type="expression" dxfId="139" priority="67">
      <formula>M21=1</formula>
    </cfRule>
  </conditionalFormatting>
  <conditionalFormatting sqref="L36">
    <cfRule type="expression" dxfId="138" priority="66">
      <formula>L36=1</formula>
    </cfRule>
  </conditionalFormatting>
  <conditionalFormatting sqref="L28:L35">
    <cfRule type="expression" dxfId="137" priority="65">
      <formula>L28=1</formula>
    </cfRule>
  </conditionalFormatting>
  <conditionalFormatting sqref="L21:L27">
    <cfRule type="expression" dxfId="136" priority="64">
      <formula>L21=1</formula>
    </cfRule>
  </conditionalFormatting>
  <conditionalFormatting sqref="K36">
    <cfRule type="expression" dxfId="135" priority="63">
      <formula>K36=1</formula>
    </cfRule>
  </conditionalFormatting>
  <conditionalFormatting sqref="K28:K35">
    <cfRule type="expression" dxfId="134" priority="62">
      <formula>K28=1</formula>
    </cfRule>
  </conditionalFormatting>
  <conditionalFormatting sqref="K21:K27">
    <cfRule type="expression" dxfId="133" priority="61">
      <formula>K21=1</formula>
    </cfRule>
  </conditionalFormatting>
  <conditionalFormatting sqref="D93:H93">
    <cfRule type="expression" dxfId="132" priority="60">
      <formula>D93=1</formula>
    </cfRule>
  </conditionalFormatting>
  <conditionalFormatting sqref="D85:H92">
    <cfRule type="expression" dxfId="131" priority="59">
      <formula>D85=1</formula>
    </cfRule>
  </conditionalFormatting>
  <conditionalFormatting sqref="I93:J93 N93">
    <cfRule type="expression" dxfId="130" priority="58">
      <formula>I93=1</formula>
    </cfRule>
  </conditionalFormatting>
  <conditionalFormatting sqref="I85:J92 N85:N92">
    <cfRule type="expression" dxfId="129" priority="57">
      <formula>I85=1</formula>
    </cfRule>
  </conditionalFormatting>
  <conditionalFormatting sqref="D78:H84">
    <cfRule type="expression" dxfId="128" priority="56">
      <formula>D78=1</formula>
    </cfRule>
  </conditionalFormatting>
  <conditionalFormatting sqref="I78:J84 N78:N84">
    <cfRule type="expression" dxfId="127" priority="55">
      <formula>I78=1</formula>
    </cfRule>
  </conditionalFormatting>
  <conditionalFormatting sqref="M93">
    <cfRule type="expression" dxfId="126" priority="54">
      <formula>M93=1</formula>
    </cfRule>
  </conditionalFormatting>
  <conditionalFormatting sqref="M85:M92">
    <cfRule type="expression" dxfId="125" priority="53">
      <formula>M85=1</formula>
    </cfRule>
  </conditionalFormatting>
  <conditionalFormatting sqref="M78:M84">
    <cfRule type="expression" dxfId="124" priority="52">
      <formula>M78=1</formula>
    </cfRule>
  </conditionalFormatting>
  <conditionalFormatting sqref="L93">
    <cfRule type="expression" dxfId="123" priority="51">
      <formula>L93=1</formula>
    </cfRule>
  </conditionalFormatting>
  <conditionalFormatting sqref="L85:L92">
    <cfRule type="expression" dxfId="122" priority="50">
      <formula>L85=1</formula>
    </cfRule>
  </conditionalFormatting>
  <conditionalFormatting sqref="L78:L84">
    <cfRule type="expression" dxfId="121" priority="49">
      <formula>L78=1</formula>
    </cfRule>
  </conditionalFormatting>
  <conditionalFormatting sqref="K93">
    <cfRule type="expression" dxfId="120" priority="48">
      <formula>K93=1</formula>
    </cfRule>
  </conditionalFormatting>
  <conditionalFormatting sqref="K85:K92">
    <cfRule type="expression" dxfId="119" priority="47">
      <formula>K85=1</formula>
    </cfRule>
  </conditionalFormatting>
  <conditionalFormatting sqref="K78:K84">
    <cfRule type="expression" dxfId="118" priority="46">
      <formula>K78=1</formula>
    </cfRule>
  </conditionalFormatting>
  <conditionalFormatting sqref="D112:H112">
    <cfRule type="expression" dxfId="117" priority="45">
      <formula>D112=1</formula>
    </cfRule>
  </conditionalFormatting>
  <conditionalFormatting sqref="D104:H111">
    <cfRule type="expression" dxfId="116" priority="44">
      <formula>D104=1</formula>
    </cfRule>
  </conditionalFormatting>
  <conditionalFormatting sqref="I112:J112 N112">
    <cfRule type="expression" dxfId="115" priority="43">
      <formula>I112=1</formula>
    </cfRule>
  </conditionalFormatting>
  <conditionalFormatting sqref="I104:J111 N104:N111">
    <cfRule type="expression" dxfId="114" priority="42">
      <formula>I104=1</formula>
    </cfRule>
  </conditionalFormatting>
  <conditionalFormatting sqref="D97:H103">
    <cfRule type="expression" dxfId="113" priority="41">
      <formula>D97=1</formula>
    </cfRule>
  </conditionalFormatting>
  <conditionalFormatting sqref="I97:J103 N97:N103">
    <cfRule type="expression" dxfId="112" priority="40">
      <formula>I97=1</formula>
    </cfRule>
  </conditionalFormatting>
  <conditionalFormatting sqref="M112">
    <cfRule type="expression" dxfId="111" priority="39">
      <formula>M112=1</formula>
    </cfRule>
  </conditionalFormatting>
  <conditionalFormatting sqref="M104:M111">
    <cfRule type="expression" dxfId="110" priority="38">
      <formula>M104=1</formula>
    </cfRule>
  </conditionalFormatting>
  <conditionalFormatting sqref="M97:M103">
    <cfRule type="expression" dxfId="109" priority="37">
      <formula>M97=1</formula>
    </cfRule>
  </conditionalFormatting>
  <conditionalFormatting sqref="L112">
    <cfRule type="expression" dxfId="108" priority="36">
      <formula>L112=1</formula>
    </cfRule>
  </conditionalFormatting>
  <conditionalFormatting sqref="L104:L111">
    <cfRule type="expression" dxfId="107" priority="35">
      <formula>L104=1</formula>
    </cfRule>
  </conditionalFormatting>
  <conditionalFormatting sqref="L97:L103">
    <cfRule type="expression" dxfId="106" priority="34">
      <formula>L97=1</formula>
    </cfRule>
  </conditionalFormatting>
  <conditionalFormatting sqref="K112">
    <cfRule type="expression" dxfId="105" priority="33">
      <formula>K112=1</formula>
    </cfRule>
  </conditionalFormatting>
  <conditionalFormatting sqref="K104:K111">
    <cfRule type="expression" dxfId="104" priority="32">
      <formula>K104=1</formula>
    </cfRule>
  </conditionalFormatting>
  <conditionalFormatting sqref="K97:K103">
    <cfRule type="expression" dxfId="103" priority="31">
      <formula>K97=1</formula>
    </cfRule>
  </conditionalFormatting>
  <conditionalFormatting sqref="D74:H74">
    <cfRule type="expression" dxfId="102" priority="30">
      <formula>D74=1</formula>
    </cfRule>
  </conditionalFormatting>
  <conditionalFormatting sqref="D66:H73">
    <cfRule type="expression" dxfId="101" priority="29">
      <formula>D66=1</formula>
    </cfRule>
  </conditionalFormatting>
  <conditionalFormatting sqref="I74:J74 N74">
    <cfRule type="expression" dxfId="100" priority="28">
      <formula>I74=1</formula>
    </cfRule>
  </conditionalFormatting>
  <conditionalFormatting sqref="I66:J73 N66:N73">
    <cfRule type="expression" dxfId="99" priority="27">
      <formula>I66=1</formula>
    </cfRule>
  </conditionalFormatting>
  <conditionalFormatting sqref="D59:H65">
    <cfRule type="expression" dxfId="98" priority="26">
      <formula>D59=1</formula>
    </cfRule>
  </conditionalFormatting>
  <conditionalFormatting sqref="I59:J65 N59:N65">
    <cfRule type="expression" dxfId="97" priority="25">
      <formula>I59=1</formula>
    </cfRule>
  </conditionalFormatting>
  <conditionalFormatting sqref="M74">
    <cfRule type="expression" dxfId="96" priority="24">
      <formula>M74=1</formula>
    </cfRule>
  </conditionalFormatting>
  <conditionalFormatting sqref="M66:M73">
    <cfRule type="expression" dxfId="95" priority="23">
      <formula>M66=1</formula>
    </cfRule>
  </conditionalFormatting>
  <conditionalFormatting sqref="M59:M65">
    <cfRule type="expression" dxfId="94" priority="22">
      <formula>M59=1</formula>
    </cfRule>
  </conditionalFormatting>
  <conditionalFormatting sqref="L74">
    <cfRule type="expression" dxfId="93" priority="21">
      <formula>L74=1</formula>
    </cfRule>
  </conditionalFormatting>
  <conditionalFormatting sqref="L66:L73">
    <cfRule type="expression" dxfId="92" priority="20">
      <formula>L66=1</formula>
    </cfRule>
  </conditionalFormatting>
  <conditionalFormatting sqref="L59:L65">
    <cfRule type="expression" dxfId="91" priority="19">
      <formula>L59=1</formula>
    </cfRule>
  </conditionalFormatting>
  <conditionalFormatting sqref="K74">
    <cfRule type="expression" dxfId="90" priority="18">
      <formula>K74=1</formula>
    </cfRule>
  </conditionalFormatting>
  <conditionalFormatting sqref="K66:K73">
    <cfRule type="expression" dxfId="89" priority="17">
      <formula>K66=1</formula>
    </cfRule>
  </conditionalFormatting>
  <conditionalFormatting sqref="K59:K65">
    <cfRule type="expression" dxfId="88" priority="16">
      <formula>K59=1</formula>
    </cfRule>
  </conditionalFormatting>
  <conditionalFormatting sqref="D150:H150">
    <cfRule type="expression" dxfId="87" priority="15">
      <formula>D150=1</formula>
    </cfRule>
  </conditionalFormatting>
  <conditionalFormatting sqref="D142:H149">
    <cfRule type="expression" dxfId="86" priority="14">
      <formula>D142=1</formula>
    </cfRule>
  </conditionalFormatting>
  <conditionalFormatting sqref="I150:J150 N150">
    <cfRule type="expression" dxfId="85" priority="13">
      <formula>I150=1</formula>
    </cfRule>
  </conditionalFormatting>
  <conditionalFormatting sqref="I142:J149 N142:N149">
    <cfRule type="expression" dxfId="84" priority="12">
      <formula>I142=1</formula>
    </cfRule>
  </conditionalFormatting>
  <conditionalFormatting sqref="D135:H141">
    <cfRule type="expression" dxfId="83" priority="11">
      <formula>D135=1</formula>
    </cfRule>
  </conditionalFormatting>
  <conditionalFormatting sqref="I135:J141 N135:N141">
    <cfRule type="expression" dxfId="82" priority="10">
      <formula>I135=1</formula>
    </cfRule>
  </conditionalFormatting>
  <conditionalFormatting sqref="M150">
    <cfRule type="expression" dxfId="81" priority="9">
      <formula>M150=1</formula>
    </cfRule>
  </conditionalFormatting>
  <conditionalFormatting sqref="M142:M149">
    <cfRule type="expression" dxfId="80" priority="8">
      <formula>M142=1</formula>
    </cfRule>
  </conditionalFormatting>
  <conditionalFormatting sqref="M135:M141">
    <cfRule type="expression" dxfId="79" priority="7">
      <formula>M135=1</formula>
    </cfRule>
  </conditionalFormatting>
  <conditionalFormatting sqref="L150">
    <cfRule type="expression" dxfId="78" priority="6">
      <formula>L150=1</formula>
    </cfRule>
  </conditionalFormatting>
  <conditionalFormatting sqref="L142:L149">
    <cfRule type="expression" dxfId="77" priority="5">
      <formula>L142=1</formula>
    </cfRule>
  </conditionalFormatting>
  <conditionalFormatting sqref="L135:L141">
    <cfRule type="expression" dxfId="76" priority="4">
      <formula>L135=1</formula>
    </cfRule>
  </conditionalFormatting>
  <conditionalFormatting sqref="K150">
    <cfRule type="expression" dxfId="75" priority="3">
      <formula>K150=1</formula>
    </cfRule>
  </conditionalFormatting>
  <conditionalFormatting sqref="K142:K149">
    <cfRule type="expression" dxfId="74" priority="2">
      <formula>K142=1</formula>
    </cfRule>
  </conditionalFormatting>
  <conditionalFormatting sqref="K135:K141">
    <cfRule type="expression" dxfId="73" priority="1">
      <formula>K135=1</formula>
    </cfRule>
  </conditionalFormatting>
  <pageMargins left="0.7" right="0.7" top="0.75" bottom="0.75" header="0.3" footer="0.3"/>
  <pageSetup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C5F1B-9E58-473D-9ECD-1B363B102E55}">
  <sheetPr codeName="Sheet4"/>
  <dimension ref="A1:EX66"/>
  <sheetViews>
    <sheetView showGridLines="0" zoomScale="55" zoomScaleNormal="55" workbookViewId="0">
      <selection activeCell="BE12" sqref="BE12"/>
    </sheetView>
  </sheetViews>
  <sheetFormatPr defaultRowHeight="12.75" x14ac:dyDescent="0.2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 x14ac:dyDescent="0.2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" si="4">BX1*2</f>
        <v>32768</v>
      </c>
      <c r="BX1" s="2">
        <f t="shared" ref="BX1" si="5">BY1*2</f>
        <v>16384</v>
      </c>
      <c r="BY1" s="2">
        <f t="shared" ref="BY1" si="6">BZ1*2</f>
        <v>8192</v>
      </c>
      <c r="BZ1" s="2">
        <f t="shared" ref="BZ1" si="7">CA1*2</f>
        <v>4096</v>
      </c>
      <c r="CA1" s="2">
        <f t="shared" ref="CA1" si="8">CB1*2</f>
        <v>2048</v>
      </c>
      <c r="CB1" s="2">
        <f t="shared" ref="CB1" si="9">CC1*2</f>
        <v>1024</v>
      </c>
      <c r="CC1" s="2">
        <f t="shared" ref="CC1" si="10">CD1*2</f>
        <v>512</v>
      </c>
      <c r="CD1" s="2">
        <f t="shared" ref="CD1" si="11">CE1*2</f>
        <v>256</v>
      </c>
      <c r="CE1" s="2">
        <f t="shared" ref="CE1" si="12">CF1*2</f>
        <v>128</v>
      </c>
      <c r="CF1" s="2">
        <f t="shared" ref="CF1" si="13">CG1*2</f>
        <v>64</v>
      </c>
      <c r="CG1" s="2">
        <f t="shared" ref="CG1" si="14">CH1*2</f>
        <v>32</v>
      </c>
      <c r="CH1" s="2">
        <f t="shared" ref="CH1" si="15">CI1*2</f>
        <v>16</v>
      </c>
      <c r="CI1" s="2">
        <f t="shared" ref="CI1" si="16">CJ1*2</f>
        <v>8</v>
      </c>
      <c r="CJ1" s="2">
        <f t="shared" ref="CJ1" si="17">CK1*2</f>
        <v>4</v>
      </c>
      <c r="CK1" s="2">
        <f>CL1*2</f>
        <v>2</v>
      </c>
      <c r="CL1" s="2">
        <v>1</v>
      </c>
    </row>
    <row r="2" spans="1:154" ht="17.25" x14ac:dyDescent="0.2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 x14ac:dyDescent="0.2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/>
      <c r="Z3" s="3"/>
      <c r="CM3" t="str">
        <f>CONCATENATE("0x",DEC2HEX(Z3*Z$1+Y3*Y$1+X3*X$1+W3*W$1+V3*V$1+U3*U$1+T3*T$1+S3*S$1+R3*R$1+Q3*Q$1+P3*P$1+O3*O$1+N3*N$1+M3*M$1+L3*L$1+K3*K$1,4))</f>
        <v>0x0000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0x0000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 x14ac:dyDescent="0.2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CM4" t="str">
        <f t="shared" ref="CM4:CM12" si="18">CONCATENATE("0x",DEC2HEX(Z4*Z$1+Y4*Y$1+X4*X$1+W4*W$1+V4*V$1+U4*U$1+T4*T$1+S4*S$1+R4*R$1+Q4*Q$1+P4*P$1+O4*O$1+N4*N$1+M4*M$1+L4*L$1+K4*K$1,4))</f>
        <v>0x0000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12" si="19">CONCATENATE("0x",DEC2HEX(AP4*AP$1+AO4*AO$1+AN4*AN$1+AM4*AM$1+AL4*AL$1+AK4*AK$1+AJ4*AJ$1+AI4*AI$1+AH4*AH$1+AG4*AG$1+AF4*AF$1+AE4*AE$1+AD4*AD$1+AC4*AC$1+AB4*AB$1+AA4*AA$1,4))</f>
        <v>0x0000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12" si="20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12" si="21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 x14ac:dyDescent="0.2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CM5" t="str">
        <f t="shared" si="18"/>
        <v>0x0000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19"/>
        <v>0x0000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20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21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 x14ac:dyDescent="0.2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CM6" t="str">
        <f t="shared" si="18"/>
        <v>0x0000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19"/>
        <v>0x0000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20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21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 x14ac:dyDescent="0.2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CM7" t="str">
        <f t="shared" si="18"/>
        <v>0x0000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19"/>
        <v>0x0000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20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21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 x14ac:dyDescent="0.2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CM8" t="str">
        <f t="shared" si="18"/>
        <v>0x0000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19"/>
        <v>0x0000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20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21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 x14ac:dyDescent="0.2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CM9" t="str">
        <f t="shared" si="18"/>
        <v>0x0000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19"/>
        <v>0x0000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20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21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 x14ac:dyDescent="0.2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CM10" t="str">
        <f t="shared" si="18"/>
        <v>0x0000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19"/>
        <v>0x0000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20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21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 x14ac:dyDescent="0.2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CM11" t="str">
        <f t="shared" si="18"/>
        <v>0x0000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19"/>
        <v>0x0000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20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21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 x14ac:dyDescent="0.2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CM12" t="str">
        <f t="shared" si="18"/>
        <v>0x0000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19"/>
        <v>0x0000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20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21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 x14ac:dyDescent="0.2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CM13" t="str">
        <f t="shared" ref="CM13:CM66" si="22">CONCATENATE("0x",DEC2HEX(Z13*Z$1+Y13*Y$1+X13*X$1+W13*W$1+V13*V$1+U13*U$1+T13*T$1+S13*S$1+R13*R$1+Q13*Q$1+P13*P$1+O13*O$1+N13*N$1+M13*M$1+L13*L$1+K13*K$1,4))</f>
        <v>0x003F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ref="DC13:DC66" si="23">CONCATENATE("0x",DEC2HEX(AP13*AP$1+AO13*AO$1+AN13*AN$1+AM13*AM$1+AL13*AL$1+AK13*AK$1+AJ13*AJ$1+AI13*AI$1+AH13*AH$1+AG13*AG$1+AF13*AF$1+AE13*AE$1+AD13*AD$1+AC13*AC$1+AB13*AB$1+AA13*AA$1,4))</f>
        <v>0xFFE0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ref="DS13:DS66" si="24">CONCATENATE("0x",DEC2HEX(BF13*BF$1+BE13*BE$1+BD13*BD$1+BC13*BC$1+BB13*BB$1+BA13*BA$1+AZ13*AZ$1+AY13*AY$1+AX13*AX$1+AW13*AW$1+AV13*AV$1+AU13*AU$1+AT13*AT$1+AS13*AS$1+AR13*AR$1+AQ13*AQ$1,4))</f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ref="EI13:EI66" si="25">CONCATENATE("0x",DEC2HEX(BV13*BV$1+BU13*BU$1+BT13*BT$1+BS13*BS$1+BR13*BR$1+BQ13*BQ$1+BP13*BP$1+BO13*BO$1+BN13*BN$1+BM13*BM$1+BL13*BL$1+BK13*BK$1+BJ13*BJ$1+BI13*BI$1+BH13*BH$1+BG13*BG$1,4))</f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 x14ac:dyDescent="0.2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CM14" t="str">
        <f t="shared" si="22"/>
        <v>0x003F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23"/>
        <v>0xFFE0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24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25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 x14ac:dyDescent="0.2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CM15" t="str">
        <f t="shared" si="22"/>
        <v>0x003F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23"/>
        <v>0xFFE0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24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25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 x14ac:dyDescent="0.2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CM16" t="str">
        <f t="shared" si="22"/>
        <v>0x003F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0x83E0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24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25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 x14ac:dyDescent="0.2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C17">
        <v>1</v>
      </c>
      <c r="AD17">
        <v>1</v>
      </c>
      <c r="AE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CM17" t="str">
        <f t="shared" si="22"/>
        <v>0x003F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23"/>
        <v>0xBBE0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24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25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 x14ac:dyDescent="0.2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C18">
        <v>1</v>
      </c>
      <c r="AD18">
        <v>1</v>
      </c>
      <c r="AE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CM18" t="str">
        <f t="shared" si="22"/>
        <v>0x003F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23"/>
        <v>0xBBE0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24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25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 x14ac:dyDescent="0.2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C19">
        <v>1</v>
      </c>
      <c r="AD19">
        <v>1</v>
      </c>
      <c r="AE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CM19" t="str">
        <f t="shared" si="22"/>
        <v>0xFFBF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23"/>
        <v>0xBBE0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24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25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 x14ac:dyDescent="0.2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M20">
        <v>1</v>
      </c>
      <c r="O20">
        <v>1</v>
      </c>
      <c r="Q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C20">
        <v>1</v>
      </c>
      <c r="AD20">
        <v>1</v>
      </c>
      <c r="AE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CM20" t="str">
        <f t="shared" si="22"/>
        <v>0xAABF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23"/>
        <v>0xBBE0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24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25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 x14ac:dyDescent="0.2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C21">
        <v>1</v>
      </c>
      <c r="AD21">
        <v>1</v>
      </c>
      <c r="AE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CM21" t="str">
        <f t="shared" si="22"/>
        <v>0xDFFF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23"/>
        <v>0xBBE0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24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25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 x14ac:dyDescent="0.2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M22">
        <v>1</v>
      </c>
      <c r="O22">
        <v>1</v>
      </c>
      <c r="Y22">
        <v>1</v>
      </c>
      <c r="Z22">
        <v>1</v>
      </c>
      <c r="AA22">
        <v>1</v>
      </c>
      <c r="AC22">
        <v>1</v>
      </c>
      <c r="AD22">
        <v>1</v>
      </c>
      <c r="AE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CM22" t="str">
        <f t="shared" ref="CM22:CM46" si="26">CONCATENATE("0x",DEC2HEX(Z22*Z$1+Y22*Y$1+X22*X$1+W22*W$1+V22*V$1+U22*U$1+T22*T$1+S22*S$1+R22*R$1+Q22*Q$1+P22*P$1+O22*O$1+N22*N$1+M22*M$1+L22*L$1+K22*K$1,4))</f>
        <v>0xA803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ref="DC22:DC46" si="27">CONCATENATE("0x",DEC2HEX(AP22*AP$1+AO22*AO$1+AN22*AN$1+AM22*AM$1+AL22*AL$1+AK22*AK$1+AJ22*AJ$1+AI22*AI$1+AH22*AH$1+AG22*AG$1+AF22*AF$1+AE22*AE$1+AD22*AD$1+AC22*AC$1+AB22*AB$1+AA22*AA$1,4))</f>
        <v>0xBBE0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ref="DS22:DS46" si="28">CONCATENATE("0x",DEC2HEX(BF22*BF$1+BE22*BE$1+BD22*BD$1+BC22*BC$1+BB22*BB$1+BA22*BA$1+AZ22*AZ$1+AY22*AY$1+AX22*AX$1+AW22*AW$1+AV22*AV$1+AU22*AU$1+AT22*AT$1+AS22*AS$1+AR22*AR$1+AQ22*AQ$1,4))</f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ref="EI22:EI46" si="29">CONCATENATE("0x",DEC2HEX(BV22*BV$1+BU22*BU$1+BT22*BT$1+BS22*BS$1+BR22*BR$1+BQ22*BQ$1+BP22*BP$1+BO22*BO$1+BN22*BN$1+BM22*BM$1+BL22*BL$1+BK22*BK$1+BJ22*BJ$1+BI22*BI$1+BH22*BH$1+BG22*BG$1,4))</f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 x14ac:dyDescent="0.2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Y23">
        <v>1</v>
      </c>
      <c r="Z23">
        <v>1</v>
      </c>
      <c r="AA23">
        <v>1</v>
      </c>
      <c r="AD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CM23" t="str">
        <f t="shared" si="26"/>
        <v>0xDBFB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27"/>
        <v>0x93E0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28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29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 x14ac:dyDescent="0.2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M24">
        <v>1</v>
      </c>
      <c r="O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Y24">
        <v>1</v>
      </c>
      <c r="Z24">
        <v>1</v>
      </c>
      <c r="AA24">
        <v>1</v>
      </c>
      <c r="AB24">
        <v>1</v>
      </c>
      <c r="AD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CM24" t="str">
        <f t="shared" si="26"/>
        <v>0xABFB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27"/>
        <v>0xD7E0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28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29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 x14ac:dyDescent="0.2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N25">
        <v>1</v>
      </c>
      <c r="O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Y25">
        <v>1</v>
      </c>
      <c r="Z25">
        <v>1</v>
      </c>
      <c r="AA25">
        <v>1</v>
      </c>
      <c r="AB25">
        <v>1</v>
      </c>
      <c r="AD25">
        <v>1</v>
      </c>
      <c r="AF25">
        <v>1</v>
      </c>
      <c r="CM25" t="str">
        <f t="shared" si="26"/>
        <v>0xDBFB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27"/>
        <v>0xD400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28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29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 x14ac:dyDescent="0.2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M26">
        <v>1</v>
      </c>
      <c r="O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Y26">
        <v>1</v>
      </c>
      <c r="Z26">
        <v>1</v>
      </c>
      <c r="AA26">
        <v>1</v>
      </c>
      <c r="AB26">
        <v>1</v>
      </c>
      <c r="AD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CM26" t="str">
        <f t="shared" si="26"/>
        <v>0xABFB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27"/>
        <v>0xD7FF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28"/>
        <v>0xF800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29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 x14ac:dyDescent="0.2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Y27">
        <v>1</v>
      </c>
      <c r="Z27">
        <v>1</v>
      </c>
      <c r="AA27">
        <v>1</v>
      </c>
      <c r="AB27">
        <v>1</v>
      </c>
      <c r="AD27">
        <v>1</v>
      </c>
      <c r="AF27">
        <v>1</v>
      </c>
      <c r="AU27">
        <v>1</v>
      </c>
      <c r="CM27" t="str">
        <f t="shared" si="26"/>
        <v>0xDBFB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27"/>
        <v>0xD400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28"/>
        <v>0x0800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29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 x14ac:dyDescent="0.2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M28">
        <v>1</v>
      </c>
      <c r="O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Y28">
        <v>1</v>
      </c>
      <c r="Z28">
        <v>1</v>
      </c>
      <c r="AA28">
        <v>1</v>
      </c>
      <c r="AB28">
        <v>1</v>
      </c>
      <c r="AD28">
        <v>1</v>
      </c>
      <c r="AF28">
        <v>1</v>
      </c>
      <c r="AG28">
        <v>1</v>
      </c>
      <c r="AU28">
        <v>1</v>
      </c>
      <c r="CM28" t="str">
        <f t="shared" si="26"/>
        <v>0xABFB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27"/>
        <v>0xD600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28"/>
        <v>0x0800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29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 x14ac:dyDescent="0.2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N29">
        <v>1</v>
      </c>
      <c r="O29">
        <v>1</v>
      </c>
      <c r="R29">
        <v>1</v>
      </c>
      <c r="S29">
        <v>1</v>
      </c>
      <c r="T29">
        <v>1</v>
      </c>
      <c r="U29">
        <v>1</v>
      </c>
      <c r="V29">
        <v>1</v>
      </c>
      <c r="Y29">
        <v>1</v>
      </c>
      <c r="Z29">
        <v>1</v>
      </c>
      <c r="AA29">
        <v>1</v>
      </c>
      <c r="AD29">
        <v>1</v>
      </c>
      <c r="AG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U29">
        <v>1</v>
      </c>
      <c r="CM29" t="str">
        <f t="shared" si="26"/>
        <v>0xD9F3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27"/>
        <v>0x927E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28"/>
        <v>0x0800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29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 x14ac:dyDescent="0.2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M30">
        <v>1</v>
      </c>
      <c r="O30">
        <v>1</v>
      </c>
      <c r="P30">
        <v>1</v>
      </c>
      <c r="R30">
        <v>1</v>
      </c>
      <c r="S30">
        <v>1</v>
      </c>
      <c r="T30">
        <v>1</v>
      </c>
      <c r="U30">
        <v>1</v>
      </c>
      <c r="V30">
        <v>1</v>
      </c>
      <c r="X30">
        <v>1</v>
      </c>
      <c r="Y30">
        <v>1</v>
      </c>
      <c r="Z30">
        <v>1</v>
      </c>
      <c r="AA30">
        <v>1</v>
      </c>
      <c r="AC30">
        <v>1</v>
      </c>
      <c r="AD30">
        <v>1</v>
      </c>
      <c r="AE30">
        <v>1</v>
      </c>
      <c r="AG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U30">
        <v>1</v>
      </c>
      <c r="CM30" t="str">
        <f t="shared" si="26"/>
        <v>0xADF7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27"/>
        <v>0xBA7E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28"/>
        <v>0x0800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29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 x14ac:dyDescent="0.2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P31">
        <v>1</v>
      </c>
      <c r="R31">
        <v>1</v>
      </c>
      <c r="S31">
        <v>1</v>
      </c>
      <c r="T31">
        <v>1</v>
      </c>
      <c r="U31">
        <v>1</v>
      </c>
      <c r="V31">
        <v>1</v>
      </c>
      <c r="X31">
        <v>1</v>
      </c>
      <c r="Y31">
        <v>1</v>
      </c>
      <c r="Z31">
        <v>1</v>
      </c>
      <c r="AA31">
        <v>1</v>
      </c>
      <c r="AC31">
        <v>1</v>
      </c>
      <c r="AD31">
        <v>1</v>
      </c>
      <c r="AE31">
        <v>1</v>
      </c>
      <c r="AG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U31">
        <v>1</v>
      </c>
      <c r="CM31" t="str">
        <f t="shared" si="26"/>
        <v>0xD5F7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27"/>
        <v>0xBA7E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28"/>
        <v>0x0800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29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 x14ac:dyDescent="0.2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M32">
        <v>1</v>
      </c>
      <c r="O32">
        <v>1</v>
      </c>
      <c r="P32">
        <v>1</v>
      </c>
      <c r="R32">
        <v>1</v>
      </c>
      <c r="S32">
        <v>1</v>
      </c>
      <c r="T32">
        <v>1</v>
      </c>
      <c r="U32">
        <v>1</v>
      </c>
      <c r="V32">
        <v>1</v>
      </c>
      <c r="X32">
        <v>1</v>
      </c>
      <c r="Y32">
        <v>1</v>
      </c>
      <c r="Z32">
        <v>1</v>
      </c>
      <c r="AA32">
        <v>1</v>
      </c>
      <c r="AC32">
        <v>1</v>
      </c>
      <c r="AD32">
        <v>1</v>
      </c>
      <c r="AE32">
        <v>1</v>
      </c>
      <c r="AG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U32">
        <v>1</v>
      </c>
      <c r="CM32" t="str">
        <f t="shared" si="26"/>
        <v>0xADF7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27"/>
        <v>0xBA7E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28"/>
        <v>0x0800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29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 x14ac:dyDescent="0.2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N33">
        <v>1</v>
      </c>
      <c r="P33">
        <v>1</v>
      </c>
      <c r="R33">
        <v>1</v>
      </c>
      <c r="S33">
        <v>1</v>
      </c>
      <c r="T33">
        <v>1</v>
      </c>
      <c r="U33">
        <v>1</v>
      </c>
      <c r="V33">
        <v>1</v>
      </c>
      <c r="X33">
        <v>1</v>
      </c>
      <c r="Y33">
        <v>1</v>
      </c>
      <c r="Z33">
        <v>1</v>
      </c>
      <c r="AA33">
        <v>1</v>
      </c>
      <c r="AC33">
        <v>1</v>
      </c>
      <c r="AD33">
        <v>1</v>
      </c>
      <c r="AE33">
        <v>1</v>
      </c>
      <c r="AG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U33">
        <v>1</v>
      </c>
      <c r="CM33" t="str">
        <f t="shared" si="26"/>
        <v>0xD5F7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27"/>
        <v>0xBA7E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28"/>
        <v>0x0800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29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 x14ac:dyDescent="0.2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M34">
        <v>1</v>
      </c>
      <c r="O34">
        <v>1</v>
      </c>
      <c r="P34">
        <v>1</v>
      </c>
      <c r="S34">
        <v>1</v>
      </c>
      <c r="T34">
        <v>1</v>
      </c>
      <c r="U34">
        <v>1</v>
      </c>
      <c r="X34">
        <v>1</v>
      </c>
      <c r="Y34">
        <v>1</v>
      </c>
      <c r="Z34">
        <v>1</v>
      </c>
      <c r="AA34">
        <v>1</v>
      </c>
      <c r="AC34">
        <v>1</v>
      </c>
      <c r="AD34">
        <v>1</v>
      </c>
      <c r="AE34">
        <v>1</v>
      </c>
      <c r="AG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U34">
        <v>1</v>
      </c>
      <c r="CM34" t="str">
        <f t="shared" si="26"/>
        <v>0xACE7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27"/>
        <v>0xBA7E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28"/>
        <v>0x0800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29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 x14ac:dyDescent="0.2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P35">
        <v>1</v>
      </c>
      <c r="Q35">
        <v>1</v>
      </c>
      <c r="S35">
        <v>1</v>
      </c>
      <c r="T35">
        <v>1</v>
      </c>
      <c r="U35">
        <v>1</v>
      </c>
      <c r="W35">
        <v>1</v>
      </c>
      <c r="X35">
        <v>1</v>
      </c>
      <c r="Y35">
        <v>1</v>
      </c>
      <c r="Z35">
        <v>1</v>
      </c>
      <c r="AA35">
        <v>1</v>
      </c>
      <c r="AC35">
        <v>1</v>
      </c>
      <c r="AD35">
        <v>1</v>
      </c>
      <c r="AE35">
        <v>1</v>
      </c>
      <c r="AG35">
        <v>1</v>
      </c>
      <c r="AK35">
        <v>1</v>
      </c>
      <c r="AL35">
        <v>1</v>
      </c>
      <c r="AM35">
        <v>1</v>
      </c>
      <c r="AN35">
        <v>1</v>
      </c>
      <c r="AU35">
        <v>1</v>
      </c>
      <c r="CM35" t="str">
        <f t="shared" si="26"/>
        <v>0xD6EF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27"/>
        <v>0xBA3C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28"/>
        <v>0x0800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29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 x14ac:dyDescent="0.2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M36">
        <v>1</v>
      </c>
      <c r="O36">
        <v>1</v>
      </c>
      <c r="Q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K36">
        <v>1</v>
      </c>
      <c r="AL36">
        <v>1</v>
      </c>
      <c r="AM36">
        <v>1</v>
      </c>
      <c r="AN36">
        <v>1</v>
      </c>
      <c r="AU36">
        <v>1</v>
      </c>
      <c r="CM36" t="str">
        <f t="shared" si="26"/>
        <v>0xAAEF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27"/>
        <v>0xBA3C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28"/>
        <v>0x0800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29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 x14ac:dyDescent="0.2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N37">
        <v>1</v>
      </c>
      <c r="P37">
        <v>1</v>
      </c>
      <c r="Q37">
        <v>1</v>
      </c>
      <c r="S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E37">
        <v>1</v>
      </c>
      <c r="AG37">
        <v>1</v>
      </c>
      <c r="AK37">
        <v>1</v>
      </c>
      <c r="AL37">
        <v>1</v>
      </c>
      <c r="AM37">
        <v>1</v>
      </c>
      <c r="AN37">
        <v>1</v>
      </c>
      <c r="AU37">
        <v>1</v>
      </c>
      <c r="CM37" t="str">
        <f t="shared" si="26"/>
        <v>0xD6EF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27"/>
        <v>0xBA3C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28"/>
        <v>0x0800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29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 x14ac:dyDescent="0.2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M38">
        <v>1</v>
      </c>
      <c r="O38">
        <v>1</v>
      </c>
      <c r="Q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D38">
        <v>1</v>
      </c>
      <c r="AE38">
        <v>1</v>
      </c>
      <c r="AG38">
        <v>1</v>
      </c>
      <c r="AK38">
        <v>1</v>
      </c>
      <c r="AL38">
        <v>1</v>
      </c>
      <c r="AM38">
        <v>1</v>
      </c>
      <c r="AN38">
        <v>1</v>
      </c>
      <c r="AU38">
        <v>1</v>
      </c>
      <c r="CM38" t="str">
        <f t="shared" si="26"/>
        <v>0xAAEF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27"/>
        <v>0xBA3C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28"/>
        <v>0x0800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29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 x14ac:dyDescent="0.2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P39">
        <v>1</v>
      </c>
      <c r="Q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E39">
        <v>1</v>
      </c>
      <c r="AG39">
        <v>1</v>
      </c>
      <c r="AK39">
        <v>1</v>
      </c>
      <c r="AL39">
        <v>1</v>
      </c>
      <c r="AM39">
        <v>1</v>
      </c>
      <c r="AN39">
        <v>1</v>
      </c>
      <c r="AU39">
        <v>1</v>
      </c>
      <c r="CM39" t="str">
        <f t="shared" si="26"/>
        <v>0xD6EF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27"/>
        <v>0xBA3C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28"/>
        <v>0x0800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29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 x14ac:dyDescent="0.2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M40">
        <v>1</v>
      </c>
      <c r="O40">
        <v>1</v>
      </c>
      <c r="P40">
        <v>1</v>
      </c>
      <c r="S40">
        <v>1</v>
      </c>
      <c r="T40">
        <v>1</v>
      </c>
      <c r="U40">
        <v>1</v>
      </c>
      <c r="X40">
        <v>1</v>
      </c>
      <c r="Y40">
        <v>1</v>
      </c>
      <c r="Z40">
        <v>1</v>
      </c>
      <c r="AA40">
        <v>1</v>
      </c>
      <c r="AC40">
        <v>1</v>
      </c>
      <c r="AD40">
        <v>1</v>
      </c>
      <c r="AE40">
        <v>1</v>
      </c>
      <c r="AG40">
        <v>1</v>
      </c>
      <c r="AK40">
        <v>1</v>
      </c>
      <c r="AL40">
        <v>1</v>
      </c>
      <c r="AM40">
        <v>1</v>
      </c>
      <c r="AN40">
        <v>1</v>
      </c>
      <c r="AU40">
        <v>1</v>
      </c>
      <c r="CM40" t="str">
        <f t="shared" si="26"/>
        <v>0xACE7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27"/>
        <v>0xBA3C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28"/>
        <v>0x0800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29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 x14ac:dyDescent="0.2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N41">
        <v>1</v>
      </c>
      <c r="P41">
        <v>1</v>
      </c>
      <c r="R41">
        <v>1</v>
      </c>
      <c r="S41">
        <v>1</v>
      </c>
      <c r="T41">
        <v>1</v>
      </c>
      <c r="U41">
        <v>1</v>
      </c>
      <c r="V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E41">
        <v>1</v>
      </c>
      <c r="AG41">
        <v>1</v>
      </c>
      <c r="AK41">
        <v>1</v>
      </c>
      <c r="AL41">
        <v>1</v>
      </c>
      <c r="AM41">
        <v>1</v>
      </c>
      <c r="AN41">
        <v>1</v>
      </c>
      <c r="AU41">
        <v>1</v>
      </c>
      <c r="CM41" t="str">
        <f t="shared" si="26"/>
        <v>0xD5F7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27"/>
        <v>0xBA3C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28"/>
        <v>0x0800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29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 x14ac:dyDescent="0.2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M42">
        <v>1</v>
      </c>
      <c r="O42">
        <v>1</v>
      </c>
      <c r="P42">
        <v>1</v>
      </c>
      <c r="R42">
        <v>1</v>
      </c>
      <c r="S42">
        <v>1</v>
      </c>
      <c r="T42">
        <v>1</v>
      </c>
      <c r="U42">
        <v>1</v>
      </c>
      <c r="V42">
        <v>1</v>
      </c>
      <c r="X42">
        <v>1</v>
      </c>
      <c r="Y42">
        <v>1</v>
      </c>
      <c r="Z42">
        <v>1</v>
      </c>
      <c r="AA42">
        <v>1</v>
      </c>
      <c r="AG42">
        <v>1</v>
      </c>
      <c r="AL42">
        <v>1</v>
      </c>
      <c r="AM42">
        <v>1</v>
      </c>
      <c r="AU42">
        <v>1</v>
      </c>
      <c r="CM42" t="str">
        <f t="shared" si="26"/>
        <v>0xADF7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27"/>
        <v>0x8218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28"/>
        <v>0x0800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29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 x14ac:dyDescent="0.2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P43">
        <v>1</v>
      </c>
      <c r="R43">
        <v>1</v>
      </c>
      <c r="S43">
        <v>1</v>
      </c>
      <c r="T43">
        <v>1</v>
      </c>
      <c r="U43">
        <v>1</v>
      </c>
      <c r="V43">
        <v>1</v>
      </c>
      <c r="X43">
        <v>1</v>
      </c>
      <c r="Y43">
        <v>1</v>
      </c>
      <c r="Z43">
        <v>1</v>
      </c>
      <c r="AA43">
        <v>1</v>
      </c>
      <c r="AB43">
        <v>1</v>
      </c>
      <c r="AD43">
        <v>1</v>
      </c>
      <c r="AE43">
        <v>1</v>
      </c>
      <c r="AF43">
        <v>1</v>
      </c>
      <c r="AG43">
        <v>1</v>
      </c>
      <c r="AL43">
        <v>1</v>
      </c>
      <c r="AM43">
        <v>1</v>
      </c>
      <c r="AU43">
        <v>1</v>
      </c>
      <c r="CM43" t="str">
        <f t="shared" si="26"/>
        <v>0xD5F7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27"/>
        <v>0xDE18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28"/>
        <v>0x0800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29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 x14ac:dyDescent="0.2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M44">
        <v>1</v>
      </c>
      <c r="O44">
        <v>1</v>
      </c>
      <c r="P44">
        <v>1</v>
      </c>
      <c r="S44">
        <v>1</v>
      </c>
      <c r="T44">
        <v>1</v>
      </c>
      <c r="U44">
        <v>1</v>
      </c>
      <c r="X44">
        <v>1</v>
      </c>
      <c r="AD44">
        <v>1</v>
      </c>
      <c r="AL44">
        <v>1</v>
      </c>
      <c r="AM44">
        <v>1</v>
      </c>
      <c r="AU44">
        <v>1</v>
      </c>
      <c r="CM44" t="str">
        <f t="shared" si="26"/>
        <v>0xACE4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27"/>
        <v>0x1018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28"/>
        <v>0x0800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29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 x14ac:dyDescent="0.2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N45">
        <v>1</v>
      </c>
      <c r="P45">
        <v>1</v>
      </c>
      <c r="Q45">
        <v>1</v>
      </c>
      <c r="S45">
        <v>1</v>
      </c>
      <c r="T45">
        <v>1</v>
      </c>
      <c r="U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L45">
        <v>1</v>
      </c>
      <c r="AM45">
        <v>1</v>
      </c>
      <c r="AU45">
        <v>1</v>
      </c>
      <c r="CM45" t="str">
        <f t="shared" si="26"/>
        <v>0xD6EF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27"/>
        <v>0xD018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28"/>
        <v>0x0800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29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 x14ac:dyDescent="0.2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M46">
        <v>1</v>
      </c>
      <c r="O46">
        <v>1</v>
      </c>
      <c r="Q46">
        <v>1</v>
      </c>
      <c r="W46">
        <v>1</v>
      </c>
      <c r="Y46">
        <v>1</v>
      </c>
      <c r="AA46">
        <v>1</v>
      </c>
      <c r="AB46">
        <v>1</v>
      </c>
      <c r="AD46">
        <v>1</v>
      </c>
      <c r="AL46">
        <v>1</v>
      </c>
      <c r="AM46">
        <v>1</v>
      </c>
      <c r="AU46">
        <v>1</v>
      </c>
      <c r="CM46" t="str">
        <f t="shared" si="26"/>
        <v>0xAA0A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27"/>
        <v>0xD018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28"/>
        <v>0x0800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29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 x14ac:dyDescent="0.2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Z47">
        <v>1</v>
      </c>
      <c r="AB47">
        <v>1</v>
      </c>
      <c r="AD47">
        <v>1</v>
      </c>
      <c r="AL47">
        <v>1</v>
      </c>
      <c r="AM47">
        <v>1</v>
      </c>
      <c r="AU47">
        <v>1</v>
      </c>
      <c r="CM47" t="str">
        <f t="shared" si="22"/>
        <v>0xD7FD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23"/>
        <v>0x5018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24"/>
        <v>0x0800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25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 x14ac:dyDescent="0.2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M48">
        <v>1</v>
      </c>
      <c r="O48">
        <v>1</v>
      </c>
      <c r="Q48">
        <v>1</v>
      </c>
      <c r="S48">
        <v>1</v>
      </c>
      <c r="U48">
        <v>1</v>
      </c>
      <c r="W48">
        <v>1</v>
      </c>
      <c r="Y48">
        <v>1</v>
      </c>
      <c r="AA48">
        <v>1</v>
      </c>
      <c r="AB48">
        <v>1</v>
      </c>
      <c r="AD48">
        <v>1</v>
      </c>
      <c r="AL48">
        <v>1</v>
      </c>
      <c r="AM48">
        <v>1</v>
      </c>
      <c r="AU48">
        <v>1</v>
      </c>
      <c r="CM48" t="str">
        <f t="shared" si="22"/>
        <v>0xAAAA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23"/>
        <v>0xD018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24"/>
        <v>0x0800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25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 x14ac:dyDescent="0.2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N49">
        <v>1</v>
      </c>
      <c r="P49">
        <v>1</v>
      </c>
      <c r="R49">
        <v>1</v>
      </c>
      <c r="T49">
        <v>1</v>
      </c>
      <c r="V49">
        <v>1</v>
      </c>
      <c r="X49">
        <v>1</v>
      </c>
      <c r="Z49">
        <v>1</v>
      </c>
      <c r="AB49">
        <v>1</v>
      </c>
      <c r="AD49">
        <v>1</v>
      </c>
      <c r="AL49">
        <v>1</v>
      </c>
      <c r="AM49">
        <v>1</v>
      </c>
      <c r="AU49">
        <v>1</v>
      </c>
      <c r="CM49" t="str">
        <f t="shared" si="22"/>
        <v>0xD555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23"/>
        <v>0x5018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24"/>
        <v>0x0800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25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 x14ac:dyDescent="0.2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M50">
        <v>1</v>
      </c>
      <c r="O50">
        <v>1</v>
      </c>
      <c r="Q50">
        <v>1</v>
      </c>
      <c r="S50">
        <v>1</v>
      </c>
      <c r="U50">
        <v>1</v>
      </c>
      <c r="W50">
        <v>1</v>
      </c>
      <c r="Y50">
        <v>1</v>
      </c>
      <c r="AA50">
        <v>1</v>
      </c>
      <c r="AB50">
        <v>1</v>
      </c>
      <c r="AD50">
        <v>1</v>
      </c>
      <c r="AL50">
        <v>1</v>
      </c>
      <c r="AM50">
        <v>1</v>
      </c>
      <c r="AU50">
        <v>1</v>
      </c>
      <c r="CM50" t="str">
        <f t="shared" si="22"/>
        <v>0xAAAA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23"/>
        <v>0xD018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24"/>
        <v>0x0800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25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 x14ac:dyDescent="0.2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D51">
        <v>1</v>
      </c>
      <c r="AL51">
        <v>1</v>
      </c>
      <c r="AM51">
        <v>1</v>
      </c>
      <c r="AU51">
        <v>1</v>
      </c>
      <c r="CM51" t="str">
        <f t="shared" si="22"/>
        <v>0xFFFF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23"/>
        <v>0xD018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24"/>
        <v>0x0800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25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 x14ac:dyDescent="0.2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AD52">
        <v>1</v>
      </c>
      <c r="AU52">
        <v>1</v>
      </c>
      <c r="CM52" t="str">
        <f t="shared" si="22"/>
        <v>0x0000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23"/>
        <v>0x1000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24"/>
        <v>0x0800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25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x14ac:dyDescent="0.2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AD53">
        <v>1</v>
      </c>
      <c r="AU53">
        <v>1</v>
      </c>
      <c r="CM53" t="str">
        <f t="shared" si="22"/>
        <v>0x0000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23"/>
        <v>0x1000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24"/>
        <v>0x0800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25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x14ac:dyDescent="0.2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AD54">
        <v>1</v>
      </c>
      <c r="AU54">
        <v>1</v>
      </c>
      <c r="CM54" t="str">
        <f t="shared" si="22"/>
        <v>0x0000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23"/>
        <v>0x1000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24"/>
        <v>0x0800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25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x14ac:dyDescent="0.2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CM55" t="str">
        <f t="shared" si="22"/>
        <v>0x0000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23"/>
        <v>0x1FFF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24"/>
        <v>0xF800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25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x14ac:dyDescent="0.2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CM56" t="str">
        <f t="shared" si="22"/>
        <v>0x0000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23"/>
        <v>0x0000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24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25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x14ac:dyDescent="0.2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CM57" t="str">
        <f t="shared" si="22"/>
        <v>0x0000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23"/>
        <v>0x0000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24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25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x14ac:dyDescent="0.2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CM58" t="str">
        <f t="shared" si="22"/>
        <v>0x0000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23"/>
        <v>0x0000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24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25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x14ac:dyDescent="0.2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CM59" t="str">
        <f t="shared" si="22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23"/>
        <v>0x0000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24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25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x14ac:dyDescent="0.2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CM60" t="str">
        <f t="shared" si="22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23"/>
        <v>0x0000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24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25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x14ac:dyDescent="0.2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CM61" t="str">
        <f t="shared" si="22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23"/>
        <v>0x0000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24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25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x14ac:dyDescent="0.2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CM62" t="str">
        <f t="shared" si="22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23"/>
        <v>0x0000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24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25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 x14ac:dyDescent="0.2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CM63" t="str">
        <f t="shared" si="22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23"/>
        <v>0x0000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24"/>
        <v>0x0000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25"/>
        <v>0x0000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 x14ac:dyDescent="0.2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CM64" t="str">
        <f t="shared" si="22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23"/>
        <v>0x0000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24"/>
        <v>0x0000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25"/>
        <v>0x0000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 x14ac:dyDescent="0.2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CM65" t="str">
        <f t="shared" si="22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23"/>
        <v>0x0000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24"/>
        <v>0x0000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25"/>
        <v>0x0000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 x14ac:dyDescent="0.2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CM66" t="str">
        <f t="shared" si="22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23"/>
        <v>0x0000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24"/>
        <v>0x0000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25"/>
        <v>0x0000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E63:BM68">
    <cfRule type="expression" dxfId="72" priority="36">
      <formula>BE63=""</formula>
    </cfRule>
    <cfRule type="expression" dxfId="71" priority="37">
      <formula>BE63&lt;&gt;""</formula>
    </cfRule>
  </conditionalFormatting>
  <conditionalFormatting sqref="AN59:AV64 AN56:AN61">
    <cfRule type="expression" dxfId="70" priority="34">
      <formula>AN56=""</formula>
    </cfRule>
    <cfRule type="expression" dxfId="69" priority="35">
      <formula>AN56&lt;&gt;""</formula>
    </cfRule>
  </conditionalFormatting>
  <conditionalFormatting sqref="AN53:AV58 AQ56:AT61 AN50:AN55 AM50:AM52 AH35:AJ42 AQ26:AU34 AG28:AG43 AH26:AU27 AF26:AP28 AN42:AQ52 AO35:AU52 AI36:AJ43 AP27:AQ35 AI29:AP29">
    <cfRule type="expression" dxfId="68" priority="32">
      <formula>AF26=""</formula>
    </cfRule>
    <cfRule type="expression" dxfId="67" priority="33">
      <formula>AF26&lt;&gt;""</formula>
    </cfRule>
  </conditionalFormatting>
  <conditionalFormatting sqref="AQ26:AU55 AG28:AG43 AH26:AU27 AM47:AV52 AH35:AK42 AJ28:AQ28 AI36:AK43 AP27:AQ52 AI29:AQ29 AI28:AI36 AF28:AF42 AE26:AP28">
    <cfRule type="expression" dxfId="66" priority="30">
      <formula>AE26=""</formula>
    </cfRule>
    <cfRule type="expression" dxfId="65" priority="31">
      <formula>AE26&lt;&gt;""</formula>
    </cfRule>
  </conditionalFormatting>
  <conditionalFormatting sqref="AQ41:AV46 AQ44:AU49 AQ26:AU41 AG28:AG43 AH26:AU27 AH35:AJ42 AJ28:AQ28 AI36:AJ43 AP27:AQ49 AI29:AQ29 AI28:AI36 AF28:AF42 AE26:AP28">
    <cfRule type="expression" dxfId="64" priority="28">
      <formula>AE26=""</formula>
    </cfRule>
    <cfRule type="expression" dxfId="63" priority="29">
      <formula>AE26&lt;&gt;""</formula>
    </cfRule>
  </conditionalFormatting>
  <conditionalFormatting sqref="AR35:AV40 AQ26:AU43 AG28:AG43 AH26:AU27 AH35:AJ42 AJ28:AQ28 AI36:AJ43 AP27:AQ43 AI29:AQ29 AI28:AI36 AF28:AF42 AE26:AP28">
    <cfRule type="expression" dxfId="62" priority="26">
      <formula>AE26=""</formula>
    </cfRule>
    <cfRule type="expression" dxfId="61" priority="27">
      <formula>AE26&lt;&gt;""</formula>
    </cfRule>
  </conditionalFormatting>
  <conditionalFormatting sqref="AR29:AV34 AQ26:AU37 AG28:AG43 AH26:AU27 AH35:AJ42 AJ28:AQ28 AI36:AJ43 AP27:AQ38 AI29:AQ29 AI28:AI36 AF28:AF42 AE26:AP28">
    <cfRule type="expression" dxfId="60" priority="24">
      <formula>AE26=""</formula>
    </cfRule>
    <cfRule type="expression" dxfId="59" priority="25">
      <formula>AE26&lt;&gt;""</formula>
    </cfRule>
  </conditionalFormatting>
  <conditionalFormatting sqref="CD63:CL66 BW3:CL62">
    <cfRule type="expression" dxfId="58" priority="22">
      <formula>BW3=""</formula>
    </cfRule>
    <cfRule type="expression" dxfId="57" priority="23">
      <formula>BW3&lt;&gt;""</formula>
    </cfRule>
  </conditionalFormatting>
  <conditionalFormatting sqref="BW63:CC68">
    <cfRule type="expression" dxfId="56" priority="20">
      <formula>BW63=""</formula>
    </cfRule>
    <cfRule type="expression" dxfId="55" priority="21">
      <formula>BW63&lt;&gt;""</formula>
    </cfRule>
  </conditionalFormatting>
  <conditionalFormatting sqref="K3:CL66">
    <cfRule type="expression" dxfId="54" priority="19">
      <formula>AND(K3&lt;&gt;1,K3&lt;&gt;"")</formula>
    </cfRule>
    <cfRule type="expression" dxfId="53" priority="38">
      <formula>K3=""</formula>
    </cfRule>
    <cfRule type="expression" dxfId="52" priority="39">
      <formula>K3=1</formula>
    </cfRule>
  </conditionalFormatting>
  <conditionalFormatting sqref="AI35:AI43">
    <cfRule type="expression" dxfId="51" priority="17">
      <formula>AI35=""</formula>
    </cfRule>
    <cfRule type="expression" dxfId="50" priority="18">
      <formula>AI35&lt;&gt;""</formula>
    </cfRule>
  </conditionalFormatting>
  <conditionalFormatting sqref="AI35:AI43">
    <cfRule type="expression" dxfId="49" priority="15">
      <formula>AI35=""</formula>
    </cfRule>
    <cfRule type="expression" dxfId="48" priority="16">
      <formula>AI35&lt;&gt;""</formula>
    </cfRule>
  </conditionalFormatting>
  <conditionalFormatting sqref="AI35:AI43">
    <cfRule type="expression" dxfId="47" priority="13">
      <formula>AI35=""</formula>
    </cfRule>
    <cfRule type="expression" dxfId="46" priority="14">
      <formula>AI35&lt;&gt;""</formula>
    </cfRule>
  </conditionalFormatting>
  <conditionalFormatting sqref="AJ35:AJ43">
    <cfRule type="expression" dxfId="45" priority="11">
      <formula>AJ35=""</formula>
    </cfRule>
    <cfRule type="expression" dxfId="44" priority="12">
      <formula>AJ35&lt;&gt;""</formula>
    </cfRule>
  </conditionalFormatting>
  <conditionalFormatting sqref="AJ35:AJ43">
    <cfRule type="expression" dxfId="43" priority="9">
      <formula>AJ35=""</formula>
    </cfRule>
    <cfRule type="expression" dxfId="42" priority="10">
      <formula>AJ35&lt;&gt;""</formula>
    </cfRule>
  </conditionalFormatting>
  <conditionalFormatting sqref="AJ35:AJ43">
    <cfRule type="expression" dxfId="41" priority="7">
      <formula>AJ35=""</formula>
    </cfRule>
    <cfRule type="expression" dxfId="40" priority="8">
      <formula>AJ35&lt;&gt;""</formula>
    </cfRule>
  </conditionalFormatting>
  <conditionalFormatting sqref="AI35:AI43">
    <cfRule type="expression" dxfId="39" priority="5">
      <formula>AI35=""</formula>
    </cfRule>
    <cfRule type="expression" dxfId="38" priority="6">
      <formula>AI35&lt;&gt;""</formula>
    </cfRule>
  </conditionalFormatting>
  <conditionalFormatting sqref="AI35:AI43">
    <cfRule type="expression" dxfId="37" priority="3">
      <formula>AI35=""</formula>
    </cfRule>
    <cfRule type="expression" dxfId="36" priority="4">
      <formula>AI35&lt;&gt;""</formula>
    </cfRule>
  </conditionalFormatting>
  <conditionalFormatting sqref="AI35:AI43">
    <cfRule type="expression" dxfId="35" priority="1">
      <formula>AI35=""</formula>
    </cfRule>
    <cfRule type="expression" dxfId="34" priority="2">
      <formula>AI35&lt;&gt;""</formula>
    </cfRule>
  </conditionalFormatting>
  <pageMargins left="0.7" right="0.7" top="0.75" bottom="0.75" header="0.3" footer="0.3"/>
  <pageSetup orientation="portrait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AF35F-CC3C-4449-BE4B-85F3426EB622}">
  <sheetPr codeName="Sheet5"/>
  <dimension ref="A1:EX62"/>
  <sheetViews>
    <sheetView tabSelected="1" zoomScaleNormal="100" workbookViewId="0">
      <selection activeCell="AH37" sqref="AH37"/>
    </sheetView>
  </sheetViews>
  <sheetFormatPr defaultRowHeight="12.75" x14ac:dyDescent="0.2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 x14ac:dyDescent="0.2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25" x14ac:dyDescent="0.2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 x14ac:dyDescent="0.2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Y3" s="3"/>
      <c r="Z3" s="3"/>
      <c r="CM3" t="str">
        <f>CONCATENATE("0x",DEC2HEX(Z3*Z$1+Y3*Y$1+X3*X$1+W3*W$1+V3*V$1+U3*U$1+T3*T$1+S3*S$1+R3*R$1+Q3*Q$1+P3*P$1+O3*O$1+N3*N$1+M3*M$1+L3*L$1+K3*K$1,4))</f>
        <v>0x3FF8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0x0000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 x14ac:dyDescent="0.2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L4">
        <v>1</v>
      </c>
      <c r="W4">
        <v>1</v>
      </c>
      <c r="CM4" t="str">
        <f t="shared" ref="CM4:CM62" si="5">CONCATENATE("0x",DEC2HEX(Z4*Z$1+Y4*Y$1+X4*X$1+W4*W$1+V4*V$1+U4*U$1+T4*T$1+S4*S$1+R4*R$1+Q4*Q$1+P4*P$1+O4*O$1+N4*N$1+M4*M$1+L4*L$1+K4*K$1,4))</f>
        <v>0x4008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62" si="6">CONCATENATE("0x",DEC2HEX(AP4*AP$1+AO4*AO$1+AN4*AN$1+AM4*AM$1+AL4*AL$1+AK4*AK$1+AJ4*AJ$1+AI4*AI$1+AH4*AH$1+AG4*AG$1+AF4*AF$1+AE4*AE$1+AD4*AD$1+AC4*AC$1+AB4*AB$1+AA4*AA$1,4))</f>
        <v>0x0000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2" si="7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2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 x14ac:dyDescent="0.2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K5">
        <v>1</v>
      </c>
      <c r="W5">
        <v>1</v>
      </c>
      <c r="CM5" t="str">
        <f t="shared" si="5"/>
        <v>0x8008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0x0000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 x14ac:dyDescent="0.2">
      <c r="A6">
        <v>5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K6">
        <v>1</v>
      </c>
      <c r="W6">
        <v>1</v>
      </c>
      <c r="CM6" t="str">
        <f t="shared" si="5"/>
        <v>0x8008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0x0000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 x14ac:dyDescent="0.2">
      <c r="A7">
        <v>6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K7">
        <v>1</v>
      </c>
      <c r="W7">
        <v>1</v>
      </c>
      <c r="CM7" t="str">
        <f t="shared" si="5"/>
        <v>0x8008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0x0000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 x14ac:dyDescent="0.2">
      <c r="A8">
        <v>7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L8">
        <v>1</v>
      </c>
      <c r="W8">
        <v>1</v>
      </c>
      <c r="CM8" t="str">
        <f t="shared" si="5"/>
        <v>0x4008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0x0000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 x14ac:dyDescent="0.2">
      <c r="A9">
        <v>8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CM9" t="str">
        <f t="shared" si="5"/>
        <v>0x3FF8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0x0000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 x14ac:dyDescent="0.2">
      <c r="A10">
        <v>9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CM10" t="str">
        <f t="shared" si="5"/>
        <v>0x3FF8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0x0000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 x14ac:dyDescent="0.2">
      <c r="A11">
        <v>10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L11">
        <v>1</v>
      </c>
      <c r="W11">
        <v>1</v>
      </c>
      <c r="CM11" t="str">
        <f t="shared" si="5"/>
        <v>0x4008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0x0000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 x14ac:dyDescent="0.2">
      <c r="A12">
        <v>11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K12">
        <v>1</v>
      </c>
      <c r="T12">
        <v>1</v>
      </c>
      <c r="U12">
        <v>1</v>
      </c>
      <c r="W12">
        <v>1</v>
      </c>
      <c r="CM12" t="str">
        <f t="shared" si="5"/>
        <v>0x8068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0x0000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 x14ac:dyDescent="0.2">
      <c r="A13">
        <v>13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>
        <v>1</v>
      </c>
      <c r="T13">
        <v>1</v>
      </c>
      <c r="U13">
        <v>1</v>
      </c>
      <c r="W13">
        <v>1</v>
      </c>
      <c r="CM13" t="str">
        <f t="shared" si="5"/>
        <v>0x8068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0x0000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 x14ac:dyDescent="0.2">
      <c r="A14">
        <v>14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>
        <v>1</v>
      </c>
      <c r="T14">
        <v>1</v>
      </c>
      <c r="U14">
        <v>1</v>
      </c>
      <c r="W14">
        <v>1</v>
      </c>
      <c r="CM14" t="str">
        <f t="shared" si="5"/>
        <v>0x8068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>CONCATENATE("0x",DEC2HEX(AP14*AP$1+AO14*AO$1+AN14*AN$1+AM14*AM$1+AL14*AL$1+AK14*AK$1+AJ14*AJ$1+AI14*AI$1+AH14*AH$1+AG14*AG$1+AF14*AF$1+AE14*AE$1+AD14*AD$1+AC14*AC$1+AB14*AB$1+AA14*AA$1,4))</f>
        <v>0x0000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 x14ac:dyDescent="0.2">
      <c r="A15">
        <v>15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L15">
        <v>1</v>
      </c>
      <c r="W15">
        <v>1</v>
      </c>
      <c r="CM15" t="str">
        <f t="shared" si="5"/>
        <v>0x4008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0x0000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 x14ac:dyDescent="0.2">
      <c r="A16">
        <v>16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CM16" t="str">
        <f t="shared" si="5"/>
        <v>0x3FF8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 t="shared" si="6"/>
        <v>0x0000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 x14ac:dyDescent="0.2">
      <c r="A17">
        <v>17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CM17" t="str">
        <f t="shared" si="5"/>
        <v>0x3FF8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0x0000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 x14ac:dyDescent="0.2">
      <c r="A18">
        <v>18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L18">
        <v>1</v>
      </c>
      <c r="W18">
        <v>1</v>
      </c>
      <c r="CM18" t="str">
        <f t="shared" si="5"/>
        <v>0x4008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0x0000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 x14ac:dyDescent="0.2">
      <c r="A19">
        <v>19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Q19">
        <v>1</v>
      </c>
      <c r="R19">
        <v>1</v>
      </c>
      <c r="T19">
        <v>1</v>
      </c>
      <c r="U19">
        <v>1</v>
      </c>
      <c r="W19">
        <v>1</v>
      </c>
      <c r="CM19" t="str">
        <f t="shared" si="5"/>
        <v>0x8368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0x0000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 x14ac:dyDescent="0.2">
      <c r="A20">
        <v>21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Q20">
        <v>1</v>
      </c>
      <c r="R20">
        <v>1</v>
      </c>
      <c r="T20">
        <v>1</v>
      </c>
      <c r="U20">
        <v>1</v>
      </c>
      <c r="W20">
        <v>1</v>
      </c>
      <c r="CM20" t="str">
        <f t="shared" si="5"/>
        <v>0x8368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0x0000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 x14ac:dyDescent="0.2">
      <c r="A21">
        <v>22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Q21">
        <v>1</v>
      </c>
      <c r="R21">
        <v>1</v>
      </c>
      <c r="T21">
        <v>1</v>
      </c>
      <c r="U21">
        <v>1</v>
      </c>
      <c r="W21">
        <v>1</v>
      </c>
      <c r="CM21" t="str">
        <f t="shared" si="5"/>
        <v>0x8368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0x0000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 x14ac:dyDescent="0.2">
      <c r="A22">
        <v>23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L22">
        <v>1</v>
      </c>
      <c r="W22">
        <v>1</v>
      </c>
      <c r="CM22" t="str">
        <f t="shared" si="5"/>
        <v>0x4008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0x0000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 x14ac:dyDescent="0.2">
      <c r="A23">
        <v>24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CM23" t="str">
        <f t="shared" si="5"/>
        <v>0x3FF8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6"/>
        <v>0x0000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 x14ac:dyDescent="0.2">
      <c r="A24">
        <v>25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CM24" t="str">
        <f t="shared" si="5"/>
        <v>0x3FF8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6"/>
        <v>0x0000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 x14ac:dyDescent="0.2">
      <c r="A25">
        <v>26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L25">
        <v>1</v>
      </c>
      <c r="W25">
        <v>1</v>
      </c>
      <c r="CM25" t="str">
        <f t="shared" si="5"/>
        <v>0x4008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6"/>
        <v>0x0000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 x14ac:dyDescent="0.2">
      <c r="A26">
        <v>27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N26">
        <v>1</v>
      </c>
      <c r="O26">
        <v>1</v>
      </c>
      <c r="Q26">
        <v>1</v>
      </c>
      <c r="R26">
        <v>1</v>
      </c>
      <c r="T26">
        <v>1</v>
      </c>
      <c r="U26">
        <v>1</v>
      </c>
      <c r="W26">
        <v>1</v>
      </c>
      <c r="CM26" t="str">
        <f t="shared" si="5"/>
        <v>0x9B68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6"/>
        <v>0x0000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0x0000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 x14ac:dyDescent="0.2">
      <c r="A27">
        <v>28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N27">
        <v>1</v>
      </c>
      <c r="O27">
        <v>1</v>
      </c>
      <c r="Q27">
        <v>1</v>
      </c>
      <c r="R27">
        <v>1</v>
      </c>
      <c r="T27">
        <v>1</v>
      </c>
      <c r="U27">
        <v>1</v>
      </c>
      <c r="W27">
        <v>1</v>
      </c>
      <c r="CM27" t="str">
        <f t="shared" si="5"/>
        <v>0x9B68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6"/>
        <v>0x0000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0x0000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 x14ac:dyDescent="0.2">
      <c r="A28">
        <v>30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N28">
        <v>1</v>
      </c>
      <c r="O28">
        <v>1</v>
      </c>
      <c r="Q28">
        <v>1</v>
      </c>
      <c r="R28">
        <v>1</v>
      </c>
      <c r="T28">
        <v>1</v>
      </c>
      <c r="U28">
        <v>1</v>
      </c>
      <c r="W28">
        <v>1</v>
      </c>
      <c r="CM28" t="str">
        <f t="shared" si="5"/>
        <v>0x9B68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6"/>
        <v>0x0000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0x0000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 x14ac:dyDescent="0.2">
      <c r="A29">
        <v>31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L29">
        <v>1</v>
      </c>
      <c r="W29">
        <v>1</v>
      </c>
      <c r="CM29" t="str">
        <f t="shared" si="5"/>
        <v>0x4008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6"/>
        <v>0x0000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0x0000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 x14ac:dyDescent="0.2">
      <c r="A30">
        <v>32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1</v>
      </c>
      <c r="CM30" t="str">
        <f t="shared" si="5"/>
        <v>0x3FF8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6"/>
        <v>0x0000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0x0000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 x14ac:dyDescent="0.2">
      <c r="A31">
        <v>33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M31">
        <v>1</v>
      </c>
      <c r="N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U31">
        <v>1</v>
      </c>
      <c r="V31">
        <v>1</v>
      </c>
      <c r="W31">
        <v>1</v>
      </c>
      <c r="CM31" t="str">
        <f t="shared" si="5"/>
        <v>0x3FF8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6"/>
        <v>0x0000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0x0000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 x14ac:dyDescent="0.2">
      <c r="A32">
        <v>34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L32">
        <v>1</v>
      </c>
      <c r="W32">
        <v>1</v>
      </c>
      <c r="CM32" t="str">
        <f t="shared" si="5"/>
        <v>0x4008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6"/>
        <v>0x0000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0x0000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 x14ac:dyDescent="0.2">
      <c r="A33">
        <v>35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P33">
        <v>1</v>
      </c>
      <c r="S33">
        <v>1</v>
      </c>
      <c r="W33">
        <v>1</v>
      </c>
      <c r="CM33" t="str">
        <f t="shared" si="5"/>
        <v>0x8488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6"/>
        <v>0x0000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0x0000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 x14ac:dyDescent="0.2">
      <c r="A34">
        <v>36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Q34">
        <v>1</v>
      </c>
      <c r="R34">
        <v>1</v>
      </c>
      <c r="W34">
        <v>1</v>
      </c>
      <c r="CM34" t="str">
        <f t="shared" si="5"/>
        <v>0x8308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6"/>
        <v>0x0000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0x0000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 x14ac:dyDescent="0.2">
      <c r="A35">
        <v>37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P35">
        <v>1</v>
      </c>
      <c r="S35">
        <v>1</v>
      </c>
      <c r="W35">
        <v>1</v>
      </c>
      <c r="CM35" t="str">
        <f t="shared" si="5"/>
        <v>0x8488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6"/>
        <v>0x0000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0x0000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 x14ac:dyDescent="0.2">
      <c r="A36">
        <v>38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L36">
        <v>1</v>
      </c>
      <c r="W36">
        <v>1</v>
      </c>
      <c r="CM36" t="str">
        <f t="shared" si="5"/>
        <v>0x4008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6"/>
        <v>0x0000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0x0000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 x14ac:dyDescent="0.2">
      <c r="A37">
        <v>39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CM37" t="str">
        <f t="shared" si="5"/>
        <v>0x3FF8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6"/>
        <v>0x0000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0x0000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 x14ac:dyDescent="0.2">
      <c r="A38">
        <v>40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CM38" t="str">
        <f t="shared" si="5"/>
        <v>0x0000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6"/>
        <v>0x0000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0x0000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 x14ac:dyDescent="0.2">
      <c r="A39">
        <v>41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CM39" t="str">
        <f t="shared" si="5"/>
        <v>0x0000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6"/>
        <v>0x0000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0x0000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 x14ac:dyDescent="0.2">
      <c r="A40">
        <v>42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CM40" t="str">
        <f t="shared" si="5"/>
        <v>0x0000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6"/>
        <v>0x0000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0x0000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 x14ac:dyDescent="0.2">
      <c r="A41">
        <v>43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CM41" t="str">
        <f t="shared" si="5"/>
        <v>0x0000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6"/>
        <v>0x0000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0x0000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 x14ac:dyDescent="0.2">
      <c r="A42">
        <v>44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CM42" t="str">
        <f t="shared" si="5"/>
        <v>0x0000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6"/>
        <v>0x0000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0x0000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 x14ac:dyDescent="0.2">
      <c r="A43">
        <v>45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CM43" t="str">
        <f t="shared" si="5"/>
        <v>0x0000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6"/>
        <v>0x0000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0x0000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 x14ac:dyDescent="0.2">
      <c r="A44">
        <v>46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CM44" t="str">
        <f t="shared" si="5"/>
        <v>0x0000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6"/>
        <v>0x0000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0x0000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 x14ac:dyDescent="0.2">
      <c r="A45">
        <v>47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CM45" t="str">
        <f t="shared" si="5"/>
        <v>0x0000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6"/>
        <v>0x0000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0x0000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 x14ac:dyDescent="0.2">
      <c r="A46">
        <v>48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CM46" t="str">
        <f t="shared" si="5"/>
        <v>0x0000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6"/>
        <v>0x0000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0x0000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 x14ac:dyDescent="0.2">
      <c r="A47">
        <v>49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CM47" t="str">
        <f t="shared" si="5"/>
        <v>0x0000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6"/>
        <v>0x0000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0x0000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 x14ac:dyDescent="0.2">
      <c r="A48">
        <v>50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CM48" t="str">
        <f t="shared" si="5"/>
        <v>0x0000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6"/>
        <v>0x0000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0x0000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 x14ac:dyDescent="0.2">
      <c r="A49">
        <v>51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CM49" t="str">
        <f t="shared" si="5"/>
        <v>0x0000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6"/>
        <v>0x0000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0x0000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 x14ac:dyDescent="0.2">
      <c r="A50">
        <v>52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CM50" t="str">
        <f t="shared" si="5"/>
        <v>0x0000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6"/>
        <v>0x0000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0x0000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 x14ac:dyDescent="0.2">
      <c r="A51">
        <v>53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CM51" t="str">
        <f t="shared" si="5"/>
        <v>0x0000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6"/>
        <v>0x0000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0x0000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 x14ac:dyDescent="0.2">
      <c r="A52">
        <v>54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CM52" t="str">
        <f t="shared" si="5"/>
        <v>0x0000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6"/>
        <v>0x0000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0x0000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x14ac:dyDescent="0.2">
      <c r="A53">
        <v>55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CM53" t="str">
        <f t="shared" si="5"/>
        <v>0x0000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6"/>
        <v>0x0000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0x0000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x14ac:dyDescent="0.2">
      <c r="A54">
        <v>56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CM54" t="str">
        <f t="shared" si="5"/>
        <v>0x0000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6"/>
        <v>0x0000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0x0000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x14ac:dyDescent="0.2">
      <c r="A55">
        <v>57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CM55" t="str">
        <f t="shared" si="5"/>
        <v>0x0000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6"/>
        <v>0x0000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0x0000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x14ac:dyDescent="0.2">
      <c r="A56">
        <v>58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CM56" t="str">
        <f t="shared" si="5"/>
        <v>0x0000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6"/>
        <v>0x0000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x14ac:dyDescent="0.2">
      <c r="A57">
        <v>59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CM57" t="str">
        <f t="shared" si="5"/>
        <v>0x0000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6"/>
        <v>0x0000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x14ac:dyDescent="0.2">
      <c r="A58">
        <v>60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CM58" t="str">
        <f t="shared" si="5"/>
        <v>0x0000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6"/>
        <v>0x0000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x14ac:dyDescent="0.2">
      <c r="A59">
        <v>61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CM59" t="str">
        <f t="shared" si="5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6"/>
        <v>0x0000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x14ac:dyDescent="0.2">
      <c r="A60">
        <v>62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CM60" t="str">
        <f t="shared" si="5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6"/>
        <v>0x0000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x14ac:dyDescent="0.2">
      <c r="A61">
        <v>63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CM61" t="str">
        <f t="shared" si="5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6"/>
        <v>0x0000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x14ac:dyDescent="0.2">
      <c r="A62">
        <v>64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CM62" t="str">
        <f t="shared" si="5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6"/>
        <v>0x0000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</sheetData>
  <conditionalFormatting sqref="BN59:BV62 BE55:BV58 BC55:BD62 K61:BB62 AW55:BB60 K43:AM60 AW37:BV54 K3:BV25 K26:AP30 AV26:BV36 K20:W30 K38:AP42 X31:AP37">
    <cfRule type="expression" dxfId="33" priority="4">
      <formula>AND(K3&lt;&gt;1,K3&lt;&gt;"")</formula>
    </cfRule>
    <cfRule type="expression" dxfId="32" priority="23">
      <formula>K3=""</formula>
    </cfRule>
    <cfRule type="expression" dxfId="31" priority="24">
      <formula>K3=1</formula>
    </cfRule>
  </conditionalFormatting>
  <conditionalFormatting sqref="BE59:BM64 BW3:CL58 AQ26:AU30">
    <cfRule type="expression" dxfId="30" priority="21">
      <formula>AQ3=""</formula>
    </cfRule>
    <cfRule type="expression" dxfId="29" priority="22">
      <formula>AQ3&lt;&gt;""</formula>
    </cfRule>
  </conditionalFormatting>
  <conditionalFormatting sqref="AN55:AV60 AN52:AN54">
    <cfRule type="expression" dxfId="28" priority="19">
      <formula>AN52=""</formula>
    </cfRule>
    <cfRule type="expression" dxfId="27" priority="20">
      <formula>AN52&lt;&gt;""</formula>
    </cfRule>
  </conditionalFormatting>
  <conditionalFormatting sqref="AN49:AV54 AQ55:AT57 AN46:AN48">
    <cfRule type="expression" dxfId="26" priority="17">
      <formula>AN46=""</formula>
    </cfRule>
    <cfRule type="expression" dxfId="25" priority="18">
      <formula>AN46&lt;&gt;""</formula>
    </cfRule>
  </conditionalFormatting>
  <conditionalFormatting sqref="AQ43:AT51 AN43:AP48 AU43:AV48">
    <cfRule type="expression" dxfId="24" priority="15">
      <formula>AN43=""</formula>
    </cfRule>
    <cfRule type="expression" dxfId="23" priority="16">
      <formula>AN43&lt;&gt;""</formula>
    </cfRule>
  </conditionalFormatting>
  <conditionalFormatting sqref="AQ37:AV42 AQ43:AT45">
    <cfRule type="expression" dxfId="22" priority="13">
      <formula>AQ37=""</formula>
    </cfRule>
    <cfRule type="expression" dxfId="21" priority="14">
      <formula>AQ37&lt;&gt;""</formula>
    </cfRule>
  </conditionalFormatting>
  <conditionalFormatting sqref="AQ31:AU36 AQ37:AT39">
    <cfRule type="expression" dxfId="20" priority="11">
      <formula>AQ31=""</formula>
    </cfRule>
    <cfRule type="expression" dxfId="19" priority="12">
      <formula>AQ31&lt;&gt;""</formula>
    </cfRule>
  </conditionalFormatting>
  <conditionalFormatting sqref="AQ31:AT33">
    <cfRule type="expression" dxfId="18" priority="9">
      <formula>AQ31=""</formula>
    </cfRule>
    <cfRule type="expression" dxfId="17" priority="10">
      <formula>AQ31&lt;&gt;""</formula>
    </cfRule>
  </conditionalFormatting>
  <conditionalFormatting sqref="CD59:CL62">
    <cfRule type="expression" dxfId="16" priority="7">
      <formula>CD59=""</formula>
    </cfRule>
    <cfRule type="expression" dxfId="15" priority="8">
      <formula>CD59&lt;&gt;""</formula>
    </cfRule>
  </conditionalFormatting>
  <conditionalFormatting sqref="BW59:CC64">
    <cfRule type="expression" dxfId="14" priority="5">
      <formula>BW59=""</formula>
    </cfRule>
    <cfRule type="expression" dxfId="13" priority="6">
      <formula>BW59&lt;&gt;""</formula>
    </cfRule>
  </conditionalFormatting>
  <conditionalFormatting sqref="K31:W37">
    <cfRule type="expression" dxfId="2" priority="1">
      <formula>AND(K31&lt;&gt;1,K31&lt;&gt;"")</formula>
    </cfRule>
    <cfRule type="expression" dxfId="1" priority="2">
      <formula>K31=""</formula>
    </cfRule>
    <cfRule type="expression" dxfId="0" priority="3">
      <formula>K31=1</formula>
    </cfRule>
  </conditionalFormatting>
  <pageMargins left="0.7" right="0.7" top="0.75" bottom="0.75" header="0.3" footer="0.3"/>
  <pageSetup orientation="portrait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675E6-1D16-43EC-AF4E-AB531F856DF3}">
  <sheetPr codeName="Sheet1"/>
  <dimension ref="A1:M98"/>
  <sheetViews>
    <sheetView showGridLines="0" topLeftCell="B1" zoomScale="70" zoomScaleNormal="70" workbookViewId="0">
      <selection activeCell="B2" sqref="B2"/>
    </sheetView>
  </sheetViews>
  <sheetFormatPr defaultRowHeight="12.75" x14ac:dyDescent="0.2"/>
  <cols>
    <col min="1" max="1" width="8.75" style="7"/>
    <col min="2" max="2" width="79" bestFit="1" customWidth="1"/>
    <col min="3" max="3" width="8.75" style="7"/>
    <col min="4" max="13" width="10.125" style="10" customWidth="1"/>
  </cols>
  <sheetData>
    <row r="1" spans="1:13" ht="64.900000000000006" customHeight="1" x14ac:dyDescent="0.2"/>
    <row r="2" spans="1:13" x14ac:dyDescent="0.2">
      <c r="A2" s="8">
        <v>1</v>
      </c>
      <c r="B2" t="s">
        <v>6</v>
      </c>
      <c r="C2" s="7" t="s">
        <v>215</v>
      </c>
      <c r="D2" s="10" t="s">
        <v>181</v>
      </c>
      <c r="E2" s="10" t="s">
        <v>181</v>
      </c>
      <c r="F2" s="10" t="s">
        <v>181</v>
      </c>
      <c r="G2" s="10" t="s">
        <v>181</v>
      </c>
      <c r="H2" s="10" t="s">
        <v>181</v>
      </c>
      <c r="I2" s="10" t="s">
        <v>181</v>
      </c>
      <c r="J2" s="10" t="s">
        <v>181</v>
      </c>
      <c r="K2" s="10" t="s">
        <v>181</v>
      </c>
      <c r="L2" s="10" t="s">
        <v>181</v>
      </c>
      <c r="M2" s="10" t="s">
        <v>181</v>
      </c>
    </row>
    <row r="3" spans="1:13" s="4" customFormat="1" x14ac:dyDescent="0.2">
      <c r="A3" s="8">
        <v>2</v>
      </c>
      <c r="B3" s="4" t="s">
        <v>7</v>
      </c>
      <c r="C3" s="9" t="s">
        <v>101</v>
      </c>
      <c r="D3" s="11" t="s">
        <v>182</v>
      </c>
      <c r="E3" s="11" t="s">
        <v>182</v>
      </c>
      <c r="F3" s="11" t="s">
        <v>182</v>
      </c>
      <c r="G3" s="11" t="s">
        <v>182</v>
      </c>
      <c r="H3" s="11" t="s">
        <v>182</v>
      </c>
      <c r="I3" s="11" t="s">
        <v>182</v>
      </c>
      <c r="J3" s="11" t="s">
        <v>181</v>
      </c>
      <c r="K3" s="11" t="s">
        <v>182</v>
      </c>
      <c r="L3" s="11" t="s">
        <v>181</v>
      </c>
      <c r="M3" s="11" t="s">
        <v>181</v>
      </c>
    </row>
    <row r="4" spans="1:13" s="5" customFormat="1" x14ac:dyDescent="0.2">
      <c r="A4" s="8">
        <v>3</v>
      </c>
      <c r="B4" s="5" t="s">
        <v>8</v>
      </c>
      <c r="C4" s="8" t="s">
        <v>102</v>
      </c>
      <c r="D4" s="12" t="s">
        <v>183</v>
      </c>
      <c r="E4" s="12" t="s">
        <v>183</v>
      </c>
      <c r="F4" s="12" t="s">
        <v>183</v>
      </c>
      <c r="G4" s="12" t="s">
        <v>181</v>
      </c>
      <c r="H4" s="12" t="s">
        <v>181</v>
      </c>
      <c r="I4" s="12" t="s">
        <v>181</v>
      </c>
      <c r="J4" s="12" t="s">
        <v>181</v>
      </c>
      <c r="K4" s="12" t="s">
        <v>181</v>
      </c>
      <c r="L4" s="12" t="s">
        <v>181</v>
      </c>
      <c r="M4" s="12" t="s">
        <v>181</v>
      </c>
    </row>
    <row r="5" spans="1:13" s="5" customFormat="1" x14ac:dyDescent="0.2">
      <c r="A5" s="8">
        <v>4</v>
      </c>
      <c r="B5" s="5" t="s">
        <v>9</v>
      </c>
      <c r="C5" s="8" t="s">
        <v>103</v>
      </c>
      <c r="D5" s="12" t="s">
        <v>184</v>
      </c>
      <c r="E5" s="12" t="s">
        <v>184</v>
      </c>
      <c r="F5" s="12" t="s">
        <v>185</v>
      </c>
      <c r="G5" s="12" t="s">
        <v>184</v>
      </c>
      <c r="H5" s="12" t="s">
        <v>186</v>
      </c>
      <c r="I5" s="12" t="s">
        <v>185</v>
      </c>
      <c r="J5" s="12" t="s">
        <v>186</v>
      </c>
      <c r="K5" s="12" t="s">
        <v>186</v>
      </c>
      <c r="L5" s="12" t="s">
        <v>181</v>
      </c>
      <c r="M5" s="12" t="s">
        <v>181</v>
      </c>
    </row>
    <row r="6" spans="1:13" s="5" customFormat="1" x14ac:dyDescent="0.2">
      <c r="A6" s="8">
        <v>5</v>
      </c>
      <c r="B6" s="5" t="s">
        <v>10</v>
      </c>
      <c r="C6" s="8" t="s">
        <v>104</v>
      </c>
      <c r="D6" s="12" t="s">
        <v>187</v>
      </c>
      <c r="E6" s="12" t="s">
        <v>188</v>
      </c>
      <c r="F6" s="12" t="s">
        <v>189</v>
      </c>
      <c r="G6" s="12" t="s">
        <v>187</v>
      </c>
      <c r="H6" s="12" t="s">
        <v>190</v>
      </c>
      <c r="I6" s="12" t="s">
        <v>188</v>
      </c>
      <c r="J6" s="12" t="s">
        <v>188</v>
      </c>
      <c r="K6" s="12" t="s">
        <v>187</v>
      </c>
      <c r="L6" s="12" t="s">
        <v>182</v>
      </c>
      <c r="M6" s="12" t="s">
        <v>181</v>
      </c>
    </row>
    <row r="7" spans="1:13" s="5" customFormat="1" x14ac:dyDescent="0.2">
      <c r="A7" s="8">
        <v>6</v>
      </c>
      <c r="B7" s="5" t="s">
        <v>11</v>
      </c>
      <c r="C7" s="8" t="s">
        <v>105</v>
      </c>
      <c r="D7" s="12" t="s">
        <v>191</v>
      </c>
      <c r="E7" s="12" t="s">
        <v>188</v>
      </c>
      <c r="F7" s="12" t="s">
        <v>192</v>
      </c>
      <c r="G7" s="12" t="s">
        <v>193</v>
      </c>
      <c r="H7" s="12" t="s">
        <v>183</v>
      </c>
      <c r="I7" s="12" t="s">
        <v>188</v>
      </c>
      <c r="J7" s="12" t="s">
        <v>190</v>
      </c>
      <c r="K7" s="12" t="s">
        <v>194</v>
      </c>
      <c r="L7" s="12" t="s">
        <v>181</v>
      </c>
      <c r="M7" s="12" t="s">
        <v>181</v>
      </c>
    </row>
    <row r="8" spans="1:13" s="5" customFormat="1" x14ac:dyDescent="0.2">
      <c r="A8" s="8">
        <v>7</v>
      </c>
      <c r="B8" s="5" t="s">
        <v>12</v>
      </c>
      <c r="C8" s="8" t="s">
        <v>106</v>
      </c>
      <c r="D8" s="12" t="s">
        <v>182</v>
      </c>
      <c r="E8" s="12" t="s">
        <v>183</v>
      </c>
      <c r="F8" s="12" t="s">
        <v>183</v>
      </c>
      <c r="G8" s="12" t="s">
        <v>182</v>
      </c>
      <c r="H8" s="12" t="s">
        <v>195</v>
      </c>
      <c r="I8" s="12" t="s">
        <v>186</v>
      </c>
      <c r="J8" s="12" t="s">
        <v>186</v>
      </c>
      <c r="K8" s="12" t="s">
        <v>195</v>
      </c>
      <c r="L8" s="12" t="s">
        <v>181</v>
      </c>
      <c r="M8" s="12" t="s">
        <v>181</v>
      </c>
    </row>
    <row r="9" spans="1:13" s="5" customFormat="1" x14ac:dyDescent="0.2">
      <c r="A9" s="8">
        <v>8</v>
      </c>
      <c r="B9" s="5" t="s">
        <v>13</v>
      </c>
      <c r="C9" s="13" t="s">
        <v>5</v>
      </c>
      <c r="D9" s="12" t="s">
        <v>182</v>
      </c>
      <c r="E9" s="12" t="s">
        <v>182</v>
      </c>
      <c r="F9" s="12" t="s">
        <v>182</v>
      </c>
      <c r="G9" s="12" t="s">
        <v>181</v>
      </c>
      <c r="H9" s="12" t="s">
        <v>181</v>
      </c>
      <c r="I9" s="12" t="s">
        <v>181</v>
      </c>
      <c r="J9" s="12" t="s">
        <v>181</v>
      </c>
      <c r="K9" s="12" t="s">
        <v>181</v>
      </c>
      <c r="L9" s="12" t="s">
        <v>181</v>
      </c>
      <c r="M9" s="12" t="s">
        <v>181</v>
      </c>
    </row>
    <row r="10" spans="1:13" s="5" customFormat="1" x14ac:dyDescent="0.2">
      <c r="A10" s="8">
        <v>9</v>
      </c>
      <c r="B10" s="5" t="s">
        <v>14</v>
      </c>
      <c r="C10" s="8" t="s">
        <v>107</v>
      </c>
      <c r="D10" s="12" t="s">
        <v>194</v>
      </c>
      <c r="E10" s="12" t="s">
        <v>182</v>
      </c>
      <c r="F10" s="12" t="s">
        <v>191</v>
      </c>
      <c r="G10" s="12" t="s">
        <v>191</v>
      </c>
      <c r="H10" s="12" t="s">
        <v>191</v>
      </c>
      <c r="I10" s="12" t="s">
        <v>191</v>
      </c>
      <c r="J10" s="12" t="s">
        <v>191</v>
      </c>
      <c r="K10" s="12" t="s">
        <v>191</v>
      </c>
      <c r="L10" s="12" t="s">
        <v>182</v>
      </c>
      <c r="M10" s="12" t="s">
        <v>194</v>
      </c>
    </row>
    <row r="11" spans="1:13" s="5" customFormat="1" x14ac:dyDescent="0.2">
      <c r="A11" s="8">
        <v>10</v>
      </c>
      <c r="B11" s="5" t="s">
        <v>15</v>
      </c>
      <c r="C11" s="8" t="s">
        <v>108</v>
      </c>
      <c r="D11" s="12" t="s">
        <v>191</v>
      </c>
      <c r="E11" s="12" t="s">
        <v>182</v>
      </c>
      <c r="F11" s="12" t="s">
        <v>194</v>
      </c>
      <c r="G11" s="12" t="s">
        <v>194</v>
      </c>
      <c r="H11" s="12" t="s">
        <v>194</v>
      </c>
      <c r="I11" s="12" t="s">
        <v>194</v>
      </c>
      <c r="J11" s="12" t="s">
        <v>194</v>
      </c>
      <c r="K11" s="12" t="s">
        <v>194</v>
      </c>
      <c r="L11" s="12" t="s">
        <v>182</v>
      </c>
      <c r="M11" s="12" t="s">
        <v>191</v>
      </c>
    </row>
    <row r="12" spans="1:13" s="5" customFormat="1" x14ac:dyDescent="0.2">
      <c r="A12" s="8">
        <v>11</v>
      </c>
      <c r="B12" s="5" t="s">
        <v>16</v>
      </c>
      <c r="C12" s="8" t="s">
        <v>109</v>
      </c>
      <c r="D12" s="12" t="s">
        <v>182</v>
      </c>
      <c r="E12" s="12" t="s">
        <v>187</v>
      </c>
      <c r="F12" s="12" t="s">
        <v>182</v>
      </c>
      <c r="G12" s="12" t="s">
        <v>183</v>
      </c>
      <c r="H12" s="12" t="s">
        <v>181</v>
      </c>
      <c r="I12" s="12" t="s">
        <v>181</v>
      </c>
      <c r="J12" s="12" t="s">
        <v>181</v>
      </c>
      <c r="K12" s="12" t="s">
        <v>181</v>
      </c>
      <c r="L12" s="12" t="s">
        <v>181</v>
      </c>
      <c r="M12" s="12" t="s">
        <v>181</v>
      </c>
    </row>
    <row r="13" spans="1:13" s="5" customFormat="1" x14ac:dyDescent="0.2">
      <c r="A13" s="8">
        <v>12</v>
      </c>
      <c r="B13" s="5" t="s">
        <v>17</v>
      </c>
      <c r="C13" s="8" t="s">
        <v>110</v>
      </c>
      <c r="D13" s="12" t="s">
        <v>181</v>
      </c>
      <c r="E13" s="12" t="s">
        <v>181</v>
      </c>
      <c r="F13" s="12" t="s">
        <v>182</v>
      </c>
      <c r="G13" s="12" t="s">
        <v>182</v>
      </c>
      <c r="H13" s="12" t="s">
        <v>185</v>
      </c>
      <c r="I13" s="12" t="s">
        <v>182</v>
      </c>
      <c r="J13" s="12" t="s">
        <v>182</v>
      </c>
      <c r="K13" s="12" t="s">
        <v>181</v>
      </c>
      <c r="L13" s="12" t="s">
        <v>181</v>
      </c>
      <c r="M13" s="12" t="s">
        <v>181</v>
      </c>
    </row>
    <row r="14" spans="1:13" s="5" customFormat="1" x14ac:dyDescent="0.2">
      <c r="A14" s="8">
        <v>13</v>
      </c>
      <c r="B14" s="5" t="s">
        <v>18</v>
      </c>
      <c r="C14" s="8"/>
      <c r="D14" s="12" t="s">
        <v>181</v>
      </c>
      <c r="E14" s="12" t="s">
        <v>181</v>
      </c>
      <c r="F14" s="12" t="s">
        <v>181</v>
      </c>
      <c r="G14" s="12" t="s">
        <v>181</v>
      </c>
      <c r="H14" s="12" t="s">
        <v>181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 x14ac:dyDescent="0.2">
      <c r="A15" s="8">
        <v>14</v>
      </c>
      <c r="B15" s="5" t="s">
        <v>19</v>
      </c>
      <c r="C15" s="8" t="s">
        <v>111</v>
      </c>
      <c r="D15" s="12" t="s">
        <v>181</v>
      </c>
      <c r="E15" s="12" t="s">
        <v>181</v>
      </c>
      <c r="F15" s="12" t="s">
        <v>181</v>
      </c>
      <c r="G15" s="12" t="s">
        <v>181</v>
      </c>
      <c r="H15" s="12" t="s">
        <v>181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 x14ac:dyDescent="0.2">
      <c r="A16" s="8">
        <v>15</v>
      </c>
      <c r="B16" s="5" t="s">
        <v>20</v>
      </c>
      <c r="C16" s="8" t="s">
        <v>112</v>
      </c>
      <c r="D16" s="12" t="s">
        <v>181</v>
      </c>
      <c r="E16" s="12" t="s">
        <v>181</v>
      </c>
      <c r="F16" s="12" t="s">
        <v>181</v>
      </c>
      <c r="G16" s="12" t="s">
        <v>181</v>
      </c>
      <c r="H16" s="12" t="s">
        <v>181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 x14ac:dyDescent="0.2">
      <c r="A17" s="8">
        <v>16</v>
      </c>
      <c r="B17" s="5" t="s">
        <v>21</v>
      </c>
      <c r="C17" s="8" t="s">
        <v>113</v>
      </c>
      <c r="D17" s="12" t="s">
        <v>194</v>
      </c>
      <c r="E17" s="12" t="s">
        <v>194</v>
      </c>
      <c r="F17" s="12" t="s">
        <v>182</v>
      </c>
      <c r="G17" s="12" t="s">
        <v>182</v>
      </c>
      <c r="H17" s="12" t="s">
        <v>182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 x14ac:dyDescent="0.2">
      <c r="A18" s="8">
        <v>17</v>
      </c>
      <c r="B18" s="5" t="s">
        <v>22</v>
      </c>
      <c r="C18" s="8">
        <v>0</v>
      </c>
      <c r="D18" s="12" t="s">
        <v>187</v>
      </c>
      <c r="E18" s="12" t="s">
        <v>196</v>
      </c>
      <c r="F18" s="12" t="s">
        <v>196</v>
      </c>
      <c r="G18" s="12" t="s">
        <v>188</v>
      </c>
      <c r="H18" s="12" t="s">
        <v>196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 x14ac:dyDescent="0.2">
      <c r="A19" s="8">
        <v>18</v>
      </c>
      <c r="B19" s="5" t="s">
        <v>23</v>
      </c>
      <c r="C19" s="8">
        <v>1</v>
      </c>
      <c r="D19" s="12" t="s">
        <v>182</v>
      </c>
      <c r="E19" s="12" t="s">
        <v>193</v>
      </c>
      <c r="F19" s="12" t="s">
        <v>189</v>
      </c>
      <c r="G19" s="12" t="s">
        <v>182</v>
      </c>
      <c r="H19" s="12" t="s">
        <v>182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 x14ac:dyDescent="0.2">
      <c r="A20" s="8">
        <v>19</v>
      </c>
      <c r="B20" s="5" t="s">
        <v>24</v>
      </c>
      <c r="C20" s="8">
        <v>2</v>
      </c>
      <c r="D20" s="12" t="s">
        <v>187</v>
      </c>
      <c r="E20" s="12" t="s">
        <v>196</v>
      </c>
      <c r="F20" s="12" t="s">
        <v>196</v>
      </c>
      <c r="G20" s="12" t="s">
        <v>197</v>
      </c>
      <c r="H20" s="12" t="s">
        <v>194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 x14ac:dyDescent="0.2">
      <c r="A21" s="8">
        <v>20</v>
      </c>
      <c r="B21" s="5" t="s">
        <v>25</v>
      </c>
      <c r="C21" s="8">
        <v>3</v>
      </c>
      <c r="D21" s="12" t="s">
        <v>187</v>
      </c>
      <c r="E21" s="12" t="s">
        <v>196</v>
      </c>
      <c r="F21" s="12" t="s">
        <v>197</v>
      </c>
      <c r="G21" s="12" t="s">
        <v>198</v>
      </c>
      <c r="H21" s="12" t="s">
        <v>197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 x14ac:dyDescent="0.2">
      <c r="A22" s="8">
        <v>21</v>
      </c>
      <c r="B22" s="5" t="s">
        <v>26</v>
      </c>
      <c r="C22" s="8">
        <v>4</v>
      </c>
      <c r="D22" s="12" t="s">
        <v>194</v>
      </c>
      <c r="E22" s="12" t="s">
        <v>198</v>
      </c>
      <c r="F22" s="12" t="s">
        <v>183</v>
      </c>
      <c r="G22" s="12" t="s">
        <v>183</v>
      </c>
      <c r="H22" s="12" t="s">
        <v>186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 x14ac:dyDescent="0.2">
      <c r="A23" s="8">
        <v>22</v>
      </c>
      <c r="B23" s="5" t="s">
        <v>27</v>
      </c>
      <c r="C23" s="8">
        <v>5</v>
      </c>
      <c r="D23" s="12" t="s">
        <v>185</v>
      </c>
      <c r="E23" s="12" t="s">
        <v>199</v>
      </c>
      <c r="F23" s="12" t="s">
        <v>199</v>
      </c>
      <c r="G23" s="12" t="s">
        <v>200</v>
      </c>
      <c r="H23" s="12" t="s">
        <v>197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 x14ac:dyDescent="0.2">
      <c r="A24" s="8">
        <v>23</v>
      </c>
      <c r="B24" s="5" t="s">
        <v>28</v>
      </c>
      <c r="C24" s="8">
        <v>6</v>
      </c>
      <c r="D24" s="12" t="s">
        <v>187</v>
      </c>
      <c r="E24" s="12" t="s">
        <v>196</v>
      </c>
      <c r="F24" s="12" t="s">
        <v>199</v>
      </c>
      <c r="G24" s="12" t="s">
        <v>200</v>
      </c>
      <c r="H24" s="12" t="s">
        <v>196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 x14ac:dyDescent="0.2">
      <c r="A25" s="8">
        <v>24</v>
      </c>
      <c r="B25" s="5" t="s">
        <v>29</v>
      </c>
      <c r="C25" s="8">
        <v>7</v>
      </c>
      <c r="D25" s="12" t="s">
        <v>185</v>
      </c>
      <c r="E25" s="12" t="s">
        <v>197</v>
      </c>
      <c r="F25" s="12" t="s">
        <v>194</v>
      </c>
      <c r="G25" s="12" t="s">
        <v>182</v>
      </c>
      <c r="H25" s="12" t="s">
        <v>182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 x14ac:dyDescent="0.2">
      <c r="A26" s="8">
        <v>25</v>
      </c>
      <c r="B26" s="5" t="s">
        <v>30</v>
      </c>
      <c r="C26" s="8">
        <v>8</v>
      </c>
      <c r="D26" s="12" t="s">
        <v>187</v>
      </c>
      <c r="E26" s="12" t="s">
        <v>196</v>
      </c>
      <c r="F26" s="12" t="s">
        <v>196</v>
      </c>
      <c r="G26" s="12" t="s">
        <v>187</v>
      </c>
      <c r="H26" s="12" t="s">
        <v>196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 x14ac:dyDescent="0.2">
      <c r="A27" s="8">
        <v>26</v>
      </c>
      <c r="B27" s="5" t="s">
        <v>31</v>
      </c>
      <c r="C27" s="8">
        <v>9</v>
      </c>
      <c r="D27" s="12" t="s">
        <v>187</v>
      </c>
      <c r="E27" s="12" t="s">
        <v>196</v>
      </c>
      <c r="F27" s="12" t="s">
        <v>196</v>
      </c>
      <c r="G27" s="12" t="s">
        <v>196</v>
      </c>
      <c r="H27" s="12" t="s">
        <v>201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 x14ac:dyDescent="0.2">
      <c r="A28" s="8">
        <v>27</v>
      </c>
      <c r="B28" s="5" t="s">
        <v>32</v>
      </c>
      <c r="C28" s="8" t="s">
        <v>114</v>
      </c>
      <c r="D28" s="12" t="s">
        <v>181</v>
      </c>
      <c r="E28" s="12" t="s">
        <v>181</v>
      </c>
      <c r="F28" s="12" t="s">
        <v>182</v>
      </c>
      <c r="G28" s="12" t="s">
        <v>181</v>
      </c>
      <c r="H28" s="12" t="s">
        <v>181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 x14ac:dyDescent="0.2">
      <c r="A29" s="8">
        <v>28</v>
      </c>
      <c r="B29" s="5" t="s">
        <v>33</v>
      </c>
      <c r="C29" s="8" t="s">
        <v>115</v>
      </c>
      <c r="D29" s="12" t="s">
        <v>181</v>
      </c>
      <c r="E29" s="12" t="s">
        <v>181</v>
      </c>
      <c r="F29" s="12" t="s">
        <v>181</v>
      </c>
      <c r="G29" s="12" t="s">
        <v>182</v>
      </c>
      <c r="H29" s="12" t="s">
        <v>181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 x14ac:dyDescent="0.2">
      <c r="A30" s="8">
        <v>29</v>
      </c>
      <c r="B30" s="5" t="s">
        <v>34</v>
      </c>
      <c r="C30" s="8" t="s">
        <v>116</v>
      </c>
      <c r="D30" s="12" t="s">
        <v>181</v>
      </c>
      <c r="E30" s="12" t="s">
        <v>181</v>
      </c>
      <c r="F30" s="12" t="s">
        <v>202</v>
      </c>
      <c r="G30" s="12" t="s">
        <v>193</v>
      </c>
      <c r="H30" s="12" t="s">
        <v>199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 x14ac:dyDescent="0.2">
      <c r="A31" s="8">
        <v>30</v>
      </c>
      <c r="B31" s="5" t="s">
        <v>35</v>
      </c>
      <c r="C31" s="8" t="s">
        <v>117</v>
      </c>
      <c r="D31" s="12" t="s">
        <v>181</v>
      </c>
      <c r="E31" s="12" t="s">
        <v>181</v>
      </c>
      <c r="F31" s="12" t="s">
        <v>181</v>
      </c>
      <c r="G31" s="12" t="s">
        <v>185</v>
      </c>
      <c r="H31" s="12" t="s">
        <v>181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 x14ac:dyDescent="0.2">
      <c r="A32" s="8">
        <v>31</v>
      </c>
      <c r="B32" s="5" t="s">
        <v>36</v>
      </c>
      <c r="C32" s="8" t="s">
        <v>118</v>
      </c>
      <c r="D32" s="12" t="s">
        <v>181</v>
      </c>
      <c r="E32" s="12" t="s">
        <v>181</v>
      </c>
      <c r="F32" s="12" t="s">
        <v>203</v>
      </c>
      <c r="G32" s="12" t="s">
        <v>198</v>
      </c>
      <c r="H32" s="12" t="s">
        <v>197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 x14ac:dyDescent="0.2">
      <c r="A33" s="8">
        <v>32</v>
      </c>
      <c r="B33" s="5" t="s">
        <v>37</v>
      </c>
      <c r="C33" s="8" t="s">
        <v>119</v>
      </c>
      <c r="D33" s="12" t="s">
        <v>187</v>
      </c>
      <c r="E33" s="12" t="s">
        <v>196</v>
      </c>
      <c r="F33" s="12" t="s">
        <v>197</v>
      </c>
      <c r="G33" s="12" t="s">
        <v>194</v>
      </c>
      <c r="H33" s="12" t="s">
        <v>182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 x14ac:dyDescent="0.2">
      <c r="A34" s="8">
        <v>33</v>
      </c>
      <c r="B34" s="5" t="s">
        <v>38</v>
      </c>
      <c r="C34" s="8" t="s">
        <v>120</v>
      </c>
      <c r="D34" s="12" t="s">
        <v>187</v>
      </c>
      <c r="E34" s="12" t="s">
        <v>196</v>
      </c>
      <c r="F34" s="12" t="s">
        <v>204</v>
      </c>
      <c r="G34" s="12" t="s">
        <v>188</v>
      </c>
      <c r="H34" s="12" t="s">
        <v>205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 x14ac:dyDescent="0.2">
      <c r="A35" s="8">
        <v>34</v>
      </c>
      <c r="B35" s="5" t="s">
        <v>39</v>
      </c>
      <c r="C35" s="8" t="s">
        <v>121</v>
      </c>
      <c r="D35" s="12" t="s">
        <v>182</v>
      </c>
      <c r="E35" s="12" t="s">
        <v>183</v>
      </c>
      <c r="F35" s="12" t="s">
        <v>183</v>
      </c>
      <c r="G35" s="12" t="s">
        <v>183</v>
      </c>
      <c r="H35" s="12" t="s">
        <v>183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 x14ac:dyDescent="0.2">
      <c r="A36" s="8">
        <v>35</v>
      </c>
      <c r="B36" s="5" t="s">
        <v>40</v>
      </c>
      <c r="C36" s="8" t="s">
        <v>122</v>
      </c>
      <c r="D36" s="12" t="s">
        <v>200</v>
      </c>
      <c r="E36" s="12" t="s">
        <v>196</v>
      </c>
      <c r="F36" s="12" t="s">
        <v>196</v>
      </c>
      <c r="G36" s="12" t="s">
        <v>200</v>
      </c>
      <c r="H36" s="12" t="s">
        <v>196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 x14ac:dyDescent="0.2">
      <c r="A37" s="8">
        <v>36</v>
      </c>
      <c r="B37" s="5" t="s">
        <v>41</v>
      </c>
      <c r="C37" s="8" t="s">
        <v>2</v>
      </c>
      <c r="D37" s="12" t="s">
        <v>187</v>
      </c>
      <c r="E37" s="12" t="s">
        <v>196</v>
      </c>
      <c r="F37" s="12" t="s">
        <v>199</v>
      </c>
      <c r="G37" s="12" t="s">
        <v>199</v>
      </c>
      <c r="H37" s="12" t="s">
        <v>199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 x14ac:dyDescent="0.2">
      <c r="A38" s="8">
        <v>37</v>
      </c>
      <c r="B38" s="5" t="s">
        <v>42</v>
      </c>
      <c r="C38" s="8" t="s">
        <v>123</v>
      </c>
      <c r="D38" s="12" t="s">
        <v>206</v>
      </c>
      <c r="E38" s="12" t="s">
        <v>186</v>
      </c>
      <c r="F38" s="12" t="s">
        <v>196</v>
      </c>
      <c r="G38" s="12" t="s">
        <v>196</v>
      </c>
      <c r="H38" s="12" t="s">
        <v>196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 x14ac:dyDescent="0.2">
      <c r="A39" s="8">
        <v>38</v>
      </c>
      <c r="B39" s="5" t="s">
        <v>43</v>
      </c>
      <c r="C39" s="8" t="s">
        <v>4</v>
      </c>
      <c r="D39" s="12" t="s">
        <v>185</v>
      </c>
      <c r="E39" s="12" t="s">
        <v>199</v>
      </c>
      <c r="F39" s="12" t="s">
        <v>199</v>
      </c>
      <c r="G39" s="12" t="s">
        <v>185</v>
      </c>
      <c r="H39" s="12" t="s">
        <v>199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 x14ac:dyDescent="0.2">
      <c r="A40" s="8">
        <v>39</v>
      </c>
      <c r="B40" s="5" t="s">
        <v>44</v>
      </c>
      <c r="C40" s="8" t="s">
        <v>3</v>
      </c>
      <c r="D40" s="12" t="s">
        <v>185</v>
      </c>
      <c r="E40" s="12" t="s">
        <v>199</v>
      </c>
      <c r="F40" s="12" t="s">
        <v>199</v>
      </c>
      <c r="G40" s="12" t="s">
        <v>200</v>
      </c>
      <c r="H40" s="12" t="s">
        <v>199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 x14ac:dyDescent="0.2">
      <c r="A41" s="8">
        <v>40</v>
      </c>
      <c r="B41" s="5" t="s">
        <v>45</v>
      </c>
      <c r="C41" s="8" t="s">
        <v>124</v>
      </c>
      <c r="D41" s="12" t="s">
        <v>187</v>
      </c>
      <c r="E41" s="12" t="s">
        <v>196</v>
      </c>
      <c r="F41" s="12" t="s">
        <v>199</v>
      </c>
      <c r="G41" s="12" t="s">
        <v>199</v>
      </c>
      <c r="H41" s="12" t="s">
        <v>205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 x14ac:dyDescent="0.2">
      <c r="A42" s="8">
        <v>41</v>
      </c>
      <c r="B42" s="5" t="s">
        <v>46</v>
      </c>
      <c r="C42" s="8" t="s">
        <v>125</v>
      </c>
      <c r="D42" s="12" t="s">
        <v>196</v>
      </c>
      <c r="E42" s="12" t="s">
        <v>196</v>
      </c>
      <c r="F42" s="12" t="s">
        <v>196</v>
      </c>
      <c r="G42" s="12" t="s">
        <v>185</v>
      </c>
      <c r="H42" s="12" t="s">
        <v>196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 x14ac:dyDescent="0.2">
      <c r="A43" s="8">
        <v>42</v>
      </c>
      <c r="B43" s="5" t="s">
        <v>47</v>
      </c>
      <c r="C43" s="8" t="s">
        <v>126</v>
      </c>
      <c r="D43" s="12" t="s">
        <v>187</v>
      </c>
      <c r="E43" s="12" t="s">
        <v>182</v>
      </c>
      <c r="F43" s="12" t="s">
        <v>182</v>
      </c>
      <c r="G43" s="12" t="s">
        <v>182</v>
      </c>
      <c r="H43" s="12" t="s">
        <v>182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 x14ac:dyDescent="0.2">
      <c r="A44" s="8">
        <v>43</v>
      </c>
      <c r="B44" s="5" t="s">
        <v>48</v>
      </c>
      <c r="C44" s="8" t="s">
        <v>127</v>
      </c>
      <c r="D44" s="12" t="s">
        <v>197</v>
      </c>
      <c r="E44" s="12" t="s">
        <v>197</v>
      </c>
      <c r="F44" s="12" t="s">
        <v>197</v>
      </c>
      <c r="G44" s="12" t="s">
        <v>197</v>
      </c>
      <c r="H44" s="12" t="s">
        <v>197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 x14ac:dyDescent="0.2">
      <c r="A45" s="8">
        <v>44</v>
      </c>
      <c r="B45" s="5" t="s">
        <v>49</v>
      </c>
      <c r="C45" s="8" t="s">
        <v>128</v>
      </c>
      <c r="D45" s="12" t="s">
        <v>196</v>
      </c>
      <c r="E45" s="12" t="s">
        <v>186</v>
      </c>
      <c r="F45" s="12" t="s">
        <v>189</v>
      </c>
      <c r="G45" s="12" t="s">
        <v>203</v>
      </c>
      <c r="H45" s="12" t="s">
        <v>189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 x14ac:dyDescent="0.2">
      <c r="A46" s="8">
        <v>45</v>
      </c>
      <c r="B46" s="5" t="s">
        <v>50</v>
      </c>
      <c r="C46" s="8" t="s">
        <v>129</v>
      </c>
      <c r="D46" s="12" t="s">
        <v>199</v>
      </c>
      <c r="E46" s="12" t="s">
        <v>199</v>
      </c>
      <c r="F46" s="12" t="s">
        <v>199</v>
      </c>
      <c r="G46" s="12" t="s">
        <v>199</v>
      </c>
      <c r="H46" s="12" t="s">
        <v>199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 x14ac:dyDescent="0.2">
      <c r="A47" s="8">
        <v>46</v>
      </c>
      <c r="B47" s="5" t="s">
        <v>51</v>
      </c>
      <c r="C47" s="8" t="s">
        <v>130</v>
      </c>
      <c r="D47" s="12" t="s">
        <v>196</v>
      </c>
      <c r="E47" s="12" t="s">
        <v>207</v>
      </c>
      <c r="F47" s="12" t="s">
        <v>207</v>
      </c>
      <c r="G47" s="12" t="s">
        <v>188</v>
      </c>
      <c r="H47" s="12" t="s">
        <v>196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 x14ac:dyDescent="0.2">
      <c r="A48" s="8">
        <v>47</v>
      </c>
      <c r="B48" s="5" t="s">
        <v>52</v>
      </c>
      <c r="C48" s="8" t="s">
        <v>131</v>
      </c>
      <c r="D48" s="12" t="s">
        <v>196</v>
      </c>
      <c r="E48" s="12" t="s">
        <v>208</v>
      </c>
      <c r="F48" s="12" t="s">
        <v>208</v>
      </c>
      <c r="G48" s="12" t="s">
        <v>188</v>
      </c>
      <c r="H48" s="12" t="s">
        <v>188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 x14ac:dyDescent="0.2">
      <c r="A49" s="8">
        <v>48</v>
      </c>
      <c r="B49" s="5" t="s">
        <v>53</v>
      </c>
      <c r="C49" s="8" t="s">
        <v>132</v>
      </c>
      <c r="D49" s="12" t="s">
        <v>187</v>
      </c>
      <c r="E49" s="12" t="s">
        <v>196</v>
      </c>
      <c r="F49" s="12" t="s">
        <v>196</v>
      </c>
      <c r="G49" s="12" t="s">
        <v>196</v>
      </c>
      <c r="H49" s="12" t="s">
        <v>196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 x14ac:dyDescent="0.2">
      <c r="A50" s="8">
        <v>49</v>
      </c>
      <c r="B50" s="5" t="s">
        <v>54</v>
      </c>
      <c r="C50" s="8" t="s">
        <v>133</v>
      </c>
      <c r="D50" s="12" t="s">
        <v>200</v>
      </c>
      <c r="E50" s="12" t="s">
        <v>196</v>
      </c>
      <c r="F50" s="12" t="s">
        <v>196</v>
      </c>
      <c r="G50" s="12" t="s">
        <v>196</v>
      </c>
      <c r="H50" s="12" t="s">
        <v>200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 x14ac:dyDescent="0.2">
      <c r="A51" s="8">
        <v>50</v>
      </c>
      <c r="B51" s="5" t="s">
        <v>55</v>
      </c>
      <c r="C51" s="8" t="s">
        <v>134</v>
      </c>
      <c r="D51" s="12" t="s">
        <v>187</v>
      </c>
      <c r="E51" s="12" t="s">
        <v>196</v>
      </c>
      <c r="F51" s="12" t="s">
        <v>196</v>
      </c>
      <c r="G51" s="12" t="s">
        <v>196</v>
      </c>
      <c r="H51" s="12" t="s">
        <v>196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 x14ac:dyDescent="0.2">
      <c r="A52" s="8">
        <v>51</v>
      </c>
      <c r="B52" s="5" t="s">
        <v>56</v>
      </c>
      <c r="C52" s="8" t="s">
        <v>135</v>
      </c>
      <c r="D52" s="12" t="s">
        <v>200</v>
      </c>
      <c r="E52" s="12" t="s">
        <v>196</v>
      </c>
      <c r="F52" s="12" t="s">
        <v>196</v>
      </c>
      <c r="G52" s="12" t="s">
        <v>196</v>
      </c>
      <c r="H52" s="12" t="s">
        <v>200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 x14ac:dyDescent="0.2">
      <c r="A53" s="8">
        <v>52</v>
      </c>
      <c r="B53" s="5" t="s">
        <v>57</v>
      </c>
      <c r="C53" s="8" t="s">
        <v>136</v>
      </c>
      <c r="D53" s="12" t="s">
        <v>187</v>
      </c>
      <c r="E53" s="12" t="s">
        <v>196</v>
      </c>
      <c r="F53" s="12" t="s">
        <v>199</v>
      </c>
      <c r="G53" s="12" t="s">
        <v>193</v>
      </c>
      <c r="H53" s="12" t="s">
        <v>194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 x14ac:dyDescent="0.2">
      <c r="A54" s="8">
        <v>53</v>
      </c>
      <c r="B54" s="5" t="s">
        <v>58</v>
      </c>
      <c r="C54" s="8" t="s">
        <v>137</v>
      </c>
      <c r="D54" s="12" t="s">
        <v>185</v>
      </c>
      <c r="E54" s="12" t="s">
        <v>182</v>
      </c>
      <c r="F54" s="12" t="s">
        <v>182</v>
      </c>
      <c r="G54" s="12" t="s">
        <v>182</v>
      </c>
      <c r="H54" s="12" t="s">
        <v>182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 x14ac:dyDescent="0.2">
      <c r="A55" s="8">
        <v>54</v>
      </c>
      <c r="B55" s="5" t="s">
        <v>59</v>
      </c>
      <c r="C55" s="8" t="s">
        <v>138</v>
      </c>
      <c r="D55" s="12" t="s">
        <v>196</v>
      </c>
      <c r="E55" s="12" t="s">
        <v>196</v>
      </c>
      <c r="F55" s="12" t="s">
        <v>196</v>
      </c>
      <c r="G55" s="12" t="s">
        <v>196</v>
      </c>
      <c r="H55" s="12" t="s">
        <v>196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 x14ac:dyDescent="0.2">
      <c r="A56" s="8">
        <v>55</v>
      </c>
      <c r="B56" s="5" t="s">
        <v>60</v>
      </c>
      <c r="C56" s="8" t="s">
        <v>139</v>
      </c>
      <c r="D56" s="12" t="s">
        <v>196</v>
      </c>
      <c r="E56" s="12" t="s">
        <v>196</v>
      </c>
      <c r="F56" s="12" t="s">
        <v>196</v>
      </c>
      <c r="G56" s="12" t="s">
        <v>183</v>
      </c>
      <c r="H56" s="12" t="s">
        <v>183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 x14ac:dyDescent="0.2">
      <c r="A57" s="8">
        <v>56</v>
      </c>
      <c r="B57" s="5" t="s">
        <v>61</v>
      </c>
      <c r="C57" s="8" t="s">
        <v>140</v>
      </c>
      <c r="D57" s="12" t="s">
        <v>196</v>
      </c>
      <c r="E57" s="12" t="s">
        <v>196</v>
      </c>
      <c r="F57" s="12" t="s">
        <v>188</v>
      </c>
      <c r="G57" s="12" t="s">
        <v>188</v>
      </c>
      <c r="H57" s="12" t="s">
        <v>188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 x14ac:dyDescent="0.2">
      <c r="A58" s="8">
        <v>57</v>
      </c>
      <c r="B58" s="5" t="s">
        <v>62</v>
      </c>
      <c r="C58" s="8" t="s">
        <v>141</v>
      </c>
      <c r="D58" s="12" t="s">
        <v>196</v>
      </c>
      <c r="E58" s="12" t="s">
        <v>183</v>
      </c>
      <c r="F58" s="12" t="s">
        <v>183</v>
      </c>
      <c r="G58" s="12" t="s">
        <v>182</v>
      </c>
      <c r="H58" s="12" t="s">
        <v>182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 x14ac:dyDescent="0.2">
      <c r="A59" s="8">
        <v>58</v>
      </c>
      <c r="B59" s="5" t="s">
        <v>63</v>
      </c>
      <c r="C59" s="8" t="s">
        <v>142</v>
      </c>
      <c r="D59" s="12" t="s">
        <v>196</v>
      </c>
      <c r="E59" s="12" t="s">
        <v>196</v>
      </c>
      <c r="F59" s="12" t="s">
        <v>183</v>
      </c>
      <c r="G59" s="12" t="s">
        <v>183</v>
      </c>
      <c r="H59" s="12" t="s">
        <v>182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 x14ac:dyDescent="0.2">
      <c r="A60" s="8">
        <v>59</v>
      </c>
      <c r="B60" s="5" t="s">
        <v>64</v>
      </c>
      <c r="C60" s="8" t="s">
        <v>143</v>
      </c>
      <c r="D60" s="12" t="s">
        <v>185</v>
      </c>
      <c r="E60" s="12" t="s">
        <v>197</v>
      </c>
      <c r="F60" s="12" t="s">
        <v>194</v>
      </c>
      <c r="G60" s="12" t="s">
        <v>182</v>
      </c>
      <c r="H60" s="12" t="s">
        <v>182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 x14ac:dyDescent="0.2">
      <c r="A61" s="8">
        <v>60</v>
      </c>
      <c r="B61" s="5" t="s">
        <v>65</v>
      </c>
      <c r="C61" s="8" t="s">
        <v>144</v>
      </c>
      <c r="D61" s="12" t="s">
        <v>198</v>
      </c>
      <c r="E61" s="12" t="s">
        <v>182</v>
      </c>
      <c r="F61" s="12" t="s">
        <v>182</v>
      </c>
      <c r="G61" s="12" t="s">
        <v>182</v>
      </c>
      <c r="H61" s="12" t="s">
        <v>182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 x14ac:dyDescent="0.2">
      <c r="A62" s="8">
        <v>61</v>
      </c>
      <c r="B62" s="5" t="s">
        <v>66</v>
      </c>
      <c r="C62" s="8" t="s">
        <v>145</v>
      </c>
      <c r="D62" s="12" t="s">
        <v>191</v>
      </c>
      <c r="E62" s="12" t="s">
        <v>191</v>
      </c>
      <c r="F62" s="12" t="s">
        <v>182</v>
      </c>
      <c r="G62" s="12" t="s">
        <v>182</v>
      </c>
      <c r="H62" s="12" t="s">
        <v>182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 x14ac:dyDescent="0.2">
      <c r="A63" s="8">
        <v>62</v>
      </c>
      <c r="B63" s="5" t="s">
        <v>67</v>
      </c>
      <c r="C63" s="8" t="s">
        <v>146</v>
      </c>
      <c r="D63" s="12" t="s">
        <v>193</v>
      </c>
      <c r="E63" s="12" t="s">
        <v>182</v>
      </c>
      <c r="F63" s="12" t="s">
        <v>182</v>
      </c>
      <c r="G63" s="12" t="s">
        <v>182</v>
      </c>
      <c r="H63" s="12" t="s">
        <v>182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 x14ac:dyDescent="0.2">
      <c r="A64" s="8">
        <v>63</v>
      </c>
      <c r="B64" s="5" t="s">
        <v>68</v>
      </c>
      <c r="C64" s="8" t="s">
        <v>147</v>
      </c>
      <c r="D64" s="12" t="s">
        <v>182</v>
      </c>
      <c r="E64" s="12" t="s">
        <v>183</v>
      </c>
      <c r="F64" s="12" t="s">
        <v>183</v>
      </c>
      <c r="G64" s="12" t="s">
        <v>196</v>
      </c>
      <c r="H64" s="12" t="s">
        <v>181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 x14ac:dyDescent="0.2">
      <c r="A65" s="8">
        <v>64</v>
      </c>
      <c r="B65" s="5" t="s">
        <v>69</v>
      </c>
      <c r="C65" s="8" t="s">
        <v>148</v>
      </c>
      <c r="D65" s="12" t="s">
        <v>181</v>
      </c>
      <c r="E65" s="12" t="s">
        <v>181</v>
      </c>
      <c r="F65" s="12" t="s">
        <v>181</v>
      </c>
      <c r="G65" s="12" t="s">
        <v>181</v>
      </c>
      <c r="H65" s="12" t="s">
        <v>181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 x14ac:dyDescent="0.2">
      <c r="A66" s="8">
        <v>65</v>
      </c>
      <c r="B66" s="5" t="s">
        <v>70</v>
      </c>
      <c r="C66" s="8" t="s">
        <v>149</v>
      </c>
      <c r="D66" s="12" t="s">
        <v>191</v>
      </c>
      <c r="E66" s="12" t="s">
        <v>182</v>
      </c>
      <c r="F66" s="12" t="s">
        <v>181</v>
      </c>
      <c r="G66" s="12" t="s">
        <v>181</v>
      </c>
      <c r="H66" s="12" t="s">
        <v>181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 x14ac:dyDescent="0.2">
      <c r="A67" s="8">
        <v>66</v>
      </c>
      <c r="B67" t="s">
        <v>71</v>
      </c>
      <c r="C67" s="7" t="s">
        <v>150</v>
      </c>
      <c r="D67" s="10" t="s">
        <v>181</v>
      </c>
      <c r="E67" s="10" t="s">
        <v>181</v>
      </c>
      <c r="F67" s="10" t="s">
        <v>187</v>
      </c>
      <c r="G67" s="10" t="s">
        <v>196</v>
      </c>
      <c r="H67" s="10" t="s">
        <v>201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 x14ac:dyDescent="0.2">
      <c r="A68" s="8">
        <v>67</v>
      </c>
      <c r="B68" t="s">
        <v>72</v>
      </c>
      <c r="C68" s="7" t="s">
        <v>151</v>
      </c>
      <c r="D68" s="10" t="s">
        <v>199</v>
      </c>
      <c r="E68" s="10" t="s">
        <v>199</v>
      </c>
      <c r="F68" s="10" t="s">
        <v>192</v>
      </c>
      <c r="G68" s="10" t="s">
        <v>208</v>
      </c>
      <c r="H68" s="10" t="s">
        <v>196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 x14ac:dyDescent="0.2">
      <c r="A69" s="8">
        <v>68</v>
      </c>
      <c r="B69" t="s">
        <v>73</v>
      </c>
      <c r="C69" s="7" t="s">
        <v>152</v>
      </c>
      <c r="D69" s="10" t="s">
        <v>181</v>
      </c>
      <c r="E69" s="10" t="s">
        <v>181</v>
      </c>
      <c r="F69" s="10" t="s">
        <v>187</v>
      </c>
      <c r="G69" s="10" t="s">
        <v>196</v>
      </c>
      <c r="H69" s="10" t="s">
        <v>199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 x14ac:dyDescent="0.2">
      <c r="A70" s="8">
        <v>69</v>
      </c>
      <c r="B70" t="s">
        <v>74</v>
      </c>
      <c r="C70" s="7" t="s">
        <v>153</v>
      </c>
      <c r="D70" s="10" t="s">
        <v>197</v>
      </c>
      <c r="E70" s="10" t="s">
        <v>197</v>
      </c>
      <c r="F70" s="10" t="s">
        <v>195</v>
      </c>
      <c r="G70" s="10" t="s">
        <v>204</v>
      </c>
      <c r="H70" s="10" t="s">
        <v>196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 x14ac:dyDescent="0.2">
      <c r="A71" s="8">
        <v>70</v>
      </c>
      <c r="B71" t="s">
        <v>75</v>
      </c>
      <c r="C71" s="7" t="s">
        <v>154</v>
      </c>
      <c r="D71" s="10" t="s">
        <v>181</v>
      </c>
      <c r="E71" s="10" t="s">
        <v>181</v>
      </c>
      <c r="F71" s="10" t="s">
        <v>187</v>
      </c>
      <c r="G71" s="10" t="s">
        <v>196</v>
      </c>
      <c r="H71" s="10" t="s">
        <v>185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 x14ac:dyDescent="0.2">
      <c r="A72" s="8">
        <v>71</v>
      </c>
      <c r="B72" t="s">
        <v>76</v>
      </c>
      <c r="C72" s="7" t="s">
        <v>0</v>
      </c>
      <c r="D72" s="10" t="s">
        <v>202</v>
      </c>
      <c r="E72" s="10" t="s">
        <v>182</v>
      </c>
      <c r="F72" s="10" t="s">
        <v>185</v>
      </c>
      <c r="G72" s="10" t="s">
        <v>182</v>
      </c>
      <c r="H72" s="10" t="s">
        <v>182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 x14ac:dyDescent="0.2">
      <c r="A73" s="8">
        <v>72</v>
      </c>
      <c r="B73" t="s">
        <v>77</v>
      </c>
      <c r="C73" s="7" t="s">
        <v>155</v>
      </c>
      <c r="D73" s="10" t="s">
        <v>181</v>
      </c>
      <c r="E73" s="10" t="s">
        <v>181</v>
      </c>
      <c r="F73" s="10" t="s">
        <v>195</v>
      </c>
      <c r="G73" s="10" t="s">
        <v>204</v>
      </c>
      <c r="H73" s="10" t="s">
        <v>196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 x14ac:dyDescent="0.2">
      <c r="A74" s="8">
        <v>73</v>
      </c>
      <c r="B74" t="s">
        <v>78</v>
      </c>
      <c r="C74" s="7" t="s">
        <v>156</v>
      </c>
      <c r="D74" s="10" t="s">
        <v>199</v>
      </c>
      <c r="E74" s="10" t="s">
        <v>199</v>
      </c>
      <c r="F74" s="10" t="s">
        <v>192</v>
      </c>
      <c r="G74" s="10" t="s">
        <v>208</v>
      </c>
      <c r="H74" s="10" t="s">
        <v>196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 x14ac:dyDescent="0.2">
      <c r="A75" s="8">
        <v>74</v>
      </c>
      <c r="B75" t="s">
        <v>79</v>
      </c>
      <c r="C75" s="7" t="s">
        <v>157</v>
      </c>
      <c r="D75" s="10" t="s">
        <v>182</v>
      </c>
      <c r="E75" s="10" t="s">
        <v>181</v>
      </c>
      <c r="F75" s="10" t="s">
        <v>206</v>
      </c>
      <c r="G75" s="10" t="s">
        <v>182</v>
      </c>
      <c r="H75" s="10" t="s">
        <v>182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 x14ac:dyDescent="0.2">
      <c r="A76" s="8">
        <v>75</v>
      </c>
      <c r="B76" t="s">
        <v>80</v>
      </c>
      <c r="C76" s="7" t="s">
        <v>158</v>
      </c>
      <c r="D76" s="10" t="s">
        <v>182</v>
      </c>
      <c r="E76" s="10" t="s">
        <v>181</v>
      </c>
      <c r="F76" s="10" t="s">
        <v>206</v>
      </c>
      <c r="G76" s="10" t="s">
        <v>182</v>
      </c>
      <c r="H76" s="10" t="s">
        <v>182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 x14ac:dyDescent="0.2">
      <c r="A77" s="8">
        <v>76</v>
      </c>
      <c r="B77" t="s">
        <v>81</v>
      </c>
      <c r="C77" s="7" t="s">
        <v>159</v>
      </c>
      <c r="D77" s="10" t="s">
        <v>199</v>
      </c>
      <c r="E77" s="10" t="s">
        <v>199</v>
      </c>
      <c r="F77" s="10" t="s">
        <v>186</v>
      </c>
      <c r="G77" s="10" t="s">
        <v>189</v>
      </c>
      <c r="H77" s="10" t="s">
        <v>203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 x14ac:dyDescent="0.2">
      <c r="A78" s="8">
        <v>77</v>
      </c>
      <c r="B78" t="s">
        <v>82</v>
      </c>
      <c r="C78" s="7" t="s">
        <v>160</v>
      </c>
      <c r="D78" s="10" t="s">
        <v>206</v>
      </c>
      <c r="E78" s="10" t="s">
        <v>182</v>
      </c>
      <c r="F78" s="10" t="s">
        <v>182</v>
      </c>
      <c r="G78" s="10" t="s">
        <v>182</v>
      </c>
      <c r="H78" s="10" t="s">
        <v>182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 x14ac:dyDescent="0.2">
      <c r="A79" s="8">
        <v>78</v>
      </c>
      <c r="B79" t="s">
        <v>83</v>
      </c>
      <c r="C79" s="7" t="s">
        <v>161</v>
      </c>
      <c r="D79" s="10" t="s">
        <v>181</v>
      </c>
      <c r="E79" s="10" t="s">
        <v>181</v>
      </c>
      <c r="F79" s="10" t="s">
        <v>200</v>
      </c>
      <c r="G79" s="10" t="s">
        <v>188</v>
      </c>
      <c r="H79" s="10" t="s">
        <v>188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 x14ac:dyDescent="0.2">
      <c r="A80" s="8">
        <v>79</v>
      </c>
      <c r="B80" t="s">
        <v>84</v>
      </c>
      <c r="C80" s="7" t="s">
        <v>162</v>
      </c>
      <c r="D80" s="10" t="s">
        <v>181</v>
      </c>
      <c r="E80" s="10" t="s">
        <v>181</v>
      </c>
      <c r="F80" s="10" t="s">
        <v>192</v>
      </c>
      <c r="G80" s="10" t="s">
        <v>208</v>
      </c>
      <c r="H80" s="10" t="s">
        <v>196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 x14ac:dyDescent="0.2">
      <c r="A81" s="8">
        <v>80</v>
      </c>
      <c r="B81" t="s">
        <v>85</v>
      </c>
      <c r="C81" s="7" t="s">
        <v>163</v>
      </c>
      <c r="D81" s="10" t="s">
        <v>181</v>
      </c>
      <c r="E81" s="10" t="s">
        <v>181</v>
      </c>
      <c r="F81" s="10" t="s">
        <v>187</v>
      </c>
      <c r="G81" s="10" t="s">
        <v>196</v>
      </c>
      <c r="H81" s="10" t="s">
        <v>196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 x14ac:dyDescent="0.2">
      <c r="A82" s="8">
        <v>81</v>
      </c>
      <c r="B82" t="s">
        <v>86</v>
      </c>
      <c r="C82" s="7" t="s">
        <v>164</v>
      </c>
      <c r="D82" s="10" t="s">
        <v>181</v>
      </c>
      <c r="E82" s="10" t="s">
        <v>181</v>
      </c>
      <c r="F82" s="10" t="s">
        <v>192</v>
      </c>
      <c r="G82" s="10" t="s">
        <v>208</v>
      </c>
      <c r="H82" s="10" t="s">
        <v>196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 x14ac:dyDescent="0.2">
      <c r="A83" s="8">
        <v>82</v>
      </c>
      <c r="B83" t="s">
        <v>87</v>
      </c>
      <c r="C83" s="7" t="s">
        <v>165</v>
      </c>
      <c r="D83" s="10" t="s">
        <v>181</v>
      </c>
      <c r="E83" s="10" t="s">
        <v>181</v>
      </c>
      <c r="F83" s="10" t="s">
        <v>195</v>
      </c>
      <c r="G83" s="10" t="s">
        <v>204</v>
      </c>
      <c r="H83" s="10" t="s">
        <v>196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 x14ac:dyDescent="0.2">
      <c r="A84" s="8">
        <v>83</v>
      </c>
      <c r="B84" t="s">
        <v>88</v>
      </c>
      <c r="C84" s="7" t="s">
        <v>166</v>
      </c>
      <c r="D84" s="10" t="s">
        <v>181</v>
      </c>
      <c r="E84" s="10" t="s">
        <v>181</v>
      </c>
      <c r="F84" s="10" t="s">
        <v>192</v>
      </c>
      <c r="G84" s="10" t="s">
        <v>208</v>
      </c>
      <c r="H84" s="10" t="s">
        <v>199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 x14ac:dyDescent="0.2">
      <c r="A85" s="8">
        <v>84</v>
      </c>
      <c r="B85" t="s">
        <v>89</v>
      </c>
      <c r="C85" s="7" t="s">
        <v>167</v>
      </c>
      <c r="D85" s="10" t="s">
        <v>181</v>
      </c>
      <c r="E85" s="10" t="s">
        <v>181</v>
      </c>
      <c r="F85" s="10" t="s">
        <v>187</v>
      </c>
      <c r="G85" s="10" t="s">
        <v>196</v>
      </c>
      <c r="H85" s="10" t="s">
        <v>193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 x14ac:dyDescent="0.2">
      <c r="A86" s="8">
        <v>85</v>
      </c>
      <c r="B86" t="s">
        <v>90</v>
      </c>
      <c r="C86" s="7" t="s">
        <v>168</v>
      </c>
      <c r="D86" s="10" t="s">
        <v>191</v>
      </c>
      <c r="E86" s="10" t="s">
        <v>191</v>
      </c>
      <c r="F86" s="10" t="s">
        <v>200</v>
      </c>
      <c r="G86" s="10" t="s">
        <v>191</v>
      </c>
      <c r="H86" s="10" t="s">
        <v>191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 x14ac:dyDescent="0.2">
      <c r="A87" s="8">
        <v>86</v>
      </c>
      <c r="B87" t="s">
        <v>91</v>
      </c>
      <c r="C87" s="7" t="s">
        <v>169</v>
      </c>
      <c r="D87" s="10" t="s">
        <v>181</v>
      </c>
      <c r="E87" s="10" t="s">
        <v>181</v>
      </c>
      <c r="F87" s="10" t="s">
        <v>196</v>
      </c>
      <c r="G87" s="10" t="s">
        <v>196</v>
      </c>
      <c r="H87" s="10" t="s">
        <v>196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 x14ac:dyDescent="0.2">
      <c r="A88" s="8">
        <v>87</v>
      </c>
      <c r="B88" t="s">
        <v>92</v>
      </c>
      <c r="C88" s="7" t="s">
        <v>170</v>
      </c>
      <c r="D88" s="10" t="s">
        <v>181</v>
      </c>
      <c r="E88" s="10" t="s">
        <v>181</v>
      </c>
      <c r="F88" s="10" t="s">
        <v>196</v>
      </c>
      <c r="G88" s="10" t="s">
        <v>196</v>
      </c>
      <c r="H88" s="10" t="s">
        <v>183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 x14ac:dyDescent="0.2">
      <c r="A89" s="8">
        <v>88</v>
      </c>
      <c r="B89" t="s">
        <v>93</v>
      </c>
      <c r="C89" s="7" t="s">
        <v>171</v>
      </c>
      <c r="D89" s="10" t="s">
        <v>181</v>
      </c>
      <c r="E89" s="10" t="s">
        <v>181</v>
      </c>
      <c r="F89" s="10" t="s">
        <v>188</v>
      </c>
      <c r="G89" s="10" t="s">
        <v>188</v>
      </c>
      <c r="H89" s="10" t="s">
        <v>188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 x14ac:dyDescent="0.2">
      <c r="A90" s="8">
        <v>89</v>
      </c>
      <c r="B90" t="s">
        <v>94</v>
      </c>
      <c r="C90" s="7" t="s">
        <v>172</v>
      </c>
      <c r="D90" s="10" t="s">
        <v>181</v>
      </c>
      <c r="E90" s="10" t="s">
        <v>181</v>
      </c>
      <c r="F90" s="10" t="s">
        <v>196</v>
      </c>
      <c r="G90" s="10" t="s">
        <v>183</v>
      </c>
      <c r="H90" s="10" t="s">
        <v>182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 x14ac:dyDescent="0.2">
      <c r="A91" s="8">
        <v>90</v>
      </c>
      <c r="B91" t="s">
        <v>95</v>
      </c>
      <c r="C91" s="7" t="s">
        <v>173</v>
      </c>
      <c r="D91" s="10" t="s">
        <v>181</v>
      </c>
      <c r="E91" s="10" t="s">
        <v>181</v>
      </c>
      <c r="F91" s="10" t="s">
        <v>196</v>
      </c>
      <c r="G91" s="10" t="s">
        <v>196</v>
      </c>
      <c r="H91" s="10" t="s">
        <v>183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 x14ac:dyDescent="0.2">
      <c r="A92" s="8">
        <v>91</v>
      </c>
      <c r="B92" t="s">
        <v>96</v>
      </c>
      <c r="C92" s="7" t="s">
        <v>174</v>
      </c>
      <c r="D92" s="10" t="s">
        <v>181</v>
      </c>
      <c r="E92" s="10" t="s">
        <v>181</v>
      </c>
      <c r="F92" s="10" t="s">
        <v>185</v>
      </c>
      <c r="G92" s="10" t="s">
        <v>194</v>
      </c>
      <c r="H92" s="10" t="s">
        <v>182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 x14ac:dyDescent="0.2">
      <c r="A93" s="8">
        <v>92</v>
      </c>
      <c r="B93" t="s">
        <v>97</v>
      </c>
      <c r="C93" s="7" t="s">
        <v>175</v>
      </c>
      <c r="D93" s="10" t="s">
        <v>198</v>
      </c>
      <c r="E93" s="10" t="s">
        <v>182</v>
      </c>
      <c r="F93" s="10" t="s">
        <v>182</v>
      </c>
      <c r="G93" s="10" t="s">
        <v>182</v>
      </c>
      <c r="H93" s="10" t="s">
        <v>191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 x14ac:dyDescent="0.2">
      <c r="A94" s="8">
        <v>93</v>
      </c>
      <c r="B94" t="s">
        <v>98</v>
      </c>
      <c r="C94" s="7" t="s">
        <v>176</v>
      </c>
      <c r="D94" s="10" t="s">
        <v>182</v>
      </c>
      <c r="E94" s="10" t="s">
        <v>182</v>
      </c>
      <c r="F94" s="10" t="s">
        <v>182</v>
      </c>
      <c r="G94" s="10" t="s">
        <v>182</v>
      </c>
      <c r="H94" s="10" t="s">
        <v>182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 x14ac:dyDescent="0.2">
      <c r="A95" s="8">
        <v>94</v>
      </c>
      <c r="B95" t="s">
        <v>99</v>
      </c>
      <c r="C95" s="7" t="s">
        <v>177</v>
      </c>
      <c r="D95" s="10" t="s">
        <v>193</v>
      </c>
      <c r="E95" s="10" t="s">
        <v>182</v>
      </c>
      <c r="F95" s="10" t="s">
        <v>182</v>
      </c>
      <c r="G95" s="10" t="s">
        <v>182</v>
      </c>
      <c r="H95" s="10" t="s">
        <v>194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 x14ac:dyDescent="0.2">
      <c r="A96" s="8">
        <v>95</v>
      </c>
      <c r="B96" t="s">
        <v>100</v>
      </c>
      <c r="C96" s="7" t="s">
        <v>178</v>
      </c>
      <c r="D96" s="10" t="s">
        <v>181</v>
      </c>
      <c r="E96" s="10" t="s">
        <v>181</v>
      </c>
      <c r="F96" s="10" t="s">
        <v>181</v>
      </c>
      <c r="G96" s="10" t="s">
        <v>209</v>
      </c>
      <c r="H96" s="10" t="s">
        <v>204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1" x14ac:dyDescent="0.2">
      <c r="A97" s="8"/>
    </row>
    <row r="98" spans="1:1" x14ac:dyDescent="0.2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1771650</xdr:colOff>
                <xdr:row>0</xdr:row>
                <xdr:rowOff>723900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D6DEF-08C4-464F-BB92-EEFD92918E18}">
  <sheetPr codeName="Sheet7"/>
  <dimension ref="A1:EP68"/>
  <sheetViews>
    <sheetView zoomScale="87" zoomScaleNormal="87" workbookViewId="0">
      <pane xSplit="1" ySplit="1" topLeftCell="B8" activePane="bottomRight" state="frozen"/>
      <selection pane="topRight" activeCell="B1" sqref="B1"/>
      <selection pane="bottomLeft" activeCell="A3" sqref="A3"/>
      <selection pane="bottomRight" activeCell="BZ28" sqref="BZ28"/>
    </sheetView>
  </sheetViews>
  <sheetFormatPr defaultRowHeight="12.75" x14ac:dyDescent="0.2"/>
  <cols>
    <col min="1" max="1" width="6" customWidth="1"/>
    <col min="2" max="145" width="2.125" customWidth="1"/>
    <col min="146" max="146" width="6" customWidth="1"/>
    <col min="147" max="158" width="2.125" customWidth="1"/>
  </cols>
  <sheetData>
    <row r="1" spans="1:146" ht="39.950000000000003" customHeight="1" x14ac:dyDescent="0.2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 x14ac:dyDescent="0.2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 x14ac:dyDescent="0.2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 x14ac:dyDescent="0.2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 x14ac:dyDescent="0.2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 x14ac:dyDescent="0.2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 x14ac:dyDescent="0.2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 x14ac:dyDescent="0.2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 x14ac:dyDescent="0.2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 x14ac:dyDescent="0.2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 x14ac:dyDescent="0.2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 x14ac:dyDescent="0.2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 x14ac:dyDescent="0.2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>
        <v>1</v>
      </c>
      <c r="Y13" s="3">
        <v>1</v>
      </c>
      <c r="Z13" s="3">
        <v>1</v>
      </c>
      <c r="AA13" s="3"/>
      <c r="AB13" s="3"/>
      <c r="AC13" s="3"/>
      <c r="AD13" s="3"/>
      <c r="AE13" s="3"/>
      <c r="AF13" s="3"/>
      <c r="AG13" s="3"/>
      <c r="AH13" s="3">
        <v>1</v>
      </c>
      <c r="AI13" s="3"/>
      <c r="AJ13" s="3"/>
      <c r="AK13" s="3"/>
      <c r="AL13" s="3"/>
      <c r="AM13" s="3"/>
      <c r="AN13" s="3"/>
      <c r="AO13" s="3">
        <v>1</v>
      </c>
      <c r="AP13" s="3"/>
      <c r="AQ13" s="3"/>
      <c r="AR13" s="3"/>
      <c r="AS13" s="3"/>
      <c r="AT13" s="3"/>
      <c r="AU13" s="3"/>
      <c r="AV13" s="3"/>
      <c r="AW13" s="3">
        <v>1</v>
      </c>
      <c r="AX13" s="3"/>
      <c r="AY13" s="3">
        <v>1</v>
      </c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 x14ac:dyDescent="0.2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>
        <v>1</v>
      </c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>
        <v>1</v>
      </c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 x14ac:dyDescent="0.2">
      <c r="A15" s="3">
        <v>14</v>
      </c>
      <c r="B15" s="3"/>
      <c r="C15" s="3"/>
      <c r="D15" s="3"/>
      <c r="E15" s="3"/>
      <c r="F15" s="3"/>
      <c r="G15" s="3"/>
      <c r="H15" s="3"/>
      <c r="I15" s="3"/>
      <c r="J15" s="3">
        <v>1</v>
      </c>
      <c r="K15" s="3">
        <v>1</v>
      </c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>
        <v>1</v>
      </c>
      <c r="AC15" s="3">
        <v>1</v>
      </c>
      <c r="AD15" s="3">
        <v>1</v>
      </c>
      <c r="AE15" s="3">
        <v>1</v>
      </c>
      <c r="AF15" s="3"/>
      <c r="AG15" s="3"/>
      <c r="AH15" s="3">
        <v>1</v>
      </c>
      <c r="AI15" s="3"/>
      <c r="AJ15" s="3">
        <v>1</v>
      </c>
      <c r="AK15" s="3">
        <v>1</v>
      </c>
      <c r="AL15" s="3">
        <v>1</v>
      </c>
      <c r="AM15" s="3">
        <v>1</v>
      </c>
      <c r="AN15" s="3"/>
      <c r="AO15" s="3">
        <v>1</v>
      </c>
      <c r="AP15" s="3"/>
      <c r="AQ15" s="3"/>
      <c r="AR15" s="3">
        <v>1</v>
      </c>
      <c r="AS15" s="3">
        <v>1</v>
      </c>
      <c r="AT15" s="3">
        <v>1</v>
      </c>
      <c r="AU15" s="3"/>
      <c r="AV15" s="3"/>
      <c r="AW15" s="3">
        <v>1</v>
      </c>
      <c r="AX15" s="3"/>
      <c r="AY15" s="3">
        <v>1</v>
      </c>
      <c r="AZ15" s="3"/>
      <c r="BA15" s="3">
        <v>1</v>
      </c>
      <c r="BB15" s="3">
        <v>1</v>
      </c>
      <c r="BC15" s="3">
        <v>1</v>
      </c>
      <c r="BD15" s="3">
        <v>1</v>
      </c>
      <c r="BE15" s="3">
        <v>1</v>
      </c>
      <c r="BF15" s="3"/>
      <c r="BG15" s="3"/>
      <c r="BH15" s="3">
        <v>1</v>
      </c>
      <c r="BI15" s="3">
        <v>1</v>
      </c>
      <c r="BJ15" s="3">
        <v>1</v>
      </c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 x14ac:dyDescent="0.2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>
        <v>1</v>
      </c>
      <c r="M16" s="3">
        <v>1</v>
      </c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>
        <v>1</v>
      </c>
      <c r="AC16" s="3"/>
      <c r="AD16" s="3"/>
      <c r="AE16" s="3"/>
      <c r="AF16" s="3">
        <v>1</v>
      </c>
      <c r="AG16" s="3"/>
      <c r="AH16" s="3">
        <v>1</v>
      </c>
      <c r="AI16" s="3"/>
      <c r="AJ16" s="3"/>
      <c r="AK16" s="3">
        <v>1</v>
      </c>
      <c r="AL16" s="3"/>
      <c r="AM16" s="3"/>
      <c r="AN16" s="3"/>
      <c r="AO16" s="3">
        <v>1</v>
      </c>
      <c r="AP16" s="3"/>
      <c r="AQ16" s="3"/>
      <c r="AR16" s="3"/>
      <c r="AS16" s="3"/>
      <c r="AT16" s="3"/>
      <c r="AU16" s="3">
        <v>1</v>
      </c>
      <c r="AV16" s="3"/>
      <c r="AW16" s="3">
        <v>1</v>
      </c>
      <c r="AX16" s="3"/>
      <c r="AY16" s="3">
        <v>1</v>
      </c>
      <c r="AZ16" s="3"/>
      <c r="BA16" s="3"/>
      <c r="BB16" s="3"/>
      <c r="BC16" s="3"/>
      <c r="BD16" s="3">
        <v>1</v>
      </c>
      <c r="BE16" s="3"/>
      <c r="BF16" s="3"/>
      <c r="BG16" s="3">
        <v>1</v>
      </c>
      <c r="BH16" s="3"/>
      <c r="BI16" s="3"/>
      <c r="BJ16" s="3"/>
      <c r="BK16" s="3">
        <v>1</v>
      </c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 x14ac:dyDescent="0.2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>
        <v>1</v>
      </c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>
        <v>1</v>
      </c>
      <c r="AC17" s="3"/>
      <c r="AD17" s="3"/>
      <c r="AE17" s="3"/>
      <c r="AF17" s="3">
        <v>1</v>
      </c>
      <c r="AG17" s="3"/>
      <c r="AH17" s="3">
        <v>1</v>
      </c>
      <c r="AI17" s="3"/>
      <c r="AJ17" s="3"/>
      <c r="AK17" s="3">
        <v>1</v>
      </c>
      <c r="AL17" s="3"/>
      <c r="AM17" s="3"/>
      <c r="AN17" s="3"/>
      <c r="AO17" s="3">
        <v>1</v>
      </c>
      <c r="AP17" s="3"/>
      <c r="AQ17" s="3"/>
      <c r="AR17" s="3">
        <v>1</v>
      </c>
      <c r="AS17" s="3">
        <v>1</v>
      </c>
      <c r="AT17" s="3">
        <v>1</v>
      </c>
      <c r="AU17" s="3">
        <v>1</v>
      </c>
      <c r="AV17" s="3"/>
      <c r="AW17" s="3">
        <v>1</v>
      </c>
      <c r="AX17" s="3"/>
      <c r="AY17" s="3">
        <v>1</v>
      </c>
      <c r="AZ17" s="3"/>
      <c r="BA17" s="3"/>
      <c r="BB17" s="3"/>
      <c r="BC17" s="3">
        <v>1</v>
      </c>
      <c r="BD17" s="3"/>
      <c r="BE17" s="3"/>
      <c r="BF17" s="3"/>
      <c r="BG17" s="3">
        <v>1</v>
      </c>
      <c r="BH17" s="3">
        <v>1</v>
      </c>
      <c r="BI17" s="3">
        <v>1</v>
      </c>
      <c r="BJ17" s="3">
        <v>1</v>
      </c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 x14ac:dyDescent="0.2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>
        <v>1</v>
      </c>
      <c r="M18" s="3">
        <v>1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>
        <v>1</v>
      </c>
      <c r="AC18" s="3"/>
      <c r="AD18" s="3"/>
      <c r="AE18" s="3"/>
      <c r="AF18" s="3">
        <v>1</v>
      </c>
      <c r="AG18" s="3"/>
      <c r="AH18" s="3">
        <v>1</v>
      </c>
      <c r="AI18" s="3"/>
      <c r="AJ18" s="3"/>
      <c r="AK18" s="3">
        <v>1</v>
      </c>
      <c r="AL18" s="3"/>
      <c r="AM18" s="3"/>
      <c r="AN18" s="3"/>
      <c r="AO18" s="3">
        <v>1</v>
      </c>
      <c r="AP18" s="3"/>
      <c r="AQ18" s="3">
        <v>1</v>
      </c>
      <c r="AR18" s="3"/>
      <c r="AS18" s="3"/>
      <c r="AT18" s="3"/>
      <c r="AU18" s="3">
        <v>1</v>
      </c>
      <c r="AV18" s="3"/>
      <c r="AW18" s="3">
        <v>1</v>
      </c>
      <c r="AX18" s="3"/>
      <c r="AY18" s="3">
        <v>1</v>
      </c>
      <c r="AZ18" s="3"/>
      <c r="BA18" s="3"/>
      <c r="BB18" s="3">
        <v>1</v>
      </c>
      <c r="BC18" s="3"/>
      <c r="BD18" s="3"/>
      <c r="BE18" s="3"/>
      <c r="BF18" s="3"/>
      <c r="BG18" s="3">
        <v>1</v>
      </c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 x14ac:dyDescent="0.2">
      <c r="A19" s="3">
        <v>18</v>
      </c>
      <c r="B19" s="3"/>
      <c r="C19" s="3"/>
      <c r="D19" s="3"/>
      <c r="E19" s="3"/>
      <c r="F19" s="3"/>
      <c r="G19" s="3"/>
      <c r="H19" s="3"/>
      <c r="I19" s="3"/>
      <c r="J19" s="3">
        <v>1</v>
      </c>
      <c r="K19" s="3">
        <v>1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>
        <v>1</v>
      </c>
      <c r="Y19" s="3">
        <v>1</v>
      </c>
      <c r="Z19" s="3">
        <v>1</v>
      </c>
      <c r="AA19" s="3"/>
      <c r="AB19" s="3">
        <v>1</v>
      </c>
      <c r="AC19" s="3"/>
      <c r="AD19" s="3"/>
      <c r="AE19" s="3"/>
      <c r="AF19" s="3">
        <v>1</v>
      </c>
      <c r="AG19" s="3"/>
      <c r="AH19" s="3">
        <v>1</v>
      </c>
      <c r="AI19" s="3"/>
      <c r="AJ19" s="3"/>
      <c r="AK19" s="3"/>
      <c r="AL19" s="3">
        <v>1</v>
      </c>
      <c r="AM19" s="3">
        <v>1</v>
      </c>
      <c r="AN19" s="3"/>
      <c r="AO19" s="3">
        <v>1</v>
      </c>
      <c r="AP19" s="3"/>
      <c r="AQ19" s="3"/>
      <c r="AR19" s="3">
        <v>1</v>
      </c>
      <c r="AS19" s="3">
        <v>1</v>
      </c>
      <c r="AT19" s="3">
        <v>1</v>
      </c>
      <c r="AU19" s="3">
        <v>1</v>
      </c>
      <c r="AV19" s="3"/>
      <c r="AW19" s="3">
        <v>1</v>
      </c>
      <c r="AX19" s="3"/>
      <c r="AY19" s="3">
        <v>1</v>
      </c>
      <c r="AZ19" s="3"/>
      <c r="BA19" s="3">
        <v>1</v>
      </c>
      <c r="BB19" s="3">
        <v>1</v>
      </c>
      <c r="BC19" s="3">
        <v>1</v>
      </c>
      <c r="BD19" s="3">
        <v>1</v>
      </c>
      <c r="BE19" s="3">
        <v>1</v>
      </c>
      <c r="BF19" s="3"/>
      <c r="BG19" s="3"/>
      <c r="BH19" s="3">
        <v>1</v>
      </c>
      <c r="BI19" s="3">
        <v>1</v>
      </c>
      <c r="BJ19" s="3">
        <v>1</v>
      </c>
      <c r="BK19" s="3">
        <v>1</v>
      </c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 x14ac:dyDescent="0.2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 x14ac:dyDescent="0.2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6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3"/>
      <c r="CB21" s="3"/>
      <c r="CC21" s="3"/>
      <c r="CD21" s="3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 x14ac:dyDescent="0.2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3"/>
      <c r="CB22" s="3"/>
      <c r="CC22" s="3"/>
      <c r="CD22" s="3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 x14ac:dyDescent="0.2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6"/>
      <c r="Z23" s="6">
        <v>1</v>
      </c>
      <c r="AA23" s="6"/>
      <c r="AB23" s="14"/>
      <c r="AC23" s="14"/>
      <c r="AD23" s="14"/>
      <c r="AE23" s="6"/>
      <c r="AF23" s="6"/>
      <c r="AG23" s="6"/>
      <c r="AH23" s="14"/>
      <c r="AI23" s="14"/>
      <c r="AJ23" s="14"/>
      <c r="AK23" s="14"/>
      <c r="AL23" s="6"/>
      <c r="AM23" s="14"/>
      <c r="AN23" s="6"/>
      <c r="AO23" s="6"/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/>
      <c r="BC23" s="6"/>
      <c r="BD23" s="14"/>
      <c r="BE23" s="14"/>
      <c r="BF23" s="14"/>
      <c r="BG23" s="14"/>
      <c r="BH23" s="6"/>
      <c r="BI23" s="6"/>
      <c r="BJ23" s="6"/>
      <c r="BK23" s="14"/>
      <c r="BL23" s="14"/>
      <c r="BM23" s="14"/>
      <c r="BN23" s="6"/>
      <c r="BO23" s="14"/>
      <c r="BP23" s="6"/>
      <c r="BQ23" s="6"/>
      <c r="BR23" s="14"/>
      <c r="BS23" s="14"/>
      <c r="BT23" s="14"/>
      <c r="BU23" s="6"/>
      <c r="BV23" s="14"/>
      <c r="BW23" s="14"/>
      <c r="BX23" s="14"/>
      <c r="BY23" s="6"/>
      <c r="BZ23" s="14"/>
      <c r="CA23" s="3"/>
      <c r="CB23" s="3"/>
      <c r="CC23" s="3"/>
      <c r="CD23" s="3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 x14ac:dyDescent="0.2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>
        <v>1</v>
      </c>
      <c r="AB24" s="6"/>
      <c r="AC24" s="14"/>
      <c r="AD24" s="14"/>
      <c r="AE24" s="14"/>
      <c r="AF24" s="14"/>
      <c r="AG24" s="6"/>
      <c r="AH24" s="14"/>
      <c r="AI24" s="14"/>
      <c r="AJ24" s="3"/>
      <c r="AK24" s="3">
        <v>1</v>
      </c>
      <c r="AL24" s="3"/>
      <c r="AM24" s="3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 x14ac:dyDescent="0.2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>
        <v>1</v>
      </c>
      <c r="Y25" s="6"/>
      <c r="Z25" s="6"/>
      <c r="AA25" s="6"/>
      <c r="AB25" s="6">
        <v>1</v>
      </c>
      <c r="AC25" s="14"/>
      <c r="AD25" s="14">
        <v>1</v>
      </c>
      <c r="AE25" s="14"/>
      <c r="AF25" s="6"/>
      <c r="AG25" s="14"/>
      <c r="AH25" s="14">
        <v>1</v>
      </c>
      <c r="AI25" s="14"/>
      <c r="AJ25" s="3">
        <v>1</v>
      </c>
      <c r="AK25" s="3">
        <v>1</v>
      </c>
      <c r="AL25" s="3">
        <v>1</v>
      </c>
      <c r="AM25" s="3">
        <v>1</v>
      </c>
      <c r="AN25" s="14"/>
      <c r="AO25" s="3"/>
      <c r="AP25" s="3">
        <v>1</v>
      </c>
      <c r="AQ25" s="3">
        <v>1</v>
      </c>
      <c r="AR25" s="3">
        <v>1</v>
      </c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 x14ac:dyDescent="0.2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>
        <v>1</v>
      </c>
      <c r="Y26" s="14"/>
      <c r="Z26" s="14"/>
      <c r="AA26" s="14"/>
      <c r="AB26" s="6">
        <v>1</v>
      </c>
      <c r="AC26" s="14"/>
      <c r="AD26" s="14">
        <v>1</v>
      </c>
      <c r="AE26" s="14"/>
      <c r="AF26" s="6"/>
      <c r="AG26" s="14"/>
      <c r="AH26" s="14">
        <v>1</v>
      </c>
      <c r="AI26" s="14"/>
      <c r="AJ26" s="3"/>
      <c r="AK26" s="3">
        <v>1</v>
      </c>
      <c r="AL26" s="3"/>
      <c r="AM26" s="3"/>
      <c r="AN26" s="14"/>
      <c r="AO26" s="3">
        <v>1</v>
      </c>
      <c r="AP26" s="3"/>
      <c r="AQ26" s="3"/>
      <c r="AR26" s="3"/>
      <c r="AS26" s="3">
        <v>1</v>
      </c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 x14ac:dyDescent="0.2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>
        <v>1</v>
      </c>
      <c r="Y27" s="14">
        <v>1</v>
      </c>
      <c r="Z27" s="14">
        <v>1</v>
      </c>
      <c r="AA27" s="6">
        <v>1</v>
      </c>
      <c r="AB27" s="6">
        <v>1</v>
      </c>
      <c r="AC27" s="14"/>
      <c r="AD27" s="14">
        <v>1</v>
      </c>
      <c r="AE27" s="14"/>
      <c r="AF27" s="6"/>
      <c r="AG27" s="14"/>
      <c r="AH27" s="14">
        <v>1</v>
      </c>
      <c r="AI27" s="14"/>
      <c r="AJ27" s="3"/>
      <c r="AK27" s="3">
        <v>1</v>
      </c>
      <c r="AL27" s="3"/>
      <c r="AM27" s="3"/>
      <c r="AN27" s="14"/>
      <c r="AO27" s="3">
        <v>1</v>
      </c>
      <c r="AP27" s="3"/>
      <c r="AQ27" s="3"/>
      <c r="AR27" s="3"/>
      <c r="AS27" s="3">
        <v>1</v>
      </c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 x14ac:dyDescent="0.2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>
        <v>1</v>
      </c>
      <c r="Y28" s="6"/>
      <c r="Z28" s="6"/>
      <c r="AA28" s="14"/>
      <c r="AB28" s="6">
        <v>1</v>
      </c>
      <c r="AC28" s="14"/>
      <c r="AD28" s="14">
        <v>1</v>
      </c>
      <c r="AE28" s="14"/>
      <c r="AF28" s="6"/>
      <c r="AG28" s="14"/>
      <c r="AH28" s="14">
        <v>1</v>
      </c>
      <c r="AI28" s="14"/>
      <c r="AJ28" s="3"/>
      <c r="AK28" s="3">
        <v>1</v>
      </c>
      <c r="AL28" s="3"/>
      <c r="AM28" s="3"/>
      <c r="AN28" s="14"/>
      <c r="AO28" s="3">
        <v>1</v>
      </c>
      <c r="AP28" s="3"/>
      <c r="AQ28" s="3"/>
      <c r="AR28" s="3"/>
      <c r="AS28" s="3">
        <v>1</v>
      </c>
      <c r="AT28" s="3"/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 x14ac:dyDescent="0.2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>
        <v>1</v>
      </c>
      <c r="Y29" s="14"/>
      <c r="Z29" s="14"/>
      <c r="AA29" s="14"/>
      <c r="AB29" s="14">
        <v>1</v>
      </c>
      <c r="AC29" s="14"/>
      <c r="AD29" s="14"/>
      <c r="AE29" s="14">
        <v>1</v>
      </c>
      <c r="AF29" s="14">
        <v>1</v>
      </c>
      <c r="AG29" s="14">
        <v>1</v>
      </c>
      <c r="AH29" s="14">
        <v>1</v>
      </c>
      <c r="AI29" s="14"/>
      <c r="AJ29" s="3"/>
      <c r="AK29" s="3"/>
      <c r="AL29" s="3">
        <v>1</v>
      </c>
      <c r="AM29" s="3">
        <v>1</v>
      </c>
      <c r="AN29" s="14"/>
      <c r="AO29" s="3"/>
      <c r="AP29" s="3">
        <v>1</v>
      </c>
      <c r="AQ29" s="3">
        <v>1</v>
      </c>
      <c r="AR29" s="3">
        <v>1</v>
      </c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 x14ac:dyDescent="0.2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 x14ac:dyDescent="0.2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6"/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 x14ac:dyDescent="0.2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14"/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 x14ac:dyDescent="0.2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>
        <v>1</v>
      </c>
      <c r="Y33" s="14"/>
      <c r="Z33" s="14"/>
      <c r="AA33" s="14"/>
      <c r="AB33" s="14">
        <v>1</v>
      </c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>
        <v>1</v>
      </c>
      <c r="BH33" s="3">
        <v>1</v>
      </c>
      <c r="BI33" s="3">
        <v>1</v>
      </c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 x14ac:dyDescent="0.2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>
        <v>1</v>
      </c>
      <c r="Y34" s="6">
        <v>1</v>
      </c>
      <c r="Z34" s="6"/>
      <c r="AA34" s="14">
        <v>1</v>
      </c>
      <c r="AB34" s="14">
        <v>1</v>
      </c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>
        <v>1</v>
      </c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 x14ac:dyDescent="0.2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>
        <v>1</v>
      </c>
      <c r="Y35" s="14">
        <v>1</v>
      </c>
      <c r="Z35" s="14"/>
      <c r="AA35" s="6">
        <v>1</v>
      </c>
      <c r="AB35" s="14">
        <v>1</v>
      </c>
      <c r="AC35" s="14"/>
      <c r="AD35" s="14"/>
      <c r="AE35" s="6"/>
      <c r="AF35" s="6">
        <v>1</v>
      </c>
      <c r="AG35" s="6">
        <v>1</v>
      </c>
      <c r="AH35" s="6">
        <v>1</v>
      </c>
      <c r="AI35" s="6"/>
      <c r="AJ35" s="14"/>
      <c r="AK35" s="14"/>
      <c r="AL35" s="14">
        <v>1</v>
      </c>
      <c r="AM35" s="6"/>
      <c r="AN35" s="14">
        <v>1</v>
      </c>
      <c r="AO35" s="14">
        <v>1</v>
      </c>
      <c r="AP35" s="14"/>
      <c r="AQ35" s="14"/>
      <c r="AR35" s="14"/>
      <c r="AS35" s="6">
        <v>1</v>
      </c>
      <c r="AT35" s="14"/>
      <c r="AU35" s="14"/>
      <c r="AV35" s="14"/>
      <c r="AW35" s="6">
        <v>1</v>
      </c>
      <c r="AX35" s="14"/>
      <c r="AY35" s="14"/>
      <c r="AZ35" s="6"/>
      <c r="BA35" s="14">
        <v>1</v>
      </c>
      <c r="BB35" s="14">
        <v>1</v>
      </c>
      <c r="BC35" s="14">
        <v>1</v>
      </c>
      <c r="BD35" s="6"/>
      <c r="BE35" s="14"/>
      <c r="BF35" s="3"/>
      <c r="BG35" s="3"/>
      <c r="BH35" s="3"/>
      <c r="BI35" s="3">
        <v>1</v>
      </c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 x14ac:dyDescent="0.2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>
        <v>1</v>
      </c>
      <c r="Y36" s="14"/>
      <c r="Z36" s="14">
        <v>1</v>
      </c>
      <c r="AA36" s="14"/>
      <c r="AB36" s="6">
        <v>1</v>
      </c>
      <c r="AC36" s="14"/>
      <c r="AD36" s="14"/>
      <c r="AE36" s="6">
        <v>1</v>
      </c>
      <c r="AF36" s="14"/>
      <c r="AG36" s="14"/>
      <c r="AH36" s="14"/>
      <c r="AI36" s="14">
        <v>1</v>
      </c>
      <c r="AJ36" s="14"/>
      <c r="AK36" s="14"/>
      <c r="AL36" s="14">
        <v>1</v>
      </c>
      <c r="AM36" s="6">
        <v>1</v>
      </c>
      <c r="AN36" s="14"/>
      <c r="AO36" s="14"/>
      <c r="AP36" s="14">
        <v>1</v>
      </c>
      <c r="AQ36" s="14"/>
      <c r="AR36" s="14"/>
      <c r="AS36" s="6">
        <v>1</v>
      </c>
      <c r="AT36" s="14"/>
      <c r="AU36" s="14"/>
      <c r="AV36" s="14"/>
      <c r="AW36" s="6">
        <v>1</v>
      </c>
      <c r="AX36" s="14"/>
      <c r="AY36" s="14"/>
      <c r="AZ36" s="6">
        <v>1</v>
      </c>
      <c r="BA36" s="14"/>
      <c r="BB36" s="14"/>
      <c r="BC36" s="14"/>
      <c r="BD36" s="6">
        <v>1</v>
      </c>
      <c r="BE36" s="14"/>
      <c r="BF36" s="3"/>
      <c r="BG36" s="3"/>
      <c r="BH36" s="3"/>
      <c r="BI36" s="3">
        <v>1</v>
      </c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 x14ac:dyDescent="0.2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>
        <v>1</v>
      </c>
      <c r="Y37" s="14"/>
      <c r="Z37" s="14"/>
      <c r="AA37" s="14"/>
      <c r="AB37" s="6">
        <v>1</v>
      </c>
      <c r="AC37" s="14"/>
      <c r="AD37" s="14"/>
      <c r="AE37" s="6"/>
      <c r="AF37" s="14">
        <v>1</v>
      </c>
      <c r="AG37" s="14">
        <v>1</v>
      </c>
      <c r="AH37" s="14">
        <v>1</v>
      </c>
      <c r="AI37" s="6">
        <v>1</v>
      </c>
      <c r="AJ37" s="14"/>
      <c r="AK37" s="14"/>
      <c r="AL37" s="14">
        <v>1</v>
      </c>
      <c r="AM37" s="6"/>
      <c r="AN37" s="14"/>
      <c r="AO37" s="14"/>
      <c r="AP37" s="14">
        <v>1</v>
      </c>
      <c r="AQ37" s="14"/>
      <c r="AR37" s="14"/>
      <c r="AS37" s="6">
        <v>1</v>
      </c>
      <c r="AT37" s="14"/>
      <c r="AU37" s="14"/>
      <c r="AV37" s="6"/>
      <c r="AW37" s="6">
        <v>1</v>
      </c>
      <c r="AX37" s="14"/>
      <c r="AY37" s="14"/>
      <c r="AZ37" s="6"/>
      <c r="BA37" s="6">
        <v>1</v>
      </c>
      <c r="BB37" s="14">
        <v>1</v>
      </c>
      <c r="BC37" s="14">
        <v>1</v>
      </c>
      <c r="BD37" s="6">
        <v>1</v>
      </c>
      <c r="BE37" s="14"/>
      <c r="BF37" s="3"/>
      <c r="BG37" s="3"/>
      <c r="BH37" s="3"/>
      <c r="BI37" s="3">
        <v>1</v>
      </c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 x14ac:dyDescent="0.2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>
        <v>1</v>
      </c>
      <c r="Y38" s="6"/>
      <c r="Z38" s="6"/>
      <c r="AA38" s="6"/>
      <c r="AB38" s="14">
        <v>1</v>
      </c>
      <c r="AC38" s="14"/>
      <c r="AD38" s="14"/>
      <c r="AE38" s="14">
        <v>1</v>
      </c>
      <c r="AF38" s="6"/>
      <c r="AG38" s="6"/>
      <c r="AH38" s="6"/>
      <c r="AI38" s="14">
        <v>1</v>
      </c>
      <c r="AJ38" s="14"/>
      <c r="AK38" s="14"/>
      <c r="AL38" s="14">
        <v>1</v>
      </c>
      <c r="AM38" s="14"/>
      <c r="AN38" s="6"/>
      <c r="AO38" s="6"/>
      <c r="AP38" s="14">
        <v>1</v>
      </c>
      <c r="AQ38" s="14"/>
      <c r="AR38" s="14"/>
      <c r="AS38" s="14">
        <v>1</v>
      </c>
      <c r="AT38" s="6"/>
      <c r="AU38" s="6"/>
      <c r="AV38" s="14"/>
      <c r="AW38" s="6">
        <v>1</v>
      </c>
      <c r="AX38" s="14"/>
      <c r="AY38" s="14"/>
      <c r="AZ38" s="6">
        <v>1</v>
      </c>
      <c r="BA38" s="14"/>
      <c r="BB38" s="6"/>
      <c r="BC38" s="6"/>
      <c r="BD38" s="14">
        <v>1</v>
      </c>
      <c r="BE38" s="14"/>
      <c r="BF38" s="3"/>
      <c r="BG38" s="3"/>
      <c r="BH38" s="3"/>
      <c r="BI38" s="3">
        <v>1</v>
      </c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 x14ac:dyDescent="0.2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>
        <v>1</v>
      </c>
      <c r="Y39" s="14"/>
      <c r="Z39" s="14"/>
      <c r="AA39" s="14"/>
      <c r="AB39" s="14">
        <v>1</v>
      </c>
      <c r="AC39" s="14"/>
      <c r="AD39" s="14"/>
      <c r="AE39" s="14">
        <v>1</v>
      </c>
      <c r="AF39" s="14"/>
      <c r="AG39" s="14"/>
      <c r="AH39" s="14">
        <v>1</v>
      </c>
      <c r="AI39" s="14">
        <v>1</v>
      </c>
      <c r="AJ39" s="14"/>
      <c r="AK39" s="14"/>
      <c r="AL39" s="14">
        <v>1</v>
      </c>
      <c r="AM39" s="14"/>
      <c r="AN39" s="14"/>
      <c r="AO39" s="14"/>
      <c r="AP39" s="14">
        <v>1</v>
      </c>
      <c r="AQ39" s="14"/>
      <c r="AR39" s="14"/>
      <c r="AS39" s="14">
        <v>1</v>
      </c>
      <c r="AT39" s="14"/>
      <c r="AU39" s="14"/>
      <c r="AV39" s="14">
        <v>1</v>
      </c>
      <c r="AW39" s="14">
        <v>1</v>
      </c>
      <c r="AX39" s="14"/>
      <c r="AY39" s="14"/>
      <c r="AZ39" s="6">
        <v>1</v>
      </c>
      <c r="BA39" s="14"/>
      <c r="BB39" s="14"/>
      <c r="BC39" s="14">
        <v>1</v>
      </c>
      <c r="BD39" s="14">
        <v>1</v>
      </c>
      <c r="BE39" s="14"/>
      <c r="BF39" s="3"/>
      <c r="BG39" s="3"/>
      <c r="BH39" s="3"/>
      <c r="BI39" s="3">
        <v>1</v>
      </c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 x14ac:dyDescent="0.2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>
        <v>1</v>
      </c>
      <c r="Y40" s="14"/>
      <c r="Z40" s="14"/>
      <c r="AA40" s="14"/>
      <c r="AB40" s="14">
        <v>1</v>
      </c>
      <c r="AC40" s="14"/>
      <c r="AD40" s="14"/>
      <c r="AE40" s="14"/>
      <c r="AF40" s="14">
        <v>1</v>
      </c>
      <c r="AG40" s="14">
        <v>1</v>
      </c>
      <c r="AH40" s="14"/>
      <c r="AI40" s="14">
        <v>1</v>
      </c>
      <c r="AJ40" s="14"/>
      <c r="AK40" s="14"/>
      <c r="AL40" s="14">
        <v>1</v>
      </c>
      <c r="AM40" s="14"/>
      <c r="AN40" s="14"/>
      <c r="AO40" s="14"/>
      <c r="AP40" s="14">
        <v>1</v>
      </c>
      <c r="AQ40" s="14"/>
      <c r="AR40" s="14"/>
      <c r="AS40" s="14"/>
      <c r="AT40" s="14">
        <v>1</v>
      </c>
      <c r="AU40" s="14">
        <v>1</v>
      </c>
      <c r="AV40" s="14"/>
      <c r="AW40" s="14">
        <v>1</v>
      </c>
      <c r="AX40" s="14"/>
      <c r="AY40" s="14"/>
      <c r="AZ40" s="6"/>
      <c r="BA40" s="14">
        <v>1</v>
      </c>
      <c r="BB40" s="14">
        <v>1</v>
      </c>
      <c r="BC40" s="14"/>
      <c r="BD40" s="14">
        <v>1</v>
      </c>
      <c r="BE40" s="14"/>
      <c r="BF40" s="3"/>
      <c r="BG40" s="3"/>
      <c r="BH40" s="3"/>
      <c r="BI40" s="3">
        <v>1</v>
      </c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 x14ac:dyDescent="0.2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6"/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 x14ac:dyDescent="0.2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/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 x14ac:dyDescent="0.2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>
        <v>1</v>
      </c>
      <c r="AA43" s="14">
        <v>1</v>
      </c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>
        <v>1</v>
      </c>
      <c r="AN43" s="6"/>
      <c r="AO43" s="6"/>
      <c r="AP43" s="14"/>
      <c r="AQ43" s="14"/>
      <c r="AR43" s="14"/>
      <c r="AS43" s="6"/>
      <c r="AT43" s="6">
        <v>1</v>
      </c>
      <c r="AU43" s="6"/>
      <c r="AV43" s="6"/>
      <c r="AW43" s="14"/>
      <c r="AX43" s="14"/>
      <c r="AY43" s="14"/>
      <c r="AZ43" s="6"/>
      <c r="BA43" s="6"/>
      <c r="BB43" s="6">
        <v>1</v>
      </c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 x14ac:dyDescent="0.2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>
        <v>1</v>
      </c>
      <c r="Y44" s="6"/>
      <c r="Z44" s="6"/>
      <c r="AA44" s="14"/>
      <c r="AB44" s="14">
        <v>1</v>
      </c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>
        <v>1</v>
      </c>
      <c r="AN44" s="14"/>
      <c r="AO44" s="14"/>
      <c r="AP44" s="14"/>
      <c r="AQ44" s="14"/>
      <c r="AR44" s="14"/>
      <c r="AS44" s="14"/>
      <c r="AT44" s="6">
        <v>1</v>
      </c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 x14ac:dyDescent="0.2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>
        <v>1</v>
      </c>
      <c r="Y45" s="14"/>
      <c r="Z45" s="14"/>
      <c r="AA45" s="6"/>
      <c r="AB45" s="14"/>
      <c r="AC45" s="14"/>
      <c r="AD45" s="14"/>
      <c r="AE45" s="6"/>
      <c r="AF45" s="6">
        <v>1</v>
      </c>
      <c r="AG45" s="6">
        <v>1</v>
      </c>
      <c r="AH45" s="6">
        <v>1</v>
      </c>
      <c r="AI45" s="6"/>
      <c r="AJ45" s="14"/>
      <c r="AK45" s="14"/>
      <c r="AL45" s="14">
        <v>1</v>
      </c>
      <c r="AM45" s="6">
        <v>1</v>
      </c>
      <c r="AN45" s="14">
        <v>1</v>
      </c>
      <c r="AO45" s="14">
        <v>1</v>
      </c>
      <c r="AP45" s="14"/>
      <c r="AQ45" s="14"/>
      <c r="AR45" s="14"/>
      <c r="AS45" s="14">
        <v>1</v>
      </c>
      <c r="AT45" s="6">
        <v>1</v>
      </c>
      <c r="AU45" s="14">
        <v>1</v>
      </c>
      <c r="AV45" s="14">
        <v>1</v>
      </c>
      <c r="AW45" s="14"/>
      <c r="AX45" s="14"/>
      <c r="AY45" s="14"/>
      <c r="AZ45" s="14">
        <v>1</v>
      </c>
      <c r="BA45" s="14">
        <v>1</v>
      </c>
      <c r="BB45" s="6">
        <v>1</v>
      </c>
      <c r="BC45" s="14"/>
      <c r="BD45" s="14"/>
      <c r="BE45" s="14"/>
      <c r="BF45" s="14"/>
      <c r="BG45" s="6">
        <v>1</v>
      </c>
      <c r="BH45" s="14"/>
      <c r="BI45" s="14">
        <v>1</v>
      </c>
      <c r="BJ45" s="14">
        <v>1</v>
      </c>
      <c r="BK45" s="6"/>
      <c r="BL45" s="14"/>
      <c r="BM45" s="14"/>
      <c r="BN45" s="6"/>
      <c r="BO45" s="14">
        <v>1</v>
      </c>
      <c r="BP45" s="14">
        <v>1</v>
      </c>
      <c r="BQ45" s="14"/>
      <c r="BR45" s="6">
        <v>1</v>
      </c>
      <c r="BS45" s="14"/>
      <c r="BT45" s="14"/>
      <c r="BU45" s="14"/>
      <c r="BV45" s="6">
        <v>1</v>
      </c>
      <c r="BW45" s="6">
        <v>1</v>
      </c>
      <c r="BX45" s="14">
        <v>1</v>
      </c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 x14ac:dyDescent="0.2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>
        <v>1</v>
      </c>
      <c r="Z46" s="14">
        <v>1</v>
      </c>
      <c r="AA46" s="14"/>
      <c r="AB46" s="6"/>
      <c r="AC46" s="14"/>
      <c r="AD46" s="14"/>
      <c r="AE46" s="6">
        <v>1</v>
      </c>
      <c r="AF46" s="14"/>
      <c r="AG46" s="14"/>
      <c r="AH46" s="14"/>
      <c r="AI46" s="14">
        <v>1</v>
      </c>
      <c r="AJ46" s="14"/>
      <c r="AK46" s="14"/>
      <c r="AL46" s="14"/>
      <c r="AM46" s="6">
        <v>1</v>
      </c>
      <c r="AN46" s="14"/>
      <c r="AO46" s="14"/>
      <c r="AP46" s="14"/>
      <c r="AQ46" s="14"/>
      <c r="AR46" s="14"/>
      <c r="AS46" s="14"/>
      <c r="AT46" s="6">
        <v>1</v>
      </c>
      <c r="AU46" s="14"/>
      <c r="AV46" s="14"/>
      <c r="AW46" s="14"/>
      <c r="AX46" s="14"/>
      <c r="AY46" s="14"/>
      <c r="AZ46" s="14"/>
      <c r="BA46" s="14"/>
      <c r="BB46" s="6">
        <v>1</v>
      </c>
      <c r="BC46" s="14"/>
      <c r="BD46" s="14"/>
      <c r="BE46" s="14"/>
      <c r="BF46" s="14"/>
      <c r="BG46" s="6">
        <v>1</v>
      </c>
      <c r="BH46" s="14">
        <v>1</v>
      </c>
      <c r="BI46" s="14"/>
      <c r="BJ46" s="14"/>
      <c r="BK46" s="6">
        <v>1</v>
      </c>
      <c r="BL46" s="14"/>
      <c r="BM46" s="14"/>
      <c r="BN46" s="6">
        <v>1</v>
      </c>
      <c r="BO46" s="14"/>
      <c r="BP46" s="14"/>
      <c r="BQ46" s="14">
        <v>1</v>
      </c>
      <c r="BR46" s="6">
        <v>1</v>
      </c>
      <c r="BS46" s="14"/>
      <c r="BT46" s="14"/>
      <c r="BU46" s="14">
        <v>1</v>
      </c>
      <c r="BV46" s="14"/>
      <c r="BW46" s="14"/>
      <c r="BX46" s="6"/>
      <c r="BY46" s="14">
        <v>1</v>
      </c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 x14ac:dyDescent="0.2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>
        <v>1</v>
      </c>
      <c r="AB47" s="6"/>
      <c r="AC47" s="14"/>
      <c r="AD47" s="14"/>
      <c r="AE47" s="6">
        <v>1</v>
      </c>
      <c r="AF47" s="14">
        <v>1</v>
      </c>
      <c r="AG47" s="14">
        <v>1</v>
      </c>
      <c r="AH47" s="14">
        <v>1</v>
      </c>
      <c r="AI47" s="6">
        <v>1</v>
      </c>
      <c r="AJ47" s="14"/>
      <c r="AK47" s="14"/>
      <c r="AL47" s="14"/>
      <c r="AM47" s="6">
        <v>1</v>
      </c>
      <c r="AN47" s="14"/>
      <c r="AO47" s="14"/>
      <c r="AP47" s="14"/>
      <c r="AQ47" s="14"/>
      <c r="AR47" s="14"/>
      <c r="AS47" s="14"/>
      <c r="AT47" s="6">
        <v>1</v>
      </c>
      <c r="AU47" s="14"/>
      <c r="AV47" s="14"/>
      <c r="AW47" s="14"/>
      <c r="AX47" s="14"/>
      <c r="AY47" s="14"/>
      <c r="AZ47" s="14"/>
      <c r="BA47" s="14"/>
      <c r="BB47" s="6">
        <v>1</v>
      </c>
      <c r="BC47" s="14"/>
      <c r="BD47" s="14"/>
      <c r="BE47" s="14"/>
      <c r="BF47" s="14"/>
      <c r="BG47" s="6">
        <v>1</v>
      </c>
      <c r="BH47" s="14"/>
      <c r="BI47" s="14"/>
      <c r="BJ47" s="14"/>
      <c r="BK47" s="6">
        <v>1</v>
      </c>
      <c r="BL47" s="14"/>
      <c r="BM47" s="14"/>
      <c r="BN47" s="6">
        <v>1</v>
      </c>
      <c r="BO47" s="14"/>
      <c r="BP47" s="14"/>
      <c r="BQ47" s="6"/>
      <c r="BR47" s="6">
        <v>1</v>
      </c>
      <c r="BS47" s="14"/>
      <c r="BT47" s="14"/>
      <c r="BU47" s="6"/>
      <c r="BV47" s="14">
        <v>1</v>
      </c>
      <c r="BW47" s="14">
        <v>1</v>
      </c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 x14ac:dyDescent="0.2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6"/>
      <c r="Z48" s="6"/>
      <c r="AA48" s="6"/>
      <c r="AB48" s="14">
        <v>1</v>
      </c>
      <c r="AC48" s="14"/>
      <c r="AD48" s="14"/>
      <c r="AE48" s="14">
        <v>1</v>
      </c>
      <c r="AF48" s="6"/>
      <c r="AG48" s="6"/>
      <c r="AH48" s="6"/>
      <c r="AI48" s="14"/>
      <c r="AJ48" s="14"/>
      <c r="AK48" s="14"/>
      <c r="AL48" s="14"/>
      <c r="AM48" s="14">
        <v>1</v>
      </c>
      <c r="AN48" s="6"/>
      <c r="AO48" s="6"/>
      <c r="AP48" s="14"/>
      <c r="AQ48" s="14"/>
      <c r="AR48" s="14"/>
      <c r="AS48" s="14"/>
      <c r="AT48" s="14">
        <v>1</v>
      </c>
      <c r="AU48" s="6"/>
      <c r="AV48" s="6"/>
      <c r="AW48" s="14"/>
      <c r="AX48" s="14"/>
      <c r="AY48" s="14"/>
      <c r="AZ48" s="14"/>
      <c r="BA48" s="14"/>
      <c r="BB48" s="6">
        <v>1</v>
      </c>
      <c r="BC48" s="14"/>
      <c r="BD48" s="14"/>
      <c r="BE48" s="14"/>
      <c r="BF48" s="14"/>
      <c r="BG48" s="6">
        <v>1</v>
      </c>
      <c r="BH48" s="14"/>
      <c r="BI48" s="14"/>
      <c r="BJ48" s="14"/>
      <c r="BK48" s="6">
        <v>1</v>
      </c>
      <c r="BL48" s="14"/>
      <c r="BM48" s="14"/>
      <c r="BN48" s="14">
        <v>1</v>
      </c>
      <c r="BO48" s="6"/>
      <c r="BP48" s="6"/>
      <c r="BQ48" s="14"/>
      <c r="BR48" s="6">
        <v>1</v>
      </c>
      <c r="BS48" s="14"/>
      <c r="BT48" s="14"/>
      <c r="BU48" s="14"/>
      <c r="BV48" s="6"/>
      <c r="BW48" s="6"/>
      <c r="BX48" s="6">
        <v>1</v>
      </c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 x14ac:dyDescent="0.2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>
        <v>1</v>
      </c>
      <c r="Y49" s="14"/>
      <c r="Z49" s="14"/>
      <c r="AA49" s="14"/>
      <c r="AB49" s="14">
        <v>1</v>
      </c>
      <c r="AC49" s="14"/>
      <c r="AD49" s="14"/>
      <c r="AE49" s="14">
        <v>1</v>
      </c>
      <c r="AF49" s="14"/>
      <c r="AG49" s="14"/>
      <c r="AH49" s="14"/>
      <c r="AI49" s="14">
        <v>1</v>
      </c>
      <c r="AJ49" s="14"/>
      <c r="AK49" s="14"/>
      <c r="AL49" s="14"/>
      <c r="AM49" s="14">
        <v>1</v>
      </c>
      <c r="AN49" s="14"/>
      <c r="AO49" s="14"/>
      <c r="AP49" s="14"/>
      <c r="AQ49" s="14"/>
      <c r="AR49" s="14"/>
      <c r="AS49" s="14"/>
      <c r="AT49" s="14">
        <v>1</v>
      </c>
      <c r="AU49" s="14"/>
      <c r="AV49" s="14"/>
      <c r="AW49" s="14"/>
      <c r="AX49" s="14"/>
      <c r="AY49" s="14"/>
      <c r="AZ49" s="14"/>
      <c r="BA49" s="14"/>
      <c r="BB49" s="14">
        <v>1</v>
      </c>
      <c r="BC49" s="14"/>
      <c r="BD49" s="14"/>
      <c r="BE49" s="14"/>
      <c r="BF49" s="14"/>
      <c r="BG49" s="14">
        <v>1</v>
      </c>
      <c r="BH49" s="14"/>
      <c r="BI49" s="14"/>
      <c r="BJ49" s="14"/>
      <c r="BK49" s="14">
        <v>1</v>
      </c>
      <c r="BL49" s="14"/>
      <c r="BM49" s="14"/>
      <c r="BN49" s="14">
        <v>1</v>
      </c>
      <c r="BO49" s="14"/>
      <c r="BP49" s="14"/>
      <c r="BQ49" s="14">
        <v>1</v>
      </c>
      <c r="BR49" s="6">
        <v>1</v>
      </c>
      <c r="BS49" s="14"/>
      <c r="BT49" s="14"/>
      <c r="BU49" s="14">
        <v>1</v>
      </c>
      <c r="BV49" s="14"/>
      <c r="BW49" s="14"/>
      <c r="BX49" s="14"/>
      <c r="BY49" s="14">
        <v>1</v>
      </c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 x14ac:dyDescent="0.2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14">
        <v>1</v>
      </c>
      <c r="Z50" s="14">
        <v>1</v>
      </c>
      <c r="AA50" s="14">
        <v>1</v>
      </c>
      <c r="AB50" s="14"/>
      <c r="AC50" s="14"/>
      <c r="AD50" s="14"/>
      <c r="AE50" s="14"/>
      <c r="AF50" s="14">
        <v>1</v>
      </c>
      <c r="AG50" s="14">
        <v>1</v>
      </c>
      <c r="AH50" s="14">
        <v>1</v>
      </c>
      <c r="AI50" s="14"/>
      <c r="AJ50" s="14"/>
      <c r="AK50" s="14"/>
      <c r="AL50" s="14"/>
      <c r="AM50" s="14"/>
      <c r="AN50" s="14">
        <v>1</v>
      </c>
      <c r="AO50" s="14">
        <v>1</v>
      </c>
      <c r="AP50" s="14"/>
      <c r="AQ50" s="14"/>
      <c r="AR50" s="14"/>
      <c r="AS50" s="14"/>
      <c r="AT50" s="14"/>
      <c r="AU50" s="14">
        <v>1</v>
      </c>
      <c r="AV50" s="14">
        <v>1</v>
      </c>
      <c r="AW50" s="14"/>
      <c r="AX50" s="14"/>
      <c r="AY50" s="14"/>
      <c r="AZ50" s="14"/>
      <c r="BA50" s="14"/>
      <c r="BB50" s="14">
        <v>1</v>
      </c>
      <c r="BC50" s="14"/>
      <c r="BD50" s="14"/>
      <c r="BE50" s="14"/>
      <c r="BF50" s="14"/>
      <c r="BG50" s="14">
        <v>1</v>
      </c>
      <c r="BH50" s="14"/>
      <c r="BI50" s="14"/>
      <c r="BJ50" s="14"/>
      <c r="BK50" s="14">
        <v>1</v>
      </c>
      <c r="BL50" s="14"/>
      <c r="BM50" s="14"/>
      <c r="BN50" s="6"/>
      <c r="BO50" s="6">
        <v>1</v>
      </c>
      <c r="BP50" s="6">
        <v>1</v>
      </c>
      <c r="BQ50" s="6"/>
      <c r="BR50" s="14">
        <v>1</v>
      </c>
      <c r="BS50" s="14"/>
      <c r="BT50" s="14"/>
      <c r="BU50" s="14"/>
      <c r="BV50" s="14">
        <v>1</v>
      </c>
      <c r="BW50" s="14">
        <v>1</v>
      </c>
      <c r="BX50" s="14">
        <v>1</v>
      </c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 x14ac:dyDescent="0.2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14"/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>
        <v>1</v>
      </c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 x14ac:dyDescent="0.2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6"/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>
        <v>1</v>
      </c>
      <c r="BO52" s="14">
        <v>1</v>
      </c>
      <c r="BP52" s="14">
        <v>1</v>
      </c>
      <c r="BQ52" s="14">
        <v>1</v>
      </c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 x14ac:dyDescent="0.2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>
        <v>1</v>
      </c>
      <c r="Y53" s="6"/>
      <c r="Z53" s="14"/>
      <c r="AA53" s="6"/>
      <c r="AB53" s="6">
        <v>1</v>
      </c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>
        <v>1</v>
      </c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>
        <v>1</v>
      </c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 x14ac:dyDescent="0.2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>
        <v>1</v>
      </c>
      <c r="Y54" s="14">
        <v>1</v>
      </c>
      <c r="Z54" s="6"/>
      <c r="AA54" s="14">
        <v>1</v>
      </c>
      <c r="AB54" s="6">
        <v>1</v>
      </c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>
        <v>1</v>
      </c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 x14ac:dyDescent="0.2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>
        <v>1</v>
      </c>
      <c r="Y55" s="14">
        <v>1</v>
      </c>
      <c r="Z55" s="14"/>
      <c r="AA55" s="14">
        <v>1</v>
      </c>
      <c r="AB55" s="6">
        <v>1</v>
      </c>
      <c r="AC55" s="14"/>
      <c r="AD55" s="14"/>
      <c r="AE55" s="14"/>
      <c r="AF55" s="6">
        <v>1</v>
      </c>
      <c r="AG55" s="6">
        <v>1</v>
      </c>
      <c r="AH55" s="6">
        <v>1</v>
      </c>
      <c r="AI55" s="6"/>
      <c r="AJ55" s="14"/>
      <c r="AK55" s="14"/>
      <c r="AL55" s="14">
        <v>1</v>
      </c>
      <c r="AM55" s="14">
        <v>1</v>
      </c>
      <c r="AN55" s="6">
        <v>1</v>
      </c>
      <c r="AO55" s="14"/>
      <c r="AP55" s="14"/>
      <c r="AQ55" s="14"/>
      <c r="AR55" s="14"/>
      <c r="AS55" s="6">
        <v>1</v>
      </c>
      <c r="AT55" s="14"/>
      <c r="AU55" s="14">
        <v>1</v>
      </c>
      <c r="AV55" s="14">
        <v>1</v>
      </c>
      <c r="AW55" s="6"/>
      <c r="AX55" s="14"/>
      <c r="AY55" s="14"/>
      <c r="AZ55" s="14">
        <v>1</v>
      </c>
      <c r="BA55" s="6">
        <v>1</v>
      </c>
      <c r="BB55" s="14">
        <v>1</v>
      </c>
      <c r="BC55" s="14">
        <v>1</v>
      </c>
      <c r="BD55" s="14"/>
      <c r="BE55" s="14"/>
      <c r="BF55" s="14"/>
      <c r="BG55" s="6"/>
      <c r="BH55" s="6">
        <v>1</v>
      </c>
      <c r="BI55" s="6">
        <v>1</v>
      </c>
      <c r="BJ55" s="6">
        <v>1</v>
      </c>
      <c r="BK55" s="6"/>
      <c r="BL55" s="14"/>
      <c r="BM55" s="14"/>
      <c r="BN55" s="6">
        <v>1</v>
      </c>
      <c r="BO55" s="14"/>
      <c r="BP55" s="14">
        <v>1</v>
      </c>
      <c r="BQ55" s="14">
        <v>1</v>
      </c>
      <c r="BR55" s="6"/>
      <c r="BS55" s="14"/>
      <c r="BT55" s="14"/>
      <c r="BU55" s="14"/>
      <c r="BV55" s="6">
        <v>1</v>
      </c>
      <c r="BW55" s="6">
        <v>1</v>
      </c>
      <c r="BX55" s="6">
        <v>1</v>
      </c>
      <c r="BY55" s="6"/>
      <c r="BZ55" s="14"/>
      <c r="CA55" s="14"/>
      <c r="CB55" s="6">
        <v>1</v>
      </c>
      <c r="CC55" s="14"/>
      <c r="CD55" s="14">
        <v>1</v>
      </c>
      <c r="CE55" s="16">
        <v>1</v>
      </c>
      <c r="CF55" s="15"/>
      <c r="CG55" s="16"/>
      <c r="CH55" s="16"/>
      <c r="CI55" s="15"/>
      <c r="CJ55" s="16">
        <v>1</v>
      </c>
      <c r="CK55" s="16">
        <v>1</v>
      </c>
      <c r="CL55" s="16">
        <v>1</v>
      </c>
      <c r="CM55" s="16"/>
      <c r="CN55" s="16"/>
      <c r="CO55" s="16"/>
      <c r="CP55" s="15"/>
      <c r="CQ55" s="15">
        <v>1</v>
      </c>
      <c r="CR55" s="15">
        <v>1</v>
      </c>
      <c r="CS55" s="15">
        <v>1</v>
      </c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 x14ac:dyDescent="0.2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>
        <v>1</v>
      </c>
      <c r="Y56" s="14"/>
      <c r="Z56" s="14">
        <v>1</v>
      </c>
      <c r="AA56" s="14"/>
      <c r="AB56" s="6">
        <v>1</v>
      </c>
      <c r="AC56" s="14"/>
      <c r="AD56" s="14"/>
      <c r="AE56" s="6">
        <v>1</v>
      </c>
      <c r="AF56" s="14"/>
      <c r="AG56" s="14"/>
      <c r="AH56" s="14"/>
      <c r="AI56" s="6">
        <v>1</v>
      </c>
      <c r="AJ56" s="14"/>
      <c r="AK56" s="14"/>
      <c r="AL56" s="14"/>
      <c r="AM56" s="14"/>
      <c r="AN56" s="6">
        <v>1</v>
      </c>
      <c r="AO56" s="14"/>
      <c r="AP56" s="14"/>
      <c r="AQ56" s="14"/>
      <c r="AR56" s="14"/>
      <c r="AS56" s="6">
        <v>1</v>
      </c>
      <c r="AT56" s="14">
        <v>1</v>
      </c>
      <c r="AU56" s="14"/>
      <c r="AV56" s="14"/>
      <c r="AW56" s="6">
        <v>1</v>
      </c>
      <c r="AX56" s="14"/>
      <c r="AY56" s="14"/>
      <c r="AZ56" s="14"/>
      <c r="BA56" s="6">
        <v>1</v>
      </c>
      <c r="BB56" s="14"/>
      <c r="BC56" s="14"/>
      <c r="BD56" s="14"/>
      <c r="BE56" s="14"/>
      <c r="BF56" s="14"/>
      <c r="BG56" s="6">
        <v>1</v>
      </c>
      <c r="BH56" s="14"/>
      <c r="BI56" s="14"/>
      <c r="BJ56" s="14"/>
      <c r="BK56" s="14">
        <v>1</v>
      </c>
      <c r="BL56" s="14"/>
      <c r="BM56" s="14"/>
      <c r="BN56" s="6">
        <v>1</v>
      </c>
      <c r="BO56" s="14">
        <v>1</v>
      </c>
      <c r="BP56" s="14"/>
      <c r="BQ56" s="14"/>
      <c r="BR56" s="6">
        <v>1</v>
      </c>
      <c r="BS56" s="14"/>
      <c r="BT56" s="14"/>
      <c r="BU56" s="6">
        <v>1</v>
      </c>
      <c r="BV56" s="14"/>
      <c r="BW56" s="14"/>
      <c r="BX56" s="14"/>
      <c r="BY56" s="6">
        <v>1</v>
      </c>
      <c r="BZ56" s="14"/>
      <c r="CA56" s="14"/>
      <c r="CB56" s="6">
        <v>1</v>
      </c>
      <c r="CC56" s="14">
        <v>1</v>
      </c>
      <c r="CD56" s="14"/>
      <c r="CE56" s="16"/>
      <c r="CF56" s="15">
        <v>1</v>
      </c>
      <c r="CG56" s="16"/>
      <c r="CH56" s="16"/>
      <c r="CI56" s="15">
        <v>1</v>
      </c>
      <c r="CJ56" s="16"/>
      <c r="CK56" s="16"/>
      <c r="CL56" s="16"/>
      <c r="CM56" s="16">
        <v>1</v>
      </c>
      <c r="CN56" s="16"/>
      <c r="CO56" s="16"/>
      <c r="CP56" s="15">
        <v>1</v>
      </c>
      <c r="CQ56" s="16"/>
      <c r="CR56" s="16"/>
      <c r="CS56" s="16"/>
      <c r="CT56" s="14">
        <v>1</v>
      </c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 x14ac:dyDescent="0.2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>
        <v>1</v>
      </c>
      <c r="Y57" s="14"/>
      <c r="Z57" s="14"/>
      <c r="AA57" s="14"/>
      <c r="AB57" s="6">
        <v>1</v>
      </c>
      <c r="AC57" s="14"/>
      <c r="AD57" s="14"/>
      <c r="AE57" s="6"/>
      <c r="AF57" s="14">
        <v>1</v>
      </c>
      <c r="AG57" s="14">
        <v>1</v>
      </c>
      <c r="AH57" s="6">
        <v>1</v>
      </c>
      <c r="AI57" s="6">
        <v>1</v>
      </c>
      <c r="AJ57" s="14"/>
      <c r="AK57" s="14"/>
      <c r="AL57" s="14"/>
      <c r="AM57" s="14"/>
      <c r="AN57" s="6">
        <v>1</v>
      </c>
      <c r="AO57" s="14"/>
      <c r="AP57" s="14"/>
      <c r="AQ57" s="14"/>
      <c r="AR57" s="14"/>
      <c r="AS57" s="6">
        <v>1</v>
      </c>
      <c r="AT57" s="14"/>
      <c r="AU57" s="14"/>
      <c r="AV57" s="14"/>
      <c r="AW57" s="6">
        <v>1</v>
      </c>
      <c r="AX57" s="14"/>
      <c r="AY57" s="14"/>
      <c r="AZ57" s="14"/>
      <c r="BA57" s="6">
        <v>1</v>
      </c>
      <c r="BB57" s="14"/>
      <c r="BC57" s="14"/>
      <c r="BD57" s="14"/>
      <c r="BE57" s="14"/>
      <c r="BF57" s="14"/>
      <c r="BG57" s="6">
        <v>1</v>
      </c>
      <c r="BH57" s="14">
        <v>1</v>
      </c>
      <c r="BI57" s="14">
        <v>1</v>
      </c>
      <c r="BJ57" s="14">
        <v>1</v>
      </c>
      <c r="BK57" s="6">
        <v>1</v>
      </c>
      <c r="BL57" s="14"/>
      <c r="BM57" s="14"/>
      <c r="BN57" s="6">
        <v>1</v>
      </c>
      <c r="BO57" s="14"/>
      <c r="BP57" s="14"/>
      <c r="BQ57" s="14"/>
      <c r="BR57" s="6">
        <v>1</v>
      </c>
      <c r="BS57" s="14"/>
      <c r="BT57" s="14"/>
      <c r="BU57" s="6"/>
      <c r="BV57" s="14">
        <v>1</v>
      </c>
      <c r="BW57" s="14">
        <v>1</v>
      </c>
      <c r="BX57" s="6">
        <v>1</v>
      </c>
      <c r="BY57" s="6">
        <v>1</v>
      </c>
      <c r="BZ57" s="14"/>
      <c r="CA57" s="14"/>
      <c r="CB57" s="6">
        <v>1</v>
      </c>
      <c r="CC57" s="14"/>
      <c r="CD57" s="14"/>
      <c r="CE57" s="16"/>
      <c r="CF57" s="15">
        <v>1</v>
      </c>
      <c r="CG57" s="16"/>
      <c r="CH57" s="16"/>
      <c r="CI57" s="15">
        <v>1</v>
      </c>
      <c r="CJ57" s="16"/>
      <c r="CK57" s="16"/>
      <c r="CL57" s="16"/>
      <c r="CM57" s="15"/>
      <c r="CN57" s="16"/>
      <c r="CO57" s="16"/>
      <c r="CP57" s="15">
        <v>1</v>
      </c>
      <c r="CQ57" s="16">
        <v>1</v>
      </c>
      <c r="CR57" s="16">
        <v>1</v>
      </c>
      <c r="CS57" s="16">
        <v>1</v>
      </c>
      <c r="CT57" s="6">
        <v>1</v>
      </c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 x14ac:dyDescent="0.2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>
        <v>1</v>
      </c>
      <c r="Y58" s="14"/>
      <c r="Z58" s="14"/>
      <c r="AA58" s="14"/>
      <c r="AB58" s="6">
        <v>1</v>
      </c>
      <c r="AC58" s="14"/>
      <c r="AD58" s="14"/>
      <c r="AE58" s="14">
        <v>1</v>
      </c>
      <c r="AF58" s="6"/>
      <c r="AG58" s="6"/>
      <c r="AH58" s="14"/>
      <c r="AI58" s="6">
        <v>1</v>
      </c>
      <c r="AJ58" s="14"/>
      <c r="AK58" s="14"/>
      <c r="AL58" s="14"/>
      <c r="AM58" s="14"/>
      <c r="AN58" s="6">
        <v>1</v>
      </c>
      <c r="AO58" s="14"/>
      <c r="AP58" s="14"/>
      <c r="AQ58" s="14"/>
      <c r="AR58" s="14"/>
      <c r="AS58" s="6">
        <v>1</v>
      </c>
      <c r="AT58" s="14"/>
      <c r="AU58" s="14"/>
      <c r="AV58" s="14"/>
      <c r="AW58" s="6">
        <v>1</v>
      </c>
      <c r="AX58" s="14"/>
      <c r="AY58" s="14"/>
      <c r="AZ58" s="14"/>
      <c r="BA58" s="14">
        <v>1</v>
      </c>
      <c r="BB58" s="6"/>
      <c r="BC58" s="6"/>
      <c r="BD58" s="14"/>
      <c r="BE58" s="14"/>
      <c r="BF58" s="14"/>
      <c r="BG58" s="14">
        <v>1</v>
      </c>
      <c r="BH58" s="6"/>
      <c r="BI58" s="6"/>
      <c r="BJ58" s="6"/>
      <c r="BK58" s="14"/>
      <c r="BL58" s="14"/>
      <c r="BM58" s="14"/>
      <c r="BN58" s="6">
        <v>1</v>
      </c>
      <c r="BO58" s="14"/>
      <c r="BP58" s="14"/>
      <c r="BQ58" s="14"/>
      <c r="BR58" s="6">
        <v>1</v>
      </c>
      <c r="BS58" s="14"/>
      <c r="BT58" s="14"/>
      <c r="BU58" s="14">
        <v>1</v>
      </c>
      <c r="BV58" s="6"/>
      <c r="BW58" s="6"/>
      <c r="BX58" s="14"/>
      <c r="BY58" s="6">
        <v>1</v>
      </c>
      <c r="BZ58" s="14"/>
      <c r="CA58" s="14"/>
      <c r="CB58" s="6">
        <v>1</v>
      </c>
      <c r="CC58" s="14"/>
      <c r="CD58" s="14"/>
      <c r="CE58" s="16"/>
      <c r="CF58" s="15">
        <v>1</v>
      </c>
      <c r="CG58" s="16"/>
      <c r="CH58" s="16"/>
      <c r="CI58" s="16">
        <v>1</v>
      </c>
      <c r="CJ58" s="15"/>
      <c r="CK58" s="15"/>
      <c r="CL58" s="15"/>
      <c r="CM58" s="16"/>
      <c r="CN58" s="16"/>
      <c r="CO58" s="16"/>
      <c r="CP58" s="16">
        <v>1</v>
      </c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 x14ac:dyDescent="0.2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>
        <v>1</v>
      </c>
      <c r="Y59" s="14"/>
      <c r="Z59" s="14"/>
      <c r="AA59" s="14"/>
      <c r="AB59" s="14">
        <v>1</v>
      </c>
      <c r="AC59" s="14"/>
      <c r="AD59" s="14"/>
      <c r="AE59" s="14">
        <v>1</v>
      </c>
      <c r="AF59" s="14"/>
      <c r="AG59" s="14"/>
      <c r="AH59" s="14">
        <v>1</v>
      </c>
      <c r="AI59" s="14">
        <v>1</v>
      </c>
      <c r="AJ59" s="14"/>
      <c r="AK59" s="14"/>
      <c r="AL59" s="14"/>
      <c r="AM59" s="14"/>
      <c r="AN59" s="14">
        <v>1</v>
      </c>
      <c r="AO59" s="14"/>
      <c r="AP59" s="14"/>
      <c r="AQ59" s="14"/>
      <c r="AR59" s="14"/>
      <c r="AS59" s="14">
        <v>1</v>
      </c>
      <c r="AT59" s="14"/>
      <c r="AU59" s="14"/>
      <c r="AV59" s="14"/>
      <c r="AW59" s="14">
        <v>1</v>
      </c>
      <c r="AX59" s="14"/>
      <c r="AY59" s="14"/>
      <c r="AZ59" s="14"/>
      <c r="BA59" s="14">
        <v>1</v>
      </c>
      <c r="BB59" s="14"/>
      <c r="BC59" s="14"/>
      <c r="BD59" s="14"/>
      <c r="BE59" s="14"/>
      <c r="BF59" s="14"/>
      <c r="BG59" s="14">
        <v>1</v>
      </c>
      <c r="BH59" s="14"/>
      <c r="BI59" s="14"/>
      <c r="BJ59" s="14"/>
      <c r="BK59" s="14">
        <v>1</v>
      </c>
      <c r="BL59" s="14"/>
      <c r="BM59" s="14"/>
      <c r="BN59" s="14">
        <v>1</v>
      </c>
      <c r="BO59" s="14"/>
      <c r="BP59" s="14"/>
      <c r="BQ59" s="14"/>
      <c r="BR59" s="14">
        <v>1</v>
      </c>
      <c r="BS59" s="14"/>
      <c r="BT59" s="14"/>
      <c r="BU59" s="14">
        <v>1</v>
      </c>
      <c r="BV59" s="14"/>
      <c r="BW59" s="14"/>
      <c r="BX59" s="14">
        <v>1</v>
      </c>
      <c r="BY59" s="14">
        <v>1</v>
      </c>
      <c r="BZ59" s="14"/>
      <c r="CA59" s="14"/>
      <c r="CB59" s="14">
        <v>1</v>
      </c>
      <c r="CC59" s="14"/>
      <c r="CD59" s="14"/>
      <c r="CE59" s="16"/>
      <c r="CF59" s="16">
        <v>1</v>
      </c>
      <c r="CG59" s="16"/>
      <c r="CH59" s="16"/>
      <c r="CI59" s="16">
        <v>1</v>
      </c>
      <c r="CJ59" s="16"/>
      <c r="CK59" s="16"/>
      <c r="CL59" s="16"/>
      <c r="CM59" s="16">
        <v>1</v>
      </c>
      <c r="CN59" s="16"/>
      <c r="CO59" s="16"/>
      <c r="CP59" s="16">
        <v>1</v>
      </c>
      <c r="CQ59" s="16"/>
      <c r="CR59" s="16"/>
      <c r="CS59" s="16"/>
      <c r="CT59" s="14">
        <v>1</v>
      </c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 x14ac:dyDescent="0.2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>
        <v>1</v>
      </c>
      <c r="Y60" s="14"/>
      <c r="Z60" s="14"/>
      <c r="AA60" s="14"/>
      <c r="AB60" s="14">
        <v>1</v>
      </c>
      <c r="AC60" s="14"/>
      <c r="AD60" s="14"/>
      <c r="AE60" s="14"/>
      <c r="AF60" s="14">
        <v>1</v>
      </c>
      <c r="AG60" s="14">
        <v>1</v>
      </c>
      <c r="AH60" s="14"/>
      <c r="AI60" s="14">
        <v>1</v>
      </c>
      <c r="AJ60" s="14"/>
      <c r="AK60" s="14"/>
      <c r="AL60" s="14"/>
      <c r="AM60" s="14"/>
      <c r="AN60" s="14">
        <v>1</v>
      </c>
      <c r="AO60" s="14"/>
      <c r="AP60" s="14"/>
      <c r="AQ60" s="14"/>
      <c r="AR60" s="14"/>
      <c r="AS60" s="14">
        <v>1</v>
      </c>
      <c r="AT60" s="14"/>
      <c r="AU60" s="14"/>
      <c r="AV60" s="14"/>
      <c r="AW60" s="14">
        <v>1</v>
      </c>
      <c r="AX60" s="14"/>
      <c r="AY60" s="14"/>
      <c r="AZ60" s="14"/>
      <c r="BA60" s="14"/>
      <c r="BB60" s="14">
        <v>1</v>
      </c>
      <c r="BC60" s="14">
        <v>1</v>
      </c>
      <c r="BD60" s="14"/>
      <c r="BE60" s="14"/>
      <c r="BF60" s="14"/>
      <c r="BG60" s="14"/>
      <c r="BH60" s="14">
        <v>1</v>
      </c>
      <c r="BI60" s="14">
        <v>1</v>
      </c>
      <c r="BJ60" s="14">
        <v>1</v>
      </c>
      <c r="BK60" s="14"/>
      <c r="BL60" s="14"/>
      <c r="BM60" s="14"/>
      <c r="BN60" s="14">
        <v>1</v>
      </c>
      <c r="BO60" s="14"/>
      <c r="BP60" s="14"/>
      <c r="BQ60" s="14"/>
      <c r="BR60" s="14">
        <v>1</v>
      </c>
      <c r="BS60" s="14"/>
      <c r="BT60" s="14"/>
      <c r="BU60" s="14"/>
      <c r="BV60" s="14">
        <v>1</v>
      </c>
      <c r="BW60" s="14">
        <v>1</v>
      </c>
      <c r="BX60" s="14"/>
      <c r="BY60" s="14">
        <v>1</v>
      </c>
      <c r="BZ60" s="14"/>
      <c r="CA60" s="14"/>
      <c r="CB60" s="14">
        <v>1</v>
      </c>
      <c r="CC60" s="14"/>
      <c r="CD60" s="14"/>
      <c r="CE60" s="16"/>
      <c r="CF60" s="16">
        <v>1</v>
      </c>
      <c r="CG60" s="16"/>
      <c r="CH60" s="16"/>
      <c r="CI60" s="16"/>
      <c r="CJ60" s="16">
        <v>1</v>
      </c>
      <c r="CK60" s="16">
        <v>1</v>
      </c>
      <c r="CL60" s="16">
        <v>1</v>
      </c>
      <c r="CM60" s="16"/>
      <c r="CN60" s="16"/>
      <c r="CO60" s="16"/>
      <c r="CP60" s="16"/>
      <c r="CQ60" s="16">
        <v>1</v>
      </c>
      <c r="CR60" s="16">
        <v>1</v>
      </c>
      <c r="CS60" s="16">
        <v>1</v>
      </c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 x14ac:dyDescent="0.2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 x14ac:dyDescent="0.2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 x14ac:dyDescent="0.2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 x14ac:dyDescent="0.2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 x14ac:dyDescent="0.2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  <row r="68" spans="1:146" ht="141.75" x14ac:dyDescent="1.45">
      <c r="G68" s="22" t="s">
        <v>212</v>
      </c>
      <c r="H68" s="21"/>
    </row>
  </sheetData>
  <conditionalFormatting sqref="B2:EO11">
    <cfRule type="expression" dxfId="12" priority="1">
      <formula>B2=""</formula>
    </cfRule>
    <cfRule type="expression" dxfId="11" priority="2">
      <formula>B2=1</formula>
    </cfRule>
  </conditionalFormatting>
  <conditionalFormatting sqref="B12:EO65">
    <cfRule type="expression" dxfId="10" priority="3">
      <formula>AND(B12&lt;&gt;1,B12&lt;&gt;"")</formula>
    </cfRule>
    <cfRule type="expression" dxfId="9" priority="4">
      <formula>B12=""</formula>
    </cfRule>
    <cfRule type="expression" dxfId="8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F2C95-216F-4BA7-A262-0B9540ACEDEA}">
  <sheetPr codeName="Sheet8"/>
  <dimension ref="A1:EP66"/>
  <sheetViews>
    <sheetView zoomScale="40" zoomScaleNormal="40" workbookViewId="0">
      <pane xSplit="1" ySplit="1" topLeftCell="X5" activePane="bottomRight" state="frozen"/>
      <selection pane="topRight" activeCell="B1" sqref="B1"/>
      <selection pane="bottomLeft" activeCell="A3" sqref="A3"/>
      <selection pane="bottomRight" activeCell="FC49" sqref="FC49"/>
    </sheetView>
  </sheetViews>
  <sheetFormatPr defaultRowHeight="12.75" x14ac:dyDescent="0.2"/>
  <cols>
    <col min="1" max="1" width="6" customWidth="1"/>
    <col min="2" max="145" width="2.125" customWidth="1"/>
    <col min="146" max="146" width="6" customWidth="1"/>
    <col min="147" max="158" width="2.125" customWidth="1"/>
  </cols>
  <sheetData>
    <row r="1" spans="1:146" ht="39.950000000000003" customHeight="1" x14ac:dyDescent="0.2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 x14ac:dyDescent="0.2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 x14ac:dyDescent="0.2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 x14ac:dyDescent="0.2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 x14ac:dyDescent="0.2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 x14ac:dyDescent="0.2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 x14ac:dyDescent="0.2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 x14ac:dyDescent="0.2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 x14ac:dyDescent="0.2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 x14ac:dyDescent="0.2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 x14ac:dyDescent="0.2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 x14ac:dyDescent="0.2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 x14ac:dyDescent="0.2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 x14ac:dyDescent="0.2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>
        <v>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 s="3">
        <v>1</v>
      </c>
      <c r="AK14" s="3">
        <v>1</v>
      </c>
      <c r="AL14" s="3">
        <v>1</v>
      </c>
      <c r="AM14" s="3">
        <v>1</v>
      </c>
      <c r="AN14" s="3">
        <v>1</v>
      </c>
      <c r="AO14" s="3">
        <v>1</v>
      </c>
      <c r="AP14" s="3">
        <v>1</v>
      </c>
      <c r="AQ14" s="3">
        <v>1</v>
      </c>
      <c r="AR14" s="3">
        <v>1</v>
      </c>
      <c r="AS14" s="3">
        <v>1</v>
      </c>
      <c r="AT14" s="3">
        <v>1</v>
      </c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 x14ac:dyDescent="0.2">
      <c r="A15" s="3">
        <v>14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 x14ac:dyDescent="0.2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/>
      <c r="AC16" s="3"/>
      <c r="AD16" s="3"/>
      <c r="AE16" s="3">
        <v>1</v>
      </c>
      <c r="AF16" s="3"/>
      <c r="AG16" s="3"/>
      <c r="AH16" s="3"/>
      <c r="AI16" s="3">
        <v>1</v>
      </c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>
        <v>1</v>
      </c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>
        <v>1</v>
      </c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 x14ac:dyDescent="0.2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/>
      <c r="AC17" s="3"/>
      <c r="AD17" s="3"/>
      <c r="AE17" s="3">
        <v>1</v>
      </c>
      <c r="AF17" s="3">
        <v>1</v>
      </c>
      <c r="AG17" s="3"/>
      <c r="AH17" s="3"/>
      <c r="AI17" s="3">
        <v>1</v>
      </c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>
        <v>1</v>
      </c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 x14ac:dyDescent="0.2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/>
      <c r="AC18" s="3"/>
      <c r="AD18" s="3"/>
      <c r="AE18" s="3">
        <v>1</v>
      </c>
      <c r="AF18" s="3">
        <v>1</v>
      </c>
      <c r="AG18" s="3"/>
      <c r="AH18" s="3"/>
      <c r="AI18" s="3">
        <v>1</v>
      </c>
      <c r="AJ18" s="3"/>
      <c r="AK18" s="3"/>
      <c r="AL18" s="3"/>
      <c r="AM18" s="3">
        <v>1</v>
      </c>
      <c r="AN18" s="3">
        <v>1</v>
      </c>
      <c r="AO18" s="3">
        <v>1</v>
      </c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>
        <v>1</v>
      </c>
      <c r="BA18" s="3">
        <v>1</v>
      </c>
      <c r="BB18" s="3">
        <v>1</v>
      </c>
      <c r="BC18" s="3"/>
      <c r="BD18" s="3"/>
      <c r="BE18" s="3"/>
      <c r="BF18" s="3"/>
      <c r="BG18" s="3">
        <v>1</v>
      </c>
      <c r="BH18" s="3"/>
      <c r="BI18" s="3">
        <v>1</v>
      </c>
      <c r="BJ18" s="3">
        <v>1</v>
      </c>
      <c r="BK18" s="3"/>
      <c r="BL18" s="3"/>
      <c r="BM18" s="3"/>
      <c r="BN18" s="3"/>
      <c r="BO18" s="3">
        <v>1</v>
      </c>
      <c r="BP18" s="3">
        <v>1</v>
      </c>
      <c r="BQ18" s="3"/>
      <c r="BR18" s="3">
        <v>1</v>
      </c>
      <c r="BS18" s="3"/>
      <c r="BT18" s="3"/>
      <c r="BU18" s="3"/>
      <c r="BV18" s="3">
        <v>1</v>
      </c>
      <c r="BW18" s="3">
        <v>1</v>
      </c>
      <c r="BX18" s="3">
        <v>1</v>
      </c>
      <c r="BY18" s="3"/>
      <c r="BZ18" s="3"/>
      <c r="CA18" s="3"/>
      <c r="CB18" s="3">
        <v>1</v>
      </c>
      <c r="CC18" s="3"/>
      <c r="CD18" s="3"/>
      <c r="CE18" s="17"/>
      <c r="CF18" s="17">
        <v>1</v>
      </c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 x14ac:dyDescent="0.2">
      <c r="A19" s="3">
        <v>18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>
        <v>1</v>
      </c>
      <c r="Z19" s="3"/>
      <c r="AA19" s="3"/>
      <c r="AB19" s="3"/>
      <c r="AC19" s="3"/>
      <c r="AD19" s="3"/>
      <c r="AE19" s="3">
        <v>1</v>
      </c>
      <c r="AF19" s="3"/>
      <c r="AG19" s="3">
        <v>1</v>
      </c>
      <c r="AH19" s="3"/>
      <c r="AI19" s="3">
        <v>1</v>
      </c>
      <c r="AJ19" s="3"/>
      <c r="AK19" s="3"/>
      <c r="AL19" s="3">
        <v>1</v>
      </c>
      <c r="AM19" s="3"/>
      <c r="AN19" s="3"/>
      <c r="AO19" s="3"/>
      <c r="AP19" s="3">
        <v>1</v>
      </c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>
        <v>1</v>
      </c>
      <c r="BC19" s="3"/>
      <c r="BD19" s="3"/>
      <c r="BE19" s="3"/>
      <c r="BF19" s="3"/>
      <c r="BG19" s="3">
        <v>1</v>
      </c>
      <c r="BH19" s="3">
        <v>1</v>
      </c>
      <c r="BI19" s="3"/>
      <c r="BJ19" s="3"/>
      <c r="BK19" s="3">
        <v>1</v>
      </c>
      <c r="BL19" s="3"/>
      <c r="BM19" s="3"/>
      <c r="BN19" s="3">
        <v>1</v>
      </c>
      <c r="BO19" s="3"/>
      <c r="BP19" s="3"/>
      <c r="BQ19" s="3">
        <v>1</v>
      </c>
      <c r="BR19" s="3">
        <v>1</v>
      </c>
      <c r="BS19" s="3"/>
      <c r="BT19" s="3"/>
      <c r="BU19" s="3">
        <v>1</v>
      </c>
      <c r="BV19" s="3"/>
      <c r="BW19" s="3"/>
      <c r="BX19" s="3"/>
      <c r="BY19" s="3">
        <v>1</v>
      </c>
      <c r="BZ19" s="3"/>
      <c r="CA19" s="3"/>
      <c r="CB19" s="3"/>
      <c r="CC19" s="3">
        <v>1</v>
      </c>
      <c r="CD19" s="3"/>
      <c r="CE19" s="17">
        <v>1</v>
      </c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 x14ac:dyDescent="0.2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>
        <v>1</v>
      </c>
      <c r="Z20" s="3"/>
      <c r="AA20" s="3"/>
      <c r="AB20" s="3"/>
      <c r="AC20" s="3"/>
      <c r="AD20" s="3"/>
      <c r="AE20" s="3">
        <v>1</v>
      </c>
      <c r="AF20" s="3"/>
      <c r="AG20" s="3">
        <v>1</v>
      </c>
      <c r="AH20" s="3"/>
      <c r="AI20" s="3">
        <v>1</v>
      </c>
      <c r="AJ20" s="3"/>
      <c r="AK20" s="3"/>
      <c r="AL20" s="3">
        <v>1</v>
      </c>
      <c r="AM20" s="3"/>
      <c r="AN20" s="3"/>
      <c r="AO20" s="3"/>
      <c r="AP20" s="3">
        <v>1</v>
      </c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>
        <v>1</v>
      </c>
      <c r="BC20" s="3"/>
      <c r="BD20" s="3"/>
      <c r="BE20" s="3"/>
      <c r="BF20" s="3"/>
      <c r="BG20" s="3">
        <v>1</v>
      </c>
      <c r="BH20" s="3"/>
      <c r="BI20" s="3"/>
      <c r="BJ20" s="3"/>
      <c r="BK20" s="3">
        <v>1</v>
      </c>
      <c r="BL20" s="3"/>
      <c r="BM20" s="3"/>
      <c r="BN20" s="3">
        <v>1</v>
      </c>
      <c r="BO20" s="3"/>
      <c r="BP20" s="3"/>
      <c r="BQ20" s="3"/>
      <c r="BR20" s="3">
        <v>1</v>
      </c>
      <c r="BS20" s="3"/>
      <c r="BT20" s="3"/>
      <c r="BU20" s="3">
        <v>1</v>
      </c>
      <c r="BV20" s="3">
        <v>1</v>
      </c>
      <c r="BW20" s="3">
        <v>1</v>
      </c>
      <c r="BX20" s="3">
        <v>1</v>
      </c>
      <c r="BY20" s="3">
        <v>1</v>
      </c>
      <c r="BZ20" s="3"/>
      <c r="CA20" s="3"/>
      <c r="CB20" s="3"/>
      <c r="CC20" s="3"/>
      <c r="CD20" s="3">
        <v>1</v>
      </c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 x14ac:dyDescent="0.2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>
        <v>1</v>
      </c>
      <c r="Z21" s="14"/>
      <c r="AA21" s="14"/>
      <c r="AB21" s="14"/>
      <c r="AC21" s="14"/>
      <c r="AD21" s="14"/>
      <c r="AE21" s="14">
        <v>1</v>
      </c>
      <c r="AF21" s="14"/>
      <c r="AG21" s="6"/>
      <c r="AH21" s="14">
        <v>1</v>
      </c>
      <c r="AI21" s="14">
        <v>1</v>
      </c>
      <c r="AJ21" s="14"/>
      <c r="AK21" s="14"/>
      <c r="AL21" s="14">
        <v>1</v>
      </c>
      <c r="AM21" s="14"/>
      <c r="AN21" s="14"/>
      <c r="AO21" s="14"/>
      <c r="AP21" s="14">
        <v>1</v>
      </c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>
        <v>1</v>
      </c>
      <c r="BC21" s="14"/>
      <c r="BD21" s="14"/>
      <c r="BE21" s="14"/>
      <c r="BF21" s="14"/>
      <c r="BG21" s="14">
        <v>1</v>
      </c>
      <c r="BH21" s="14"/>
      <c r="BI21" s="14"/>
      <c r="BJ21" s="14"/>
      <c r="BK21" s="14">
        <v>1</v>
      </c>
      <c r="BL21" s="14"/>
      <c r="BM21" s="14"/>
      <c r="BN21" s="14">
        <v>1</v>
      </c>
      <c r="BO21" s="14"/>
      <c r="BP21" s="14"/>
      <c r="BQ21" s="14"/>
      <c r="BR21" s="14">
        <v>1</v>
      </c>
      <c r="BS21" s="14"/>
      <c r="BT21" s="14"/>
      <c r="BU21" s="14">
        <v>1</v>
      </c>
      <c r="BV21" s="14"/>
      <c r="BW21" s="14"/>
      <c r="BX21" s="14"/>
      <c r="BY21" s="14"/>
      <c r="BZ21" s="14"/>
      <c r="CA21" s="3"/>
      <c r="CB21" s="3"/>
      <c r="CC21" s="3"/>
      <c r="CD21" s="3">
        <v>1</v>
      </c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 x14ac:dyDescent="0.2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>
        <v>1</v>
      </c>
      <c r="Z22" s="14"/>
      <c r="AA22" s="14"/>
      <c r="AB22" s="14"/>
      <c r="AC22" s="14"/>
      <c r="AD22" s="14"/>
      <c r="AE22" s="14">
        <v>1</v>
      </c>
      <c r="AF22" s="14"/>
      <c r="AG22" s="14"/>
      <c r="AH22" s="14">
        <v>1</v>
      </c>
      <c r="AI22" s="14">
        <v>1</v>
      </c>
      <c r="AJ22" s="14"/>
      <c r="AK22" s="14"/>
      <c r="AL22" s="14">
        <v>1</v>
      </c>
      <c r="AM22" s="14"/>
      <c r="AN22" s="14"/>
      <c r="AO22" s="14"/>
      <c r="AP22" s="14">
        <v>1</v>
      </c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>
        <v>1</v>
      </c>
      <c r="BC22" s="14"/>
      <c r="BD22" s="14"/>
      <c r="BE22" s="14"/>
      <c r="BF22" s="14"/>
      <c r="BG22" s="14">
        <v>1</v>
      </c>
      <c r="BH22" s="14"/>
      <c r="BI22" s="14"/>
      <c r="BJ22" s="14"/>
      <c r="BK22" s="14">
        <v>1</v>
      </c>
      <c r="BL22" s="14"/>
      <c r="BM22" s="14"/>
      <c r="BN22" s="14">
        <v>1</v>
      </c>
      <c r="BO22" s="14"/>
      <c r="BP22" s="14"/>
      <c r="BQ22" s="14">
        <v>1</v>
      </c>
      <c r="BR22" s="14">
        <v>1</v>
      </c>
      <c r="BS22" s="14"/>
      <c r="BT22" s="14"/>
      <c r="BU22" s="14">
        <v>1</v>
      </c>
      <c r="BV22" s="14"/>
      <c r="BW22" s="14"/>
      <c r="BX22" s="14"/>
      <c r="BY22" s="14">
        <v>1</v>
      </c>
      <c r="BZ22" s="14"/>
      <c r="CA22" s="3"/>
      <c r="CB22" s="3"/>
      <c r="CC22" s="3">
        <v>1</v>
      </c>
      <c r="CD22" s="3"/>
      <c r="CE22" s="17">
        <v>1</v>
      </c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 x14ac:dyDescent="0.2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3">
        <v>1</v>
      </c>
      <c r="Z23" s="6"/>
      <c r="AA23" s="6"/>
      <c r="AB23" s="14"/>
      <c r="AC23" s="14"/>
      <c r="AD23" s="14"/>
      <c r="AE23" s="6">
        <v>1</v>
      </c>
      <c r="AF23" s="6"/>
      <c r="AG23" s="6"/>
      <c r="AH23" s="14"/>
      <c r="AI23" s="14">
        <v>1</v>
      </c>
      <c r="AJ23" s="14"/>
      <c r="AK23" s="14"/>
      <c r="AL23" s="6"/>
      <c r="AM23" s="14">
        <v>1</v>
      </c>
      <c r="AN23" s="6">
        <v>1</v>
      </c>
      <c r="AO23" s="6">
        <v>1</v>
      </c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>
        <v>1</v>
      </c>
      <c r="BC23" s="6"/>
      <c r="BD23" s="14"/>
      <c r="BE23" s="14"/>
      <c r="BF23" s="14"/>
      <c r="BG23" s="14">
        <v>1</v>
      </c>
      <c r="BH23" s="6"/>
      <c r="BI23" s="6"/>
      <c r="BJ23" s="6"/>
      <c r="BK23" s="14">
        <v>1</v>
      </c>
      <c r="BL23" s="14"/>
      <c r="BM23" s="14"/>
      <c r="BN23" s="6"/>
      <c r="BO23" s="14">
        <v>1</v>
      </c>
      <c r="BP23" s="6">
        <v>1</v>
      </c>
      <c r="BQ23" s="6"/>
      <c r="BR23" s="14">
        <v>1</v>
      </c>
      <c r="BS23" s="14"/>
      <c r="BT23" s="14"/>
      <c r="BU23" s="6"/>
      <c r="BV23" s="14">
        <v>1</v>
      </c>
      <c r="BW23" s="14">
        <v>1</v>
      </c>
      <c r="BX23" s="14">
        <v>1</v>
      </c>
      <c r="BY23" s="6"/>
      <c r="BZ23" s="14"/>
      <c r="CA23" s="3"/>
      <c r="CB23" s="3">
        <v>1</v>
      </c>
      <c r="CC23" s="3"/>
      <c r="CD23" s="3"/>
      <c r="CE23" s="17"/>
      <c r="CF23" s="17">
        <v>1</v>
      </c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 x14ac:dyDescent="0.2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/>
      <c r="AB24" s="6"/>
      <c r="AC24" s="14"/>
      <c r="AD24" s="14"/>
      <c r="AE24" s="14"/>
      <c r="AF24" s="14"/>
      <c r="AG24" s="6"/>
      <c r="AH24" s="14"/>
      <c r="AI24" s="14"/>
      <c r="AJ24" s="14"/>
      <c r="AK24" s="14"/>
      <c r="AL24" s="6"/>
      <c r="AM24" s="6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 x14ac:dyDescent="0.2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/>
      <c r="Y25" s="14">
        <v>1</v>
      </c>
      <c r="Z25" s="6"/>
      <c r="AA25" s="6"/>
      <c r="AB25" s="6"/>
      <c r="AC25" s="14"/>
      <c r="AD25" s="14"/>
      <c r="AE25" s="14"/>
      <c r="AF25" s="14"/>
      <c r="AG25" s="6"/>
      <c r="AH25" s="14"/>
      <c r="AI25" s="14"/>
      <c r="AJ25" s="14"/>
      <c r="AK25" s="14"/>
      <c r="AL25" s="6"/>
      <c r="AM25" s="14"/>
      <c r="AN25" s="14"/>
      <c r="AO25" s="14"/>
      <c r="AP25" s="6"/>
      <c r="AQ25" s="14"/>
      <c r="AR25" s="3"/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 x14ac:dyDescent="0.2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/>
      <c r="Y26" s="14">
        <v>1</v>
      </c>
      <c r="Z26" s="14"/>
      <c r="AA26" s="14"/>
      <c r="AB26" s="6"/>
      <c r="AC26" s="14"/>
      <c r="AD26" s="14"/>
      <c r="AE26" s="14"/>
      <c r="AF26" s="14"/>
      <c r="AG26" s="6"/>
      <c r="AH26" s="14"/>
      <c r="AI26" s="14"/>
      <c r="AJ26" s="14"/>
      <c r="AK26" s="14"/>
      <c r="AL26" s="6"/>
      <c r="AM26" s="14"/>
      <c r="AN26" s="14"/>
      <c r="AO26" s="14"/>
      <c r="AP26" s="6"/>
      <c r="AQ26" s="14"/>
      <c r="AR26" s="3"/>
      <c r="AS26" s="3"/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 x14ac:dyDescent="0.2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/>
      <c r="Y27" s="14">
        <v>1</v>
      </c>
      <c r="Z27" s="14"/>
      <c r="AA27" s="6"/>
      <c r="AB27" s="6"/>
      <c r="AC27" s="14"/>
      <c r="AD27" s="14"/>
      <c r="AE27" s="14"/>
      <c r="AF27" s="14"/>
      <c r="AG27" s="6"/>
      <c r="AH27" s="14"/>
      <c r="AI27" s="14"/>
      <c r="AJ27" s="14"/>
      <c r="AK27" s="14"/>
      <c r="AL27" s="6"/>
      <c r="AM27" s="14"/>
      <c r="AN27" s="14"/>
      <c r="AO27" s="14"/>
      <c r="AP27" s="6"/>
      <c r="AQ27" s="14"/>
      <c r="AR27" s="3"/>
      <c r="AS27" s="3"/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 x14ac:dyDescent="0.2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/>
      <c r="Y28" s="14">
        <v>1</v>
      </c>
      <c r="Z28" s="14">
        <v>1</v>
      </c>
      <c r="AA28" s="14">
        <v>1</v>
      </c>
      <c r="AB28" s="14">
        <v>1</v>
      </c>
      <c r="AC28" s="14">
        <v>1</v>
      </c>
      <c r="AD28" s="14">
        <v>1</v>
      </c>
      <c r="AE28" s="14">
        <v>1</v>
      </c>
      <c r="AF28" s="14">
        <v>1</v>
      </c>
      <c r="AG28" s="14">
        <v>1</v>
      </c>
      <c r="AH28" s="14">
        <v>1</v>
      </c>
      <c r="AI28" s="14">
        <v>1</v>
      </c>
      <c r="AJ28" s="14">
        <v>1</v>
      </c>
      <c r="AK28" s="14">
        <v>1</v>
      </c>
      <c r="AL28" s="14">
        <v>1</v>
      </c>
      <c r="AM28" s="14">
        <v>1</v>
      </c>
      <c r="AN28" s="14">
        <v>1</v>
      </c>
      <c r="AO28" s="14">
        <v>1</v>
      </c>
      <c r="AP28" s="14">
        <v>1</v>
      </c>
      <c r="AQ28" s="14">
        <v>1</v>
      </c>
      <c r="AR28" s="14">
        <v>1</v>
      </c>
      <c r="AS28" s="14">
        <v>1</v>
      </c>
      <c r="AT28" s="14">
        <v>1</v>
      </c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 x14ac:dyDescent="0.2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3"/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 x14ac:dyDescent="0.2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3"/>
      <c r="AS30" s="3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 x14ac:dyDescent="0.2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3">
        <v>1</v>
      </c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 x14ac:dyDescent="0.2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3">
        <v>1</v>
      </c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 x14ac:dyDescent="0.2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/>
      <c r="Y33" s="3">
        <v>1</v>
      </c>
      <c r="Z33" s="14"/>
      <c r="AA33" s="14"/>
      <c r="AB33" s="14"/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 x14ac:dyDescent="0.2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/>
      <c r="Y34" s="3">
        <v>1</v>
      </c>
      <c r="Z34" s="6"/>
      <c r="AA34" s="14"/>
      <c r="AB34" s="14"/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 x14ac:dyDescent="0.2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/>
      <c r="Y35" s="3">
        <v>1</v>
      </c>
      <c r="Z35" s="14"/>
      <c r="AA35" s="6"/>
      <c r="AB35" s="14"/>
      <c r="AC35" s="14"/>
      <c r="AD35" s="14"/>
      <c r="AE35" s="6"/>
      <c r="AF35" s="6"/>
      <c r="AG35" s="6"/>
      <c r="AH35" s="6"/>
      <c r="AI35" s="6"/>
      <c r="AJ35" s="14"/>
      <c r="AK35" s="14"/>
      <c r="AL35" s="14"/>
      <c r="AM35" s="6"/>
      <c r="AN35" s="14"/>
      <c r="AO35" s="14"/>
      <c r="AP35" s="14"/>
      <c r="AQ35" s="14"/>
      <c r="AR35" s="14"/>
      <c r="AS35" s="6"/>
      <c r="AT35" s="14"/>
      <c r="AU35" s="14"/>
      <c r="AV35" s="14"/>
      <c r="AW35" s="6"/>
      <c r="AX35" s="14"/>
      <c r="AY35" s="14"/>
      <c r="AZ35" s="6"/>
      <c r="BA35" s="14"/>
      <c r="BB35" s="14"/>
      <c r="BC35" s="14"/>
      <c r="BD35" s="6"/>
      <c r="BE35" s="14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 x14ac:dyDescent="0.2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/>
      <c r="Y36" s="3">
        <v>1</v>
      </c>
      <c r="Z36" s="14"/>
      <c r="AA36" s="14"/>
      <c r="AB36" s="6"/>
      <c r="AC36" s="14"/>
      <c r="AD36" s="14"/>
      <c r="AE36" s="6"/>
      <c r="AF36" s="14"/>
      <c r="AG36" s="14"/>
      <c r="AH36" s="14"/>
      <c r="AI36" s="14"/>
      <c r="AJ36" s="14"/>
      <c r="AK36" s="14"/>
      <c r="AL36" s="14"/>
      <c r="AM36" s="6"/>
      <c r="AN36" s="14"/>
      <c r="AO36" s="14"/>
      <c r="AP36" s="14"/>
      <c r="AQ36" s="14"/>
      <c r="AR36" s="14"/>
      <c r="AS36" s="6"/>
      <c r="AT36" s="14"/>
      <c r="AU36" s="14"/>
      <c r="AV36" s="14"/>
      <c r="AW36" s="6"/>
      <c r="AX36" s="14"/>
      <c r="AY36" s="14"/>
      <c r="AZ36" s="6"/>
      <c r="BA36" s="14"/>
      <c r="BB36" s="14"/>
      <c r="BC36" s="14"/>
      <c r="BD36" s="6"/>
      <c r="BE36" s="14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 x14ac:dyDescent="0.2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/>
      <c r="Y37" s="3">
        <v>1</v>
      </c>
      <c r="Z37" s="14"/>
      <c r="AA37" s="14"/>
      <c r="AB37" s="6"/>
      <c r="AC37" s="14"/>
      <c r="AD37" s="14"/>
      <c r="AE37" s="6"/>
      <c r="AF37" s="14"/>
      <c r="AG37" s="14"/>
      <c r="AH37" s="14"/>
      <c r="AI37" s="6"/>
      <c r="AJ37" s="14"/>
      <c r="AK37" s="14"/>
      <c r="AL37" s="14"/>
      <c r="AM37" s="6"/>
      <c r="AN37" s="14"/>
      <c r="AO37" s="14"/>
      <c r="AP37" s="14"/>
      <c r="AQ37" s="14"/>
      <c r="AR37" s="14"/>
      <c r="AS37" s="6"/>
      <c r="AT37" s="14"/>
      <c r="AU37" s="14"/>
      <c r="AV37" s="6"/>
      <c r="AW37" s="6"/>
      <c r="AX37" s="14"/>
      <c r="AY37" s="14"/>
      <c r="AZ37" s="6"/>
      <c r="BA37" s="6"/>
      <c r="BB37" s="14"/>
      <c r="BC37" s="14"/>
      <c r="BD37" s="6"/>
      <c r="BE37" s="14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 x14ac:dyDescent="0.2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/>
      <c r="Y38" s="14">
        <v>1</v>
      </c>
      <c r="Z38" s="6"/>
      <c r="AA38" s="6"/>
      <c r="AB38" s="14"/>
      <c r="AC38" s="14"/>
      <c r="AD38" s="14"/>
      <c r="AE38" s="14"/>
      <c r="AF38" s="6"/>
      <c r="AG38" s="6"/>
      <c r="AH38" s="6"/>
      <c r="AI38" s="14"/>
      <c r="AJ38" s="14"/>
      <c r="AK38" s="14"/>
      <c r="AL38" s="14"/>
      <c r="AM38" s="14"/>
      <c r="AN38" s="6"/>
      <c r="AO38" s="6"/>
      <c r="AP38" s="14"/>
      <c r="AQ38" s="14"/>
      <c r="AR38" s="14"/>
      <c r="AS38" s="14"/>
      <c r="AT38" s="6"/>
      <c r="AU38" s="6"/>
      <c r="AV38" s="14"/>
      <c r="AW38" s="6"/>
      <c r="AX38" s="14"/>
      <c r="AY38" s="14"/>
      <c r="AZ38" s="6"/>
      <c r="BA38" s="14"/>
      <c r="BB38" s="6"/>
      <c r="BC38" s="6"/>
      <c r="BD38" s="14"/>
      <c r="BE38" s="14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 x14ac:dyDescent="0.2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/>
      <c r="Y39" s="14">
        <v>1</v>
      </c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6"/>
      <c r="BA39" s="14"/>
      <c r="BB39" s="14"/>
      <c r="BC39" s="14"/>
      <c r="BD39" s="14"/>
      <c r="BE39" s="14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 x14ac:dyDescent="0.2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/>
      <c r="Y40" s="3">
        <v>1</v>
      </c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6"/>
      <c r="BA40" s="14"/>
      <c r="BB40" s="14"/>
      <c r="BC40" s="14"/>
      <c r="BD40" s="14"/>
      <c r="BE40" s="14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 x14ac:dyDescent="0.2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14">
        <v>1</v>
      </c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 x14ac:dyDescent="0.2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>
        <v>1</v>
      </c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 x14ac:dyDescent="0.2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/>
      <c r="AA43" s="14"/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/>
      <c r="AN43" s="6"/>
      <c r="AO43" s="6"/>
      <c r="AP43" s="14"/>
      <c r="AQ43" s="14"/>
      <c r="AR43" s="14"/>
      <c r="AS43" s="6"/>
      <c r="AT43" s="6"/>
      <c r="AU43" s="6"/>
      <c r="AV43" s="6"/>
      <c r="AW43" s="14"/>
      <c r="AX43" s="14"/>
      <c r="AY43" s="14"/>
      <c r="AZ43" s="6"/>
      <c r="BA43" s="6"/>
      <c r="BB43" s="6"/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 x14ac:dyDescent="0.2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/>
      <c r="Y44" s="14">
        <v>1</v>
      </c>
      <c r="Z44" s="6"/>
      <c r="AA44" s="14"/>
      <c r="AB44" s="14"/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/>
      <c r="AN44" s="14"/>
      <c r="AO44" s="14"/>
      <c r="AP44" s="14"/>
      <c r="AQ44" s="14"/>
      <c r="AR44" s="14"/>
      <c r="AS44" s="14"/>
      <c r="AT44" s="6"/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 x14ac:dyDescent="0.2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/>
      <c r="Y45" s="14">
        <v>1</v>
      </c>
      <c r="Z45" s="14"/>
      <c r="AA45" s="6"/>
      <c r="AB45" s="14"/>
      <c r="AC45" s="14"/>
      <c r="AD45" s="14"/>
      <c r="AE45" s="6"/>
      <c r="AF45" s="6"/>
      <c r="AG45" s="6"/>
      <c r="AH45" s="6"/>
      <c r="AI45" s="6"/>
      <c r="AJ45" s="14"/>
      <c r="AK45" s="14"/>
      <c r="AL45" s="14"/>
      <c r="AM45" s="6"/>
      <c r="AN45" s="14"/>
      <c r="AO45" s="14"/>
      <c r="AP45" s="14"/>
      <c r="AQ45" s="14"/>
      <c r="AR45" s="14"/>
      <c r="AS45" s="14"/>
      <c r="AT45" s="6"/>
      <c r="AU45" s="14"/>
      <c r="AV45" s="14"/>
      <c r="AW45" s="14"/>
      <c r="AX45" s="14"/>
      <c r="AY45" s="14"/>
      <c r="AZ45" s="14"/>
      <c r="BA45" s="14"/>
      <c r="BB45" s="6"/>
      <c r="BC45" s="14"/>
      <c r="BD45" s="14"/>
      <c r="BE45" s="14"/>
      <c r="BF45" s="14"/>
      <c r="BG45" s="6"/>
      <c r="BH45" s="14"/>
      <c r="BI45" s="14"/>
      <c r="BJ45" s="14"/>
      <c r="BK45" s="6"/>
      <c r="BL45" s="14"/>
      <c r="BM45" s="14"/>
      <c r="BN45" s="6"/>
      <c r="BO45" s="14"/>
      <c r="BP45" s="14"/>
      <c r="BQ45" s="14"/>
      <c r="BR45" s="6"/>
      <c r="BS45" s="14"/>
      <c r="BT45" s="14"/>
      <c r="BU45" s="14"/>
      <c r="BV45" s="6"/>
      <c r="BW45" s="6"/>
      <c r="BX45" s="14"/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 x14ac:dyDescent="0.2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/>
      <c r="Z46" s="14"/>
      <c r="AA46" s="14"/>
      <c r="AB46" s="6"/>
      <c r="AC46" s="14"/>
      <c r="AD46" s="14"/>
      <c r="AE46" s="6"/>
      <c r="AF46" s="14"/>
      <c r="AG46" s="14"/>
      <c r="AH46" s="14"/>
      <c r="AI46" s="14"/>
      <c r="AJ46" s="14"/>
      <c r="AK46" s="14"/>
      <c r="AL46" s="14"/>
      <c r="AM46" s="6"/>
      <c r="AN46" s="14"/>
      <c r="AO46" s="14"/>
      <c r="AP46" s="14"/>
      <c r="AQ46" s="14"/>
      <c r="AR46" s="14"/>
      <c r="AS46" s="14"/>
      <c r="AT46" s="6"/>
      <c r="AU46" s="14"/>
      <c r="AV46" s="14"/>
      <c r="AW46" s="14"/>
      <c r="AX46" s="14"/>
      <c r="AY46" s="14"/>
      <c r="AZ46" s="14"/>
      <c r="BA46" s="14"/>
      <c r="BB46" s="6"/>
      <c r="BC46" s="14"/>
      <c r="BD46" s="14"/>
      <c r="BE46" s="14"/>
      <c r="BF46" s="14"/>
      <c r="BG46" s="6"/>
      <c r="BH46" s="14"/>
      <c r="BI46" s="14"/>
      <c r="BJ46" s="14"/>
      <c r="BK46" s="6"/>
      <c r="BL46" s="14"/>
      <c r="BM46" s="14"/>
      <c r="BN46" s="6"/>
      <c r="BO46" s="14"/>
      <c r="BP46" s="14"/>
      <c r="BQ46" s="14"/>
      <c r="BR46" s="6"/>
      <c r="BS46" s="14"/>
      <c r="BT46" s="14"/>
      <c r="BU46" s="14"/>
      <c r="BV46" s="14"/>
      <c r="BW46" s="14"/>
      <c r="BX46" s="6"/>
      <c r="BY46" s="14"/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 x14ac:dyDescent="0.2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/>
      <c r="AB47" s="6"/>
      <c r="AC47" s="14"/>
      <c r="AD47" s="14"/>
      <c r="AE47" s="6"/>
      <c r="AF47" s="14"/>
      <c r="AG47" s="14"/>
      <c r="AH47" s="14"/>
      <c r="AI47" s="6"/>
      <c r="AJ47" s="14"/>
      <c r="AK47" s="14"/>
      <c r="AL47" s="14"/>
      <c r="AM47" s="6"/>
      <c r="AN47" s="14"/>
      <c r="AO47" s="14"/>
      <c r="AP47" s="14"/>
      <c r="AQ47" s="14"/>
      <c r="AR47" s="14"/>
      <c r="AS47" s="14"/>
      <c r="AT47" s="6"/>
      <c r="AU47" s="14"/>
      <c r="AV47" s="14"/>
      <c r="AW47" s="14"/>
      <c r="AX47" s="14"/>
      <c r="AY47" s="14"/>
      <c r="AZ47" s="14"/>
      <c r="BA47" s="14"/>
      <c r="BB47" s="6"/>
      <c r="BC47" s="14"/>
      <c r="BD47" s="14"/>
      <c r="BE47" s="14"/>
      <c r="BF47" s="14"/>
      <c r="BG47" s="6"/>
      <c r="BH47" s="14"/>
      <c r="BI47" s="14"/>
      <c r="BJ47" s="14"/>
      <c r="BK47" s="6"/>
      <c r="BL47" s="14"/>
      <c r="BM47" s="14"/>
      <c r="BN47" s="6"/>
      <c r="BO47" s="14"/>
      <c r="BP47" s="14"/>
      <c r="BQ47" s="6"/>
      <c r="BR47" s="6"/>
      <c r="BS47" s="14"/>
      <c r="BT47" s="14"/>
      <c r="BU47" s="6"/>
      <c r="BV47" s="14"/>
      <c r="BW47" s="14"/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 x14ac:dyDescent="0.2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3">
        <v>1</v>
      </c>
      <c r="Z48" s="6"/>
      <c r="AA48" s="6"/>
      <c r="AB48" s="14"/>
      <c r="AC48" s="14"/>
      <c r="AD48" s="14"/>
      <c r="AE48" s="14"/>
      <c r="AF48" s="6"/>
      <c r="AG48" s="6"/>
      <c r="AH48" s="6"/>
      <c r="AI48" s="14"/>
      <c r="AJ48" s="14"/>
      <c r="AK48" s="14"/>
      <c r="AL48" s="14"/>
      <c r="AM48" s="14"/>
      <c r="AN48" s="6"/>
      <c r="AO48" s="6"/>
      <c r="AP48" s="14"/>
      <c r="AQ48" s="14"/>
      <c r="AR48" s="14"/>
      <c r="AS48" s="14"/>
      <c r="AT48" s="14"/>
      <c r="AU48" s="6"/>
      <c r="AV48" s="6"/>
      <c r="AW48" s="14"/>
      <c r="AX48" s="14"/>
      <c r="AY48" s="14"/>
      <c r="AZ48" s="14"/>
      <c r="BA48" s="14"/>
      <c r="BB48" s="6"/>
      <c r="BC48" s="14"/>
      <c r="BD48" s="14"/>
      <c r="BE48" s="14"/>
      <c r="BF48" s="14"/>
      <c r="BG48" s="6"/>
      <c r="BH48" s="14"/>
      <c r="BI48" s="14"/>
      <c r="BJ48" s="14"/>
      <c r="BK48" s="6"/>
      <c r="BL48" s="14"/>
      <c r="BM48" s="14"/>
      <c r="BN48" s="14"/>
      <c r="BO48" s="6"/>
      <c r="BP48" s="6"/>
      <c r="BQ48" s="14"/>
      <c r="BR48" s="6"/>
      <c r="BS48" s="14"/>
      <c r="BT48" s="14"/>
      <c r="BU48" s="14"/>
      <c r="BV48" s="6"/>
      <c r="BW48" s="6"/>
      <c r="BX48" s="6"/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 x14ac:dyDescent="0.2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/>
      <c r="Y49" s="3">
        <v>1</v>
      </c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6"/>
      <c r="BS49" s="14"/>
      <c r="BT49" s="14"/>
      <c r="BU49" s="14"/>
      <c r="BV49" s="14"/>
      <c r="BW49" s="14"/>
      <c r="BX49" s="14"/>
      <c r="BY49" s="14"/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 x14ac:dyDescent="0.2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3">
        <v>1</v>
      </c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6"/>
      <c r="BO50" s="6"/>
      <c r="BP50" s="6"/>
      <c r="BQ50" s="6"/>
      <c r="BR50" s="14"/>
      <c r="BS50" s="14"/>
      <c r="BT50" s="14"/>
      <c r="BU50" s="14"/>
      <c r="BV50" s="14"/>
      <c r="BW50" s="14"/>
      <c r="BX50" s="14"/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 x14ac:dyDescent="0.2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3">
        <v>1</v>
      </c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 x14ac:dyDescent="0.2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3">
        <v>1</v>
      </c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 x14ac:dyDescent="0.2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/>
      <c r="Y53" s="3">
        <v>1</v>
      </c>
      <c r="Z53" s="14"/>
      <c r="AA53" s="6"/>
      <c r="AB53" s="6"/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/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/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 x14ac:dyDescent="0.2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/>
      <c r="Y54" s="3">
        <v>1</v>
      </c>
      <c r="Z54" s="6"/>
      <c r="AA54" s="14"/>
      <c r="AB54" s="6"/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/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 x14ac:dyDescent="0.2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/>
      <c r="Y55" s="14">
        <v>1</v>
      </c>
      <c r="Z55" s="14"/>
      <c r="AA55" s="14"/>
      <c r="AB55" s="6"/>
      <c r="AC55" s="14"/>
      <c r="AD55" s="14"/>
      <c r="AE55" s="14"/>
      <c r="AF55" s="6"/>
      <c r="AG55" s="6"/>
      <c r="AH55" s="6"/>
      <c r="AI55" s="6"/>
      <c r="AJ55" s="14"/>
      <c r="AK55" s="14"/>
      <c r="AL55" s="14"/>
      <c r="AM55" s="14"/>
      <c r="AN55" s="6"/>
      <c r="AO55" s="14"/>
      <c r="AP55" s="14"/>
      <c r="AQ55" s="14"/>
      <c r="AR55" s="14"/>
      <c r="AS55" s="6"/>
      <c r="AT55" s="14"/>
      <c r="AU55" s="14"/>
      <c r="AV55" s="14"/>
      <c r="AW55" s="6"/>
      <c r="AX55" s="14"/>
      <c r="AY55" s="14"/>
      <c r="AZ55" s="14"/>
      <c r="BA55" s="6"/>
      <c r="BB55" s="14"/>
      <c r="BC55" s="14"/>
      <c r="BD55" s="14"/>
      <c r="BE55" s="14"/>
      <c r="BF55" s="14"/>
      <c r="BG55" s="6"/>
      <c r="BH55" s="6"/>
      <c r="BI55" s="6"/>
      <c r="BJ55" s="6"/>
      <c r="BK55" s="6"/>
      <c r="BL55" s="14"/>
      <c r="BM55" s="14"/>
      <c r="BN55" s="6"/>
      <c r="BO55" s="14"/>
      <c r="BP55" s="14"/>
      <c r="BQ55" s="14"/>
      <c r="BR55" s="6"/>
      <c r="BS55" s="14"/>
      <c r="BT55" s="14"/>
      <c r="BU55" s="14"/>
      <c r="BV55" s="6"/>
      <c r="BW55" s="6"/>
      <c r="BX55" s="6"/>
      <c r="BY55" s="6"/>
      <c r="BZ55" s="14"/>
      <c r="CA55" s="14"/>
      <c r="CB55" s="6"/>
      <c r="CC55" s="14"/>
      <c r="CD55" s="14"/>
      <c r="CE55" s="16"/>
      <c r="CF55" s="15"/>
      <c r="CG55" s="16"/>
      <c r="CH55" s="16"/>
      <c r="CI55" s="15"/>
      <c r="CJ55" s="16"/>
      <c r="CK55" s="16"/>
      <c r="CL55" s="16"/>
      <c r="CM55" s="16"/>
      <c r="CN55" s="16"/>
      <c r="CO55" s="16"/>
      <c r="CP55" s="15"/>
      <c r="CQ55" s="15"/>
      <c r="CR55" s="15"/>
      <c r="CS55" s="15"/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 x14ac:dyDescent="0.2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/>
      <c r="Y56" s="14">
        <v>1</v>
      </c>
      <c r="Z56" s="14"/>
      <c r="AA56" s="14"/>
      <c r="AB56" s="6"/>
      <c r="AC56" s="14"/>
      <c r="AD56" s="14"/>
      <c r="AE56" s="6"/>
      <c r="AF56" s="14"/>
      <c r="AG56" s="14"/>
      <c r="AH56" s="14"/>
      <c r="AI56" s="6"/>
      <c r="AJ56" s="14"/>
      <c r="AK56" s="14"/>
      <c r="AL56" s="14"/>
      <c r="AM56" s="14"/>
      <c r="AN56" s="6"/>
      <c r="AO56" s="14"/>
      <c r="AP56" s="14"/>
      <c r="AQ56" s="14"/>
      <c r="AR56" s="14"/>
      <c r="AS56" s="6"/>
      <c r="AT56" s="14"/>
      <c r="AU56" s="14"/>
      <c r="AV56" s="14"/>
      <c r="AW56" s="6"/>
      <c r="AX56" s="14"/>
      <c r="AY56" s="14"/>
      <c r="AZ56" s="14"/>
      <c r="BA56" s="6"/>
      <c r="BB56" s="14"/>
      <c r="BC56" s="14"/>
      <c r="BD56" s="14"/>
      <c r="BE56" s="14"/>
      <c r="BF56" s="14"/>
      <c r="BG56" s="6"/>
      <c r="BH56" s="14"/>
      <c r="BI56" s="14"/>
      <c r="BJ56" s="14"/>
      <c r="BK56" s="14"/>
      <c r="BL56" s="14"/>
      <c r="BM56" s="14"/>
      <c r="BN56" s="6"/>
      <c r="BO56" s="14"/>
      <c r="BP56" s="14"/>
      <c r="BQ56" s="14"/>
      <c r="BR56" s="6"/>
      <c r="BS56" s="14"/>
      <c r="BT56" s="14"/>
      <c r="BU56" s="6"/>
      <c r="BV56" s="14"/>
      <c r="BW56" s="14"/>
      <c r="BX56" s="14"/>
      <c r="BY56" s="6"/>
      <c r="BZ56" s="14"/>
      <c r="CA56" s="14"/>
      <c r="CB56" s="6"/>
      <c r="CC56" s="14"/>
      <c r="CD56" s="14"/>
      <c r="CE56" s="16"/>
      <c r="CF56" s="15"/>
      <c r="CG56" s="16"/>
      <c r="CH56" s="16"/>
      <c r="CI56" s="15"/>
      <c r="CJ56" s="16"/>
      <c r="CK56" s="16"/>
      <c r="CL56" s="16"/>
      <c r="CM56" s="16"/>
      <c r="CN56" s="16"/>
      <c r="CO56" s="16"/>
      <c r="CP56" s="15"/>
      <c r="CQ56" s="16"/>
      <c r="CR56" s="16"/>
      <c r="CS56" s="16"/>
      <c r="CT56" s="14"/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 x14ac:dyDescent="0.2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/>
      <c r="Y57" s="3">
        <v>1</v>
      </c>
      <c r="Z57" s="14"/>
      <c r="AA57" s="14"/>
      <c r="AB57" s="6"/>
      <c r="AC57" s="14"/>
      <c r="AD57" s="14"/>
      <c r="AE57" s="6"/>
      <c r="AF57" s="14"/>
      <c r="AG57" s="14"/>
      <c r="AH57" s="6"/>
      <c r="AI57" s="6"/>
      <c r="AJ57" s="14"/>
      <c r="AK57" s="14"/>
      <c r="AL57" s="14"/>
      <c r="AM57" s="14"/>
      <c r="AN57" s="6"/>
      <c r="AO57" s="14"/>
      <c r="AP57" s="14"/>
      <c r="AQ57" s="14"/>
      <c r="AR57" s="14"/>
      <c r="AS57" s="6"/>
      <c r="AT57" s="14"/>
      <c r="AU57" s="14"/>
      <c r="AV57" s="14"/>
      <c r="AW57" s="6"/>
      <c r="AX57" s="14"/>
      <c r="AY57" s="14"/>
      <c r="AZ57" s="14"/>
      <c r="BA57" s="6"/>
      <c r="BB57" s="14"/>
      <c r="BC57" s="14"/>
      <c r="BD57" s="14"/>
      <c r="BE57" s="14"/>
      <c r="BF57" s="14"/>
      <c r="BG57" s="6"/>
      <c r="BH57" s="14"/>
      <c r="BI57" s="14"/>
      <c r="BJ57" s="14"/>
      <c r="BK57" s="6"/>
      <c r="BL57" s="14"/>
      <c r="BM57" s="14"/>
      <c r="BN57" s="6"/>
      <c r="BO57" s="14"/>
      <c r="BP57" s="14"/>
      <c r="BQ57" s="14"/>
      <c r="BR57" s="6"/>
      <c r="BS57" s="14"/>
      <c r="BT57" s="14"/>
      <c r="BU57" s="6"/>
      <c r="BV57" s="14"/>
      <c r="BW57" s="14"/>
      <c r="BX57" s="6"/>
      <c r="BY57" s="6"/>
      <c r="BZ57" s="14"/>
      <c r="CA57" s="14"/>
      <c r="CB57" s="6"/>
      <c r="CC57" s="14"/>
      <c r="CD57" s="14"/>
      <c r="CE57" s="16"/>
      <c r="CF57" s="15"/>
      <c r="CG57" s="16"/>
      <c r="CH57" s="16"/>
      <c r="CI57" s="15"/>
      <c r="CJ57" s="16"/>
      <c r="CK57" s="16"/>
      <c r="CL57" s="16"/>
      <c r="CM57" s="15"/>
      <c r="CN57" s="16"/>
      <c r="CO57" s="16"/>
      <c r="CP57" s="15"/>
      <c r="CQ57" s="16"/>
      <c r="CR57" s="16"/>
      <c r="CS57" s="16"/>
      <c r="CT57" s="6"/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 x14ac:dyDescent="0.2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/>
      <c r="Y58" s="14">
        <v>1</v>
      </c>
      <c r="Z58" s="14"/>
      <c r="AA58" s="14"/>
      <c r="AB58" s="6"/>
      <c r="AC58" s="14"/>
      <c r="AD58" s="14"/>
      <c r="AE58" s="14"/>
      <c r="AF58" s="6"/>
      <c r="AG58" s="6"/>
      <c r="AH58" s="14"/>
      <c r="AI58" s="6"/>
      <c r="AJ58" s="14"/>
      <c r="AK58" s="14"/>
      <c r="AL58" s="14"/>
      <c r="AM58" s="14"/>
      <c r="AN58" s="6"/>
      <c r="AO58" s="14"/>
      <c r="AP58" s="14"/>
      <c r="AQ58" s="14"/>
      <c r="AR58" s="14"/>
      <c r="AS58" s="6"/>
      <c r="AT58" s="14"/>
      <c r="AU58" s="14"/>
      <c r="AV58" s="14"/>
      <c r="AW58" s="6"/>
      <c r="AX58" s="14"/>
      <c r="AY58" s="14"/>
      <c r="AZ58" s="14"/>
      <c r="BA58" s="14"/>
      <c r="BB58" s="6"/>
      <c r="BC58" s="6"/>
      <c r="BD58" s="14"/>
      <c r="BE58" s="14"/>
      <c r="BF58" s="14"/>
      <c r="BG58" s="14"/>
      <c r="BH58" s="6"/>
      <c r="BI58" s="6"/>
      <c r="BJ58" s="6"/>
      <c r="BK58" s="14"/>
      <c r="BL58" s="14"/>
      <c r="BM58" s="14"/>
      <c r="BN58" s="6"/>
      <c r="BO58" s="14"/>
      <c r="BP58" s="14"/>
      <c r="BQ58" s="14"/>
      <c r="BR58" s="6"/>
      <c r="BS58" s="14"/>
      <c r="BT58" s="14"/>
      <c r="BU58" s="14"/>
      <c r="BV58" s="6"/>
      <c r="BW58" s="6"/>
      <c r="BX58" s="14"/>
      <c r="BY58" s="6"/>
      <c r="BZ58" s="14"/>
      <c r="CA58" s="14"/>
      <c r="CB58" s="6"/>
      <c r="CC58" s="14"/>
      <c r="CD58" s="14"/>
      <c r="CE58" s="16"/>
      <c r="CF58" s="15"/>
      <c r="CG58" s="16"/>
      <c r="CH58" s="16"/>
      <c r="CI58" s="16"/>
      <c r="CJ58" s="15"/>
      <c r="CK58" s="15"/>
      <c r="CL58" s="15"/>
      <c r="CM58" s="16"/>
      <c r="CN58" s="16"/>
      <c r="CO58" s="16"/>
      <c r="CP58" s="16"/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 x14ac:dyDescent="0.2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/>
      <c r="Y59" s="14">
        <v>1</v>
      </c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4"/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 x14ac:dyDescent="0.2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/>
      <c r="Y60" s="14">
        <v>1</v>
      </c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 x14ac:dyDescent="0.2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14">
        <v>1</v>
      </c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 x14ac:dyDescent="0.2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14">
        <v>1</v>
      </c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 x14ac:dyDescent="0.2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 x14ac:dyDescent="0.2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 x14ac:dyDescent="0.2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</sheetData>
  <conditionalFormatting sqref="B2:EO11">
    <cfRule type="expression" dxfId="7" priority="1">
      <formula>B2=""</formula>
    </cfRule>
    <cfRule type="expression" dxfId="6" priority="2">
      <formula>B2=1</formula>
    </cfRule>
  </conditionalFormatting>
  <conditionalFormatting sqref="B12:EO65">
    <cfRule type="expression" dxfId="5" priority="3">
      <formula>AND(B12&lt;&gt;1,B12&lt;&gt;"")</formula>
    </cfRule>
    <cfRule type="expression" dxfId="4" priority="4">
      <formula>B12=""</formula>
    </cfRule>
    <cfRule type="expression" dxfId="3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F59B2-4C96-4A67-A3FB-8EC613CFA846}">
  <sheetPr codeName="Sheet10"/>
  <dimension ref="A1:R8"/>
  <sheetViews>
    <sheetView zoomScale="190" zoomScaleNormal="190" workbookViewId="0">
      <selection activeCell="C2" sqref="C2"/>
    </sheetView>
  </sheetViews>
  <sheetFormatPr defaultRowHeight="12.75" x14ac:dyDescent="0.2"/>
  <cols>
    <col min="1" max="18" width="2.125" customWidth="1"/>
  </cols>
  <sheetData>
    <row r="1" spans="1:18" ht="13.5" x14ac:dyDescent="0.2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</row>
    <row r="2" spans="1:18" ht="13.5" x14ac:dyDescent="0.2">
      <c r="A2" s="20"/>
      <c r="B2" s="20" t="s">
        <v>118</v>
      </c>
      <c r="C2" s="20" t="s">
        <v>210</v>
      </c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ht="13.5" x14ac:dyDescent="0.2">
      <c r="A3" s="20"/>
      <c r="B3" s="20"/>
      <c r="C3" s="20" t="s">
        <v>211</v>
      </c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</row>
    <row r="4" spans="1:18" ht="13.5" x14ac:dyDescent="0.2">
      <c r="A4" s="20"/>
      <c r="B4" s="20"/>
      <c r="C4" s="20" t="s">
        <v>212</v>
      </c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</row>
    <row r="5" spans="1:18" ht="13.5" x14ac:dyDescent="0.2">
      <c r="A5" s="20"/>
      <c r="B5" s="20"/>
      <c r="C5" s="20" t="s">
        <v>213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</row>
    <row r="6" spans="1:18" ht="13.5" x14ac:dyDescent="0.2">
      <c r="A6" s="20"/>
      <c r="B6" s="20"/>
      <c r="C6" s="20" t="s">
        <v>214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</row>
    <row r="7" spans="1:18" ht="13.5" x14ac:dyDescent="0.2">
      <c r="A7" s="20"/>
      <c r="B7" s="20"/>
      <c r="C7" s="20" t="s">
        <v>216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18" ht="13.5" x14ac:dyDescent="0.2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</row>
  </sheetData>
  <pageMargins left="0.7" right="0.7" top="0.75" bottom="0.75" header="0.3" footer="0.3"/>
  <pageSetup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4E8D-F489-4771-AC73-94D91C445C39}">
  <sheetPr codeName="Sheet9"/>
  <dimension ref="A1:M98"/>
  <sheetViews>
    <sheetView showGridLines="0" topLeftCell="B1" zoomScale="70" zoomScaleNormal="70" workbookViewId="0">
      <selection activeCell="E6" sqref="E6"/>
    </sheetView>
  </sheetViews>
  <sheetFormatPr defaultRowHeight="12.75" x14ac:dyDescent="0.2"/>
  <cols>
    <col min="1" max="1" width="8.75" style="7"/>
    <col min="2" max="2" width="79" bestFit="1" customWidth="1"/>
    <col min="3" max="3" width="8.75" style="7"/>
    <col min="4" max="13" width="10.125" style="10" customWidth="1"/>
  </cols>
  <sheetData>
    <row r="1" spans="1:13" ht="64.900000000000006" customHeight="1" x14ac:dyDescent="0.2"/>
    <row r="2" spans="1:13" ht="15.75" x14ac:dyDescent="0.2">
      <c r="A2" s="8">
        <v>1</v>
      </c>
      <c r="B2" s="23" t="s">
        <v>312</v>
      </c>
      <c r="C2" s="7" t="s">
        <v>217</v>
      </c>
      <c r="D2" s="10" t="s">
        <v>313</v>
      </c>
      <c r="E2" s="10" t="s">
        <v>313</v>
      </c>
      <c r="F2" s="10" t="s">
        <v>313</v>
      </c>
      <c r="G2" s="10" t="s">
        <v>313</v>
      </c>
      <c r="H2" s="10" t="s">
        <v>313</v>
      </c>
    </row>
    <row r="3" spans="1:13" s="4" customFormat="1" ht="15.75" x14ac:dyDescent="0.2">
      <c r="A3" s="8">
        <v>2</v>
      </c>
      <c r="B3" s="23" t="s">
        <v>218</v>
      </c>
      <c r="C3" s="9" t="s">
        <v>101</v>
      </c>
      <c r="D3" s="11" t="s">
        <v>313</v>
      </c>
      <c r="E3" s="11" t="s">
        <v>313</v>
      </c>
      <c r="F3" s="11" t="s">
        <v>314</v>
      </c>
      <c r="G3" s="11" t="s">
        <v>313</v>
      </c>
      <c r="H3" s="11" t="s">
        <v>313</v>
      </c>
      <c r="I3" s="11" t="s">
        <v>181</v>
      </c>
      <c r="J3" s="11"/>
      <c r="K3" s="11"/>
      <c r="L3" s="11"/>
      <c r="M3" s="11"/>
    </row>
    <row r="4" spans="1:13" s="5" customFormat="1" ht="15.75" x14ac:dyDescent="0.2">
      <c r="A4" s="8">
        <v>3</v>
      </c>
      <c r="B4" s="23" t="s">
        <v>219</v>
      </c>
      <c r="C4" s="8" t="s">
        <v>102</v>
      </c>
      <c r="D4" s="12" t="s">
        <v>315</v>
      </c>
      <c r="E4" s="12" t="s">
        <v>313</v>
      </c>
      <c r="F4" s="12" t="s">
        <v>315</v>
      </c>
      <c r="G4" s="12" t="s">
        <v>313</v>
      </c>
      <c r="H4" s="12" t="s">
        <v>313</v>
      </c>
      <c r="I4" s="12"/>
      <c r="J4" s="12"/>
      <c r="K4" s="12"/>
      <c r="L4" s="12"/>
      <c r="M4" s="12"/>
    </row>
    <row r="5" spans="1:13" s="5" customFormat="1" ht="15.75" x14ac:dyDescent="0.2">
      <c r="A5" s="8">
        <v>4</v>
      </c>
      <c r="B5" s="23" t="s">
        <v>220</v>
      </c>
      <c r="C5" s="8" t="s">
        <v>103</v>
      </c>
      <c r="D5" s="12" t="s">
        <v>316</v>
      </c>
      <c r="E5" s="12" t="s">
        <v>317</v>
      </c>
      <c r="F5" s="12" t="s">
        <v>316</v>
      </c>
      <c r="G5" s="12" t="s">
        <v>317</v>
      </c>
      <c r="H5" s="12" t="s">
        <v>316</v>
      </c>
      <c r="I5" s="12"/>
      <c r="J5" s="12"/>
      <c r="K5" s="12"/>
      <c r="L5" s="12"/>
      <c r="M5" s="12"/>
    </row>
    <row r="6" spans="1:13" s="5" customFormat="1" ht="15.75" x14ac:dyDescent="0.2">
      <c r="A6" s="8">
        <v>5</v>
      </c>
      <c r="B6" s="23" t="s">
        <v>221</v>
      </c>
      <c r="C6" s="8" t="s">
        <v>104</v>
      </c>
      <c r="D6" s="12" t="s">
        <v>315</v>
      </c>
      <c r="E6" s="12" t="s">
        <v>318</v>
      </c>
      <c r="F6" s="12" t="s">
        <v>317</v>
      </c>
      <c r="G6" s="12" t="s">
        <v>318</v>
      </c>
      <c r="H6" s="12" t="s">
        <v>319</v>
      </c>
      <c r="I6" s="12"/>
      <c r="J6" s="12"/>
      <c r="K6" s="12"/>
      <c r="L6" s="12"/>
      <c r="M6" s="12"/>
    </row>
    <row r="7" spans="1:13" s="5" customFormat="1" ht="15.75" x14ac:dyDescent="0.2">
      <c r="A7" s="8">
        <v>6</v>
      </c>
      <c r="B7" s="23" t="s">
        <v>222</v>
      </c>
      <c r="C7" s="8" t="s">
        <v>105</v>
      </c>
      <c r="D7" s="12" t="s">
        <v>320</v>
      </c>
      <c r="E7" s="12" t="s">
        <v>321</v>
      </c>
      <c r="F7" s="12" t="s">
        <v>322</v>
      </c>
      <c r="G7" s="12" t="s">
        <v>320</v>
      </c>
      <c r="H7" s="12" t="s">
        <v>313</v>
      </c>
      <c r="I7" s="12"/>
      <c r="J7" s="12"/>
      <c r="K7" s="12"/>
      <c r="L7" s="12"/>
      <c r="M7" s="12"/>
    </row>
    <row r="8" spans="1:13" s="5" customFormat="1" ht="15.75" x14ac:dyDescent="0.2">
      <c r="A8" s="8">
        <v>7</v>
      </c>
      <c r="B8" s="23" t="s">
        <v>223</v>
      </c>
      <c r="C8" s="8" t="s">
        <v>106</v>
      </c>
      <c r="D8" s="12" t="s">
        <v>323</v>
      </c>
      <c r="E8" s="12" t="s">
        <v>318</v>
      </c>
      <c r="F8" s="12" t="s">
        <v>323</v>
      </c>
      <c r="G8" s="12" t="s">
        <v>324</v>
      </c>
      <c r="H8" s="12" t="s">
        <v>313</v>
      </c>
      <c r="I8" s="12"/>
      <c r="J8" s="12"/>
      <c r="K8" s="12"/>
      <c r="L8" s="12"/>
      <c r="M8" s="12"/>
    </row>
    <row r="9" spans="1:13" s="5" customFormat="1" ht="15.75" x14ac:dyDescent="0.2">
      <c r="A9" s="8">
        <v>8</v>
      </c>
      <c r="B9" s="23" t="s">
        <v>224</v>
      </c>
      <c r="C9" s="13" t="s">
        <v>5</v>
      </c>
      <c r="D9" s="12" t="s">
        <v>313</v>
      </c>
      <c r="E9" s="12" t="s">
        <v>313</v>
      </c>
      <c r="F9" s="12" t="s">
        <v>313</v>
      </c>
      <c r="G9" s="12" t="s">
        <v>315</v>
      </c>
      <c r="H9" s="12" t="s">
        <v>313</v>
      </c>
      <c r="I9" s="12"/>
      <c r="J9" s="12"/>
      <c r="K9" s="12"/>
      <c r="L9" s="12"/>
      <c r="M9" s="12"/>
    </row>
    <row r="10" spans="1:13" s="5" customFormat="1" ht="15.75" x14ac:dyDescent="0.2">
      <c r="A10" s="8">
        <v>9</v>
      </c>
      <c r="B10" s="23" t="s">
        <v>225</v>
      </c>
      <c r="C10" s="8" t="s">
        <v>107</v>
      </c>
      <c r="D10" s="12" t="s">
        <v>313</v>
      </c>
      <c r="E10" s="12" t="s">
        <v>325</v>
      </c>
      <c r="F10" s="12" t="s">
        <v>323</v>
      </c>
      <c r="G10" s="12" t="s">
        <v>313</v>
      </c>
      <c r="H10" s="12" t="s">
        <v>313</v>
      </c>
      <c r="I10" s="12"/>
      <c r="J10" s="12"/>
      <c r="K10" s="12"/>
      <c r="L10" s="12"/>
      <c r="M10" s="12"/>
    </row>
    <row r="11" spans="1:13" s="5" customFormat="1" ht="15.75" x14ac:dyDescent="0.2">
      <c r="A11" s="8">
        <v>10</v>
      </c>
      <c r="B11" s="23" t="s">
        <v>226</v>
      </c>
      <c r="C11" s="8" t="s">
        <v>108</v>
      </c>
      <c r="D11" s="12" t="s">
        <v>313</v>
      </c>
      <c r="E11" s="12" t="s">
        <v>323</v>
      </c>
      <c r="F11" s="12" t="s">
        <v>325</v>
      </c>
      <c r="G11" s="12" t="s">
        <v>313</v>
      </c>
      <c r="H11" s="12" t="s">
        <v>313</v>
      </c>
      <c r="I11" s="12"/>
      <c r="J11" s="12"/>
      <c r="K11" s="12"/>
      <c r="L11" s="12"/>
      <c r="M11" s="12"/>
    </row>
    <row r="12" spans="1:13" s="5" customFormat="1" ht="15.75" x14ac:dyDescent="0.2">
      <c r="A12" s="8">
        <v>11</v>
      </c>
      <c r="B12" s="23" t="s">
        <v>227</v>
      </c>
      <c r="C12" s="8" t="s">
        <v>109</v>
      </c>
      <c r="D12" s="12" t="s">
        <v>313</v>
      </c>
      <c r="E12" s="12" t="s">
        <v>322</v>
      </c>
      <c r="F12" s="12" t="s">
        <v>313</v>
      </c>
      <c r="G12" s="12" t="s">
        <v>313</v>
      </c>
      <c r="H12" s="12" t="s">
        <v>313</v>
      </c>
      <c r="I12" s="12"/>
      <c r="J12" s="12"/>
      <c r="K12" s="12"/>
      <c r="L12" s="12"/>
      <c r="M12" s="12"/>
    </row>
    <row r="13" spans="1:13" s="5" customFormat="1" ht="15.75" x14ac:dyDescent="0.2">
      <c r="A13" s="8">
        <v>12</v>
      </c>
      <c r="B13" s="23" t="s">
        <v>228</v>
      </c>
      <c r="C13" s="8" t="s">
        <v>110</v>
      </c>
      <c r="D13" s="12" t="s">
        <v>313</v>
      </c>
      <c r="E13" s="12" t="s">
        <v>322</v>
      </c>
      <c r="F13" s="12" t="s">
        <v>326</v>
      </c>
      <c r="G13" s="12" t="s">
        <v>322</v>
      </c>
      <c r="H13" s="12" t="s">
        <v>313</v>
      </c>
      <c r="I13" s="12"/>
      <c r="J13" s="12"/>
      <c r="K13" s="12"/>
      <c r="L13" s="12"/>
      <c r="M13" s="12"/>
    </row>
    <row r="14" spans="1:13" s="5" customFormat="1" ht="15.75" x14ac:dyDescent="0.2">
      <c r="A14" s="8">
        <v>13</v>
      </c>
      <c r="B14" s="23" t="s">
        <v>229</v>
      </c>
      <c r="C14" s="8"/>
      <c r="D14" s="12" t="s">
        <v>327</v>
      </c>
      <c r="E14" s="12" t="s">
        <v>328</v>
      </c>
      <c r="F14" s="12" t="s">
        <v>313</v>
      </c>
      <c r="G14" s="12" t="s">
        <v>313</v>
      </c>
      <c r="H14" s="12" t="s">
        <v>313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 ht="15.75" x14ac:dyDescent="0.2">
      <c r="A15" s="8">
        <v>14</v>
      </c>
      <c r="B15" s="23" t="s">
        <v>230</v>
      </c>
      <c r="C15" s="8" t="s">
        <v>111</v>
      </c>
      <c r="D15" s="12" t="s">
        <v>313</v>
      </c>
      <c r="E15" s="12" t="s">
        <v>322</v>
      </c>
      <c r="F15" s="12" t="s">
        <v>322</v>
      </c>
      <c r="G15" s="12" t="s">
        <v>313</v>
      </c>
      <c r="H15" s="12" t="s">
        <v>313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 ht="15.75" x14ac:dyDescent="0.2">
      <c r="A16" s="8">
        <v>15</v>
      </c>
      <c r="B16" s="23" t="s">
        <v>231</v>
      </c>
      <c r="C16" s="8" t="s">
        <v>112</v>
      </c>
      <c r="D16" s="12" t="s">
        <v>328</v>
      </c>
      <c r="E16" s="12" t="s">
        <v>313</v>
      </c>
      <c r="F16" s="12" t="s">
        <v>313</v>
      </c>
      <c r="G16" s="12" t="s">
        <v>313</v>
      </c>
      <c r="H16" s="12" t="s">
        <v>313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 ht="15.75" x14ac:dyDescent="0.2">
      <c r="A17" s="8">
        <v>16</v>
      </c>
      <c r="B17" s="23" t="s">
        <v>232</v>
      </c>
      <c r="C17" s="8" t="s">
        <v>113</v>
      </c>
      <c r="D17" s="12" t="s">
        <v>313</v>
      </c>
      <c r="E17" s="12" t="s">
        <v>319</v>
      </c>
      <c r="F17" s="12" t="s">
        <v>315</v>
      </c>
      <c r="G17" s="12" t="s">
        <v>313</v>
      </c>
      <c r="H17" s="12" t="s">
        <v>313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 ht="15.75" x14ac:dyDescent="0.2">
      <c r="A18" s="8">
        <v>17</v>
      </c>
      <c r="B18" s="23" t="s">
        <v>233</v>
      </c>
      <c r="C18" s="8">
        <v>0</v>
      </c>
      <c r="D18" s="12" t="s">
        <v>323</v>
      </c>
      <c r="E18" s="12" t="s">
        <v>325</v>
      </c>
      <c r="F18" s="12" t="s">
        <v>325</v>
      </c>
      <c r="G18" s="12" t="s">
        <v>323</v>
      </c>
      <c r="H18" s="12" t="s">
        <v>313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 ht="15.75" x14ac:dyDescent="0.2">
      <c r="A19" s="8">
        <v>18</v>
      </c>
      <c r="B19" s="23" t="s">
        <v>234</v>
      </c>
      <c r="C19" s="8">
        <v>1</v>
      </c>
      <c r="D19" s="12" t="s">
        <v>313</v>
      </c>
      <c r="E19" s="12" t="s">
        <v>313</v>
      </c>
      <c r="F19" s="12" t="s">
        <v>313</v>
      </c>
      <c r="G19" s="12" t="s">
        <v>323</v>
      </c>
      <c r="H19" s="12" t="s">
        <v>313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 ht="15.75" x14ac:dyDescent="0.2">
      <c r="A20" s="8">
        <v>19</v>
      </c>
      <c r="B20" s="23" t="s">
        <v>235</v>
      </c>
      <c r="C20" s="8">
        <v>2</v>
      </c>
      <c r="D20" s="12" t="s">
        <v>319</v>
      </c>
      <c r="E20" s="12" t="s">
        <v>318</v>
      </c>
      <c r="F20" s="12" t="s">
        <v>318</v>
      </c>
      <c r="G20" s="12" t="s">
        <v>315</v>
      </c>
      <c r="H20" s="12" t="s">
        <v>313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 ht="15.75" x14ac:dyDescent="0.2">
      <c r="A21" s="8">
        <v>20</v>
      </c>
      <c r="B21" s="23" t="s">
        <v>236</v>
      </c>
      <c r="C21" s="8">
        <v>3</v>
      </c>
      <c r="D21" s="12" t="s">
        <v>313</v>
      </c>
      <c r="E21" s="12" t="s">
        <v>318</v>
      </c>
      <c r="F21" s="12" t="s">
        <v>318</v>
      </c>
      <c r="G21" s="12" t="s">
        <v>323</v>
      </c>
      <c r="H21" s="12" t="s">
        <v>313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 ht="15.75" x14ac:dyDescent="0.2">
      <c r="A22" s="8">
        <v>21</v>
      </c>
      <c r="B22" s="23" t="s">
        <v>237</v>
      </c>
      <c r="C22" s="8">
        <v>4</v>
      </c>
      <c r="D22" s="12" t="s">
        <v>315</v>
      </c>
      <c r="E22" s="12" t="s">
        <v>322</v>
      </c>
      <c r="F22" s="12" t="s">
        <v>322</v>
      </c>
      <c r="G22" s="12" t="s">
        <v>323</v>
      </c>
      <c r="H22" s="12" t="s">
        <v>313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 ht="15.75" x14ac:dyDescent="0.2">
      <c r="A23" s="8">
        <v>22</v>
      </c>
      <c r="B23" s="23" t="s">
        <v>238</v>
      </c>
      <c r="C23" s="8">
        <v>5</v>
      </c>
      <c r="D23" s="12" t="s">
        <v>315</v>
      </c>
      <c r="E23" s="12" t="s">
        <v>318</v>
      </c>
      <c r="F23" s="12" t="s">
        <v>318</v>
      </c>
      <c r="G23" s="12" t="s">
        <v>319</v>
      </c>
      <c r="H23" s="12" t="s">
        <v>313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 ht="15.75" x14ac:dyDescent="0.2">
      <c r="A24" s="8">
        <v>23</v>
      </c>
      <c r="B24" s="23" t="s">
        <v>239</v>
      </c>
      <c r="C24" s="8">
        <v>6</v>
      </c>
      <c r="D24" s="12" t="s">
        <v>323</v>
      </c>
      <c r="E24" s="12" t="s">
        <v>318</v>
      </c>
      <c r="F24" s="12" t="s">
        <v>318</v>
      </c>
      <c r="G24" s="12" t="s">
        <v>319</v>
      </c>
      <c r="H24" s="12" t="s">
        <v>313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 ht="15.75" x14ac:dyDescent="0.2">
      <c r="A25" s="8">
        <v>24</v>
      </c>
      <c r="B25" s="23" t="s">
        <v>240</v>
      </c>
      <c r="C25" s="8">
        <v>7</v>
      </c>
      <c r="D25" s="12" t="s">
        <v>313</v>
      </c>
      <c r="E25" s="12" t="s">
        <v>329</v>
      </c>
      <c r="F25" s="12" t="s">
        <v>329</v>
      </c>
      <c r="G25" s="12" t="s">
        <v>323</v>
      </c>
      <c r="H25" s="12" t="s">
        <v>313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 ht="15.75" x14ac:dyDescent="0.2">
      <c r="A26" s="8">
        <v>25</v>
      </c>
      <c r="B26" s="23" t="s">
        <v>241</v>
      </c>
      <c r="C26" s="8">
        <v>8</v>
      </c>
      <c r="D26" s="12" t="s">
        <v>323</v>
      </c>
      <c r="E26" s="12" t="s">
        <v>318</v>
      </c>
      <c r="F26" s="12" t="s">
        <v>318</v>
      </c>
      <c r="G26" s="12" t="s">
        <v>323</v>
      </c>
      <c r="H26" s="12" t="s">
        <v>313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 ht="15.75" x14ac:dyDescent="0.2">
      <c r="A27" s="8">
        <v>26</v>
      </c>
      <c r="B27" s="23" t="s">
        <v>242</v>
      </c>
      <c r="C27" s="8">
        <v>9</v>
      </c>
      <c r="D27" s="12" t="s">
        <v>315</v>
      </c>
      <c r="E27" s="12" t="s">
        <v>318</v>
      </c>
      <c r="F27" s="12" t="s">
        <v>318</v>
      </c>
      <c r="G27" s="12" t="s">
        <v>323</v>
      </c>
      <c r="H27" s="12" t="s">
        <v>313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 ht="15.75" x14ac:dyDescent="0.2">
      <c r="A28" s="8">
        <v>27</v>
      </c>
      <c r="B28" s="23" t="s">
        <v>243</v>
      </c>
      <c r="C28" s="8" t="s">
        <v>114</v>
      </c>
      <c r="D28" s="12" t="s">
        <v>313</v>
      </c>
      <c r="E28" s="12" t="s">
        <v>316</v>
      </c>
      <c r="F28" s="12" t="s">
        <v>313</v>
      </c>
      <c r="G28" s="12" t="s">
        <v>313</v>
      </c>
      <c r="H28" s="12" t="s">
        <v>313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 ht="15.75" x14ac:dyDescent="0.2">
      <c r="A29" s="8">
        <v>28</v>
      </c>
      <c r="B29" s="23" t="s">
        <v>244</v>
      </c>
      <c r="C29" s="8" t="s">
        <v>115</v>
      </c>
      <c r="D29" s="12" t="s">
        <v>328</v>
      </c>
      <c r="E29" s="12" t="s">
        <v>316</v>
      </c>
      <c r="F29" s="12" t="s">
        <v>313</v>
      </c>
      <c r="G29" s="12" t="s">
        <v>313</v>
      </c>
      <c r="H29" s="12" t="s">
        <v>313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 ht="15.75" x14ac:dyDescent="0.2">
      <c r="A30" s="8">
        <v>29</v>
      </c>
      <c r="B30" s="23" t="s">
        <v>245</v>
      </c>
      <c r="C30" s="8" t="s">
        <v>116</v>
      </c>
      <c r="D30" s="12" t="s">
        <v>313</v>
      </c>
      <c r="E30" s="12" t="s">
        <v>322</v>
      </c>
      <c r="F30" s="12" t="s">
        <v>316</v>
      </c>
      <c r="G30" s="12" t="s">
        <v>330</v>
      </c>
      <c r="H30" s="12" t="s">
        <v>313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 ht="15.75" x14ac:dyDescent="0.2">
      <c r="A31" s="8">
        <v>30</v>
      </c>
      <c r="B31" s="23" t="s">
        <v>246</v>
      </c>
      <c r="C31" s="8" t="s">
        <v>117</v>
      </c>
      <c r="D31" s="12" t="s">
        <v>313</v>
      </c>
      <c r="E31" s="12" t="s">
        <v>316</v>
      </c>
      <c r="F31" s="12" t="s">
        <v>316</v>
      </c>
      <c r="G31" s="12" t="s">
        <v>316</v>
      </c>
      <c r="H31" s="12" t="s">
        <v>313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 ht="15.75" x14ac:dyDescent="0.2">
      <c r="A32" s="8">
        <v>31</v>
      </c>
      <c r="B32" s="23" t="s">
        <v>247</v>
      </c>
      <c r="C32" s="8" t="s">
        <v>118</v>
      </c>
      <c r="D32" s="12" t="s">
        <v>313</v>
      </c>
      <c r="E32" s="12" t="s">
        <v>330</v>
      </c>
      <c r="F32" s="12" t="s">
        <v>316</v>
      </c>
      <c r="G32" s="12" t="s">
        <v>322</v>
      </c>
      <c r="H32" s="12" t="s">
        <v>313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 ht="15.75" x14ac:dyDescent="0.2">
      <c r="A33" s="8">
        <v>32</v>
      </c>
      <c r="B33" s="23" t="s">
        <v>248</v>
      </c>
      <c r="C33" s="8" t="s">
        <v>119</v>
      </c>
      <c r="D33" s="12" t="s">
        <v>313</v>
      </c>
      <c r="E33" s="12" t="s">
        <v>329</v>
      </c>
      <c r="F33" s="12" t="s">
        <v>331</v>
      </c>
      <c r="G33" s="12" t="s">
        <v>315</v>
      </c>
      <c r="H33" s="12" t="s">
        <v>313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 ht="15.75" x14ac:dyDescent="0.2">
      <c r="A34" s="8">
        <v>33</v>
      </c>
      <c r="B34" s="23" t="s">
        <v>249</v>
      </c>
      <c r="C34" s="8" t="s">
        <v>120</v>
      </c>
      <c r="D34" s="12" t="s">
        <v>323</v>
      </c>
      <c r="E34" s="12" t="s">
        <v>318</v>
      </c>
      <c r="F34" s="12" t="s">
        <v>332</v>
      </c>
      <c r="G34" s="12" t="s">
        <v>333</v>
      </c>
      <c r="H34" s="12" t="s">
        <v>314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 ht="15.75" x14ac:dyDescent="0.2">
      <c r="A35" s="8">
        <v>34</v>
      </c>
      <c r="B35" s="23" t="s">
        <v>250</v>
      </c>
      <c r="C35" s="8" t="s">
        <v>121</v>
      </c>
      <c r="D35" s="12" t="s">
        <v>323</v>
      </c>
      <c r="E35" s="12" t="s">
        <v>334</v>
      </c>
      <c r="F35" s="12" t="s">
        <v>334</v>
      </c>
      <c r="G35" s="12" t="s">
        <v>323</v>
      </c>
      <c r="H35" s="12" t="s">
        <v>313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 ht="15.75" x14ac:dyDescent="0.2">
      <c r="A36" s="8">
        <v>35</v>
      </c>
      <c r="B36" s="23" t="s">
        <v>251</v>
      </c>
      <c r="C36" s="8" t="s">
        <v>122</v>
      </c>
      <c r="D36" s="12" t="s">
        <v>335</v>
      </c>
      <c r="E36" s="12" t="s">
        <v>318</v>
      </c>
      <c r="F36" s="12" t="s">
        <v>318</v>
      </c>
      <c r="G36" s="12" t="s">
        <v>323</v>
      </c>
      <c r="H36" s="12" t="s">
        <v>313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 ht="15.75" x14ac:dyDescent="0.2">
      <c r="A37" s="8">
        <v>36</v>
      </c>
      <c r="B37" s="23" t="s">
        <v>252</v>
      </c>
      <c r="C37" s="8" t="s">
        <v>2</v>
      </c>
      <c r="D37" s="12" t="s">
        <v>323</v>
      </c>
      <c r="E37" s="12" t="s">
        <v>325</v>
      </c>
      <c r="F37" s="12" t="s">
        <v>325</v>
      </c>
      <c r="G37" s="12" t="s">
        <v>313</v>
      </c>
      <c r="H37" s="12" t="s">
        <v>313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 ht="15.75" x14ac:dyDescent="0.2">
      <c r="A38" s="8">
        <v>37</v>
      </c>
      <c r="B38" s="23" t="s">
        <v>253</v>
      </c>
      <c r="C38" s="8" t="s">
        <v>123</v>
      </c>
      <c r="D38" s="12" t="s">
        <v>335</v>
      </c>
      <c r="E38" s="12" t="s">
        <v>325</v>
      </c>
      <c r="F38" s="12" t="s">
        <v>325</v>
      </c>
      <c r="G38" s="12" t="s">
        <v>323</v>
      </c>
      <c r="H38" s="12" t="s">
        <v>313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 ht="15.75" x14ac:dyDescent="0.2">
      <c r="A39" s="8">
        <v>38</v>
      </c>
      <c r="B39" s="23" t="s">
        <v>254</v>
      </c>
      <c r="C39" s="8" t="s">
        <v>4</v>
      </c>
      <c r="D39" s="12" t="s">
        <v>323</v>
      </c>
      <c r="E39" s="12" t="s">
        <v>318</v>
      </c>
      <c r="F39" s="12" t="s">
        <v>318</v>
      </c>
      <c r="G39" s="12" t="s">
        <v>313</v>
      </c>
      <c r="H39" s="12" t="s">
        <v>313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 ht="15.75" x14ac:dyDescent="0.2">
      <c r="A40" s="8">
        <v>39</v>
      </c>
      <c r="B40" s="23" t="s">
        <v>255</v>
      </c>
      <c r="C40" s="8" t="s">
        <v>3</v>
      </c>
      <c r="D40" s="12" t="s">
        <v>323</v>
      </c>
      <c r="E40" s="12" t="s">
        <v>334</v>
      </c>
      <c r="F40" s="12" t="s">
        <v>334</v>
      </c>
      <c r="G40" s="12" t="s">
        <v>313</v>
      </c>
      <c r="H40" s="12" t="s">
        <v>313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 ht="15.75" x14ac:dyDescent="0.2">
      <c r="A41" s="8">
        <v>40</v>
      </c>
      <c r="B41" s="23" t="s">
        <v>256</v>
      </c>
      <c r="C41" s="8" t="s">
        <v>124</v>
      </c>
      <c r="D41" s="12" t="s">
        <v>323</v>
      </c>
      <c r="E41" s="12" t="s">
        <v>325</v>
      </c>
      <c r="F41" s="12" t="s">
        <v>336</v>
      </c>
      <c r="G41" s="12" t="s">
        <v>319</v>
      </c>
      <c r="H41" s="12" t="s">
        <v>313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 ht="15.75" x14ac:dyDescent="0.2">
      <c r="A42" s="8">
        <v>41</v>
      </c>
      <c r="B42" s="23" t="s">
        <v>257</v>
      </c>
      <c r="C42" s="8" t="s">
        <v>125</v>
      </c>
      <c r="D42" s="12" t="s">
        <v>323</v>
      </c>
      <c r="E42" s="12" t="s">
        <v>322</v>
      </c>
      <c r="F42" s="12" t="s">
        <v>322</v>
      </c>
      <c r="G42" s="12" t="s">
        <v>323</v>
      </c>
      <c r="H42" s="12" t="s">
        <v>313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 ht="15.75" x14ac:dyDescent="0.2">
      <c r="A43" s="8">
        <v>42</v>
      </c>
      <c r="B43" s="23" t="s">
        <v>258</v>
      </c>
      <c r="C43" s="8" t="s">
        <v>126</v>
      </c>
      <c r="D43" s="12" t="s">
        <v>313</v>
      </c>
      <c r="E43" s="12" t="s">
        <v>313</v>
      </c>
      <c r="F43" s="12" t="s">
        <v>323</v>
      </c>
      <c r="G43" s="12" t="s">
        <v>313</v>
      </c>
      <c r="H43" s="12" t="s">
        <v>313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 ht="15.75" x14ac:dyDescent="0.2">
      <c r="A44" s="8">
        <v>43</v>
      </c>
      <c r="B44" s="23" t="s">
        <v>259</v>
      </c>
      <c r="C44" s="8" t="s">
        <v>127</v>
      </c>
      <c r="D44" s="12" t="s">
        <v>313</v>
      </c>
      <c r="E44" s="12" t="s">
        <v>327</v>
      </c>
      <c r="F44" s="12" t="s">
        <v>327</v>
      </c>
      <c r="G44" s="12" t="s">
        <v>323</v>
      </c>
      <c r="H44" s="12" t="s">
        <v>313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 ht="15.75" x14ac:dyDescent="0.2">
      <c r="A45" s="8">
        <v>44</v>
      </c>
      <c r="B45" s="23" t="s">
        <v>260</v>
      </c>
      <c r="C45" s="8" t="s">
        <v>128</v>
      </c>
      <c r="D45" s="12" t="s">
        <v>323</v>
      </c>
      <c r="E45" s="12" t="s">
        <v>322</v>
      </c>
      <c r="F45" s="12" t="s">
        <v>316</v>
      </c>
      <c r="G45" s="12" t="s">
        <v>330</v>
      </c>
      <c r="H45" s="12" t="s">
        <v>313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 ht="15.75" x14ac:dyDescent="0.2">
      <c r="A46" s="8">
        <v>45</v>
      </c>
      <c r="B46" s="23" t="s">
        <v>261</v>
      </c>
      <c r="C46" s="8" t="s">
        <v>129</v>
      </c>
      <c r="D46" s="12" t="s">
        <v>323</v>
      </c>
      <c r="E46" s="12" t="s">
        <v>327</v>
      </c>
      <c r="F46" s="12" t="s">
        <v>327</v>
      </c>
      <c r="G46" s="12" t="s">
        <v>313</v>
      </c>
      <c r="H46" s="12" t="s">
        <v>313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 ht="15.75" x14ac:dyDescent="0.2">
      <c r="A47" s="8">
        <v>46</v>
      </c>
      <c r="B47" s="23" t="s">
        <v>262</v>
      </c>
      <c r="C47" s="8" t="s">
        <v>130</v>
      </c>
      <c r="D47" s="12" t="s">
        <v>323</v>
      </c>
      <c r="E47" s="12" t="s">
        <v>329</v>
      </c>
      <c r="F47" s="12" t="s">
        <v>315</v>
      </c>
      <c r="G47" s="12" t="s">
        <v>329</v>
      </c>
      <c r="H47" s="12" t="s">
        <v>323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 ht="15.75" x14ac:dyDescent="0.2">
      <c r="A48" s="8">
        <v>47</v>
      </c>
      <c r="B48" s="23" t="s">
        <v>263</v>
      </c>
      <c r="C48" s="8" t="s">
        <v>131</v>
      </c>
      <c r="D48" s="12" t="s">
        <v>323</v>
      </c>
      <c r="E48" s="12" t="s">
        <v>337</v>
      </c>
      <c r="F48" s="12" t="s">
        <v>321</v>
      </c>
      <c r="G48" s="12" t="s">
        <v>323</v>
      </c>
      <c r="H48" s="12" t="s">
        <v>313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 ht="15.75" x14ac:dyDescent="0.2">
      <c r="A49" s="8">
        <v>48</v>
      </c>
      <c r="B49" s="23" t="s">
        <v>264</v>
      </c>
      <c r="C49" s="8" t="s">
        <v>132</v>
      </c>
      <c r="D49" s="12" t="s">
        <v>323</v>
      </c>
      <c r="E49" s="12" t="s">
        <v>325</v>
      </c>
      <c r="F49" s="12" t="s">
        <v>325</v>
      </c>
      <c r="G49" s="12" t="s">
        <v>323</v>
      </c>
      <c r="H49" s="12" t="s">
        <v>313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 ht="15.75" x14ac:dyDescent="0.2">
      <c r="A50" s="8">
        <v>49</v>
      </c>
      <c r="B50" s="23" t="s">
        <v>265</v>
      </c>
      <c r="C50" s="8" t="s">
        <v>133</v>
      </c>
      <c r="D50" s="12" t="s">
        <v>323</v>
      </c>
      <c r="E50" s="12" t="s">
        <v>334</v>
      </c>
      <c r="F50" s="12" t="s">
        <v>334</v>
      </c>
      <c r="G50" s="12" t="s">
        <v>315</v>
      </c>
      <c r="H50" s="12" t="s">
        <v>313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 ht="15.75" x14ac:dyDescent="0.2">
      <c r="A51" s="8">
        <v>50</v>
      </c>
      <c r="B51" s="23" t="s">
        <v>266</v>
      </c>
      <c r="C51" s="8" t="s">
        <v>134</v>
      </c>
      <c r="D51" s="12" t="s">
        <v>323</v>
      </c>
      <c r="E51" s="12" t="s">
        <v>325</v>
      </c>
      <c r="F51" s="12" t="s">
        <v>338</v>
      </c>
      <c r="G51" s="12" t="s">
        <v>339</v>
      </c>
      <c r="H51" s="12" t="s">
        <v>313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 ht="15.75" x14ac:dyDescent="0.2">
      <c r="A52" s="8">
        <v>51</v>
      </c>
      <c r="B52" s="23" t="s">
        <v>267</v>
      </c>
      <c r="C52" s="8" t="s">
        <v>135</v>
      </c>
      <c r="D52" s="12" t="s">
        <v>323</v>
      </c>
      <c r="E52" s="12" t="s">
        <v>334</v>
      </c>
      <c r="F52" s="12" t="s">
        <v>340</v>
      </c>
      <c r="G52" s="12" t="s">
        <v>341</v>
      </c>
      <c r="H52" s="12" t="s">
        <v>313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 ht="15.75" x14ac:dyDescent="0.2">
      <c r="A53" s="8">
        <v>52</v>
      </c>
      <c r="B53" s="23" t="s">
        <v>268</v>
      </c>
      <c r="C53" s="8" t="s">
        <v>136</v>
      </c>
      <c r="D53" s="12" t="s">
        <v>315</v>
      </c>
      <c r="E53" s="12" t="s">
        <v>318</v>
      </c>
      <c r="F53" s="12" t="s">
        <v>318</v>
      </c>
      <c r="G53" s="12" t="s">
        <v>319</v>
      </c>
      <c r="H53" s="12" t="s">
        <v>313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 ht="15.75" x14ac:dyDescent="0.2">
      <c r="A54" s="8">
        <v>53</v>
      </c>
      <c r="B54" s="23" t="s">
        <v>269</v>
      </c>
      <c r="C54" s="8" t="s">
        <v>137</v>
      </c>
      <c r="D54" s="12" t="s">
        <v>313</v>
      </c>
      <c r="E54" s="12" t="s">
        <v>329</v>
      </c>
      <c r="F54" s="12" t="s">
        <v>342</v>
      </c>
      <c r="G54" s="12" t="s">
        <v>329</v>
      </c>
      <c r="H54" s="12" t="s">
        <v>313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 ht="15.75" x14ac:dyDescent="0.2">
      <c r="A55" s="8">
        <v>54</v>
      </c>
      <c r="B55" s="23" t="s">
        <v>270</v>
      </c>
      <c r="C55" s="8" t="s">
        <v>138</v>
      </c>
      <c r="D55" s="12" t="s">
        <v>323</v>
      </c>
      <c r="E55" s="12" t="s">
        <v>327</v>
      </c>
      <c r="F55" s="12" t="s">
        <v>327</v>
      </c>
      <c r="G55" s="12" t="s">
        <v>323</v>
      </c>
      <c r="H55" s="12" t="s">
        <v>313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 ht="15.75" x14ac:dyDescent="0.2">
      <c r="A56" s="8">
        <v>55</v>
      </c>
      <c r="B56" s="23" t="s">
        <v>271</v>
      </c>
      <c r="C56" s="8" t="s">
        <v>139</v>
      </c>
      <c r="D56" s="12" t="s">
        <v>323</v>
      </c>
      <c r="E56" s="12" t="s">
        <v>327</v>
      </c>
      <c r="F56" s="12" t="s">
        <v>323</v>
      </c>
      <c r="G56" s="12" t="s">
        <v>313</v>
      </c>
      <c r="H56" s="12" t="s">
        <v>313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 ht="15.75" x14ac:dyDescent="0.2">
      <c r="A57" s="8">
        <v>56</v>
      </c>
      <c r="B57" s="23" t="s">
        <v>272</v>
      </c>
      <c r="C57" s="8" t="s">
        <v>140</v>
      </c>
      <c r="D57" s="12" t="s">
        <v>323</v>
      </c>
      <c r="E57" s="12" t="s">
        <v>327</v>
      </c>
      <c r="F57" s="12" t="s">
        <v>319</v>
      </c>
      <c r="G57" s="12" t="s">
        <v>327</v>
      </c>
      <c r="H57" s="12" t="s">
        <v>323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 ht="15.75" x14ac:dyDescent="0.2">
      <c r="A58" s="8">
        <v>57</v>
      </c>
      <c r="B58" s="23" t="s">
        <v>273</v>
      </c>
      <c r="C58" s="8" t="s">
        <v>141</v>
      </c>
      <c r="D58" s="12" t="s">
        <v>323</v>
      </c>
      <c r="E58" s="12" t="s">
        <v>322</v>
      </c>
      <c r="F58" s="12" t="s">
        <v>322</v>
      </c>
      <c r="G58" s="12" t="s">
        <v>323</v>
      </c>
      <c r="H58" s="12" t="s">
        <v>313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 ht="15.75" x14ac:dyDescent="0.2">
      <c r="A59" s="8">
        <v>58</v>
      </c>
      <c r="B59" s="23" t="s">
        <v>274</v>
      </c>
      <c r="C59" s="8" t="s">
        <v>142</v>
      </c>
      <c r="D59" s="12" t="s">
        <v>315</v>
      </c>
      <c r="E59" s="12" t="s">
        <v>343</v>
      </c>
      <c r="F59" s="12" t="s">
        <v>343</v>
      </c>
      <c r="G59" s="12" t="s">
        <v>323</v>
      </c>
      <c r="H59" s="12" t="s">
        <v>313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 ht="15.75" x14ac:dyDescent="0.2">
      <c r="A60" s="8">
        <v>59</v>
      </c>
      <c r="B60" s="23" t="s">
        <v>275</v>
      </c>
      <c r="C60" s="8" t="s">
        <v>143</v>
      </c>
      <c r="D60" s="12" t="s">
        <v>328</v>
      </c>
      <c r="E60" s="12" t="s">
        <v>336</v>
      </c>
      <c r="F60" s="12" t="s">
        <v>318</v>
      </c>
      <c r="G60" s="12" t="s">
        <v>344</v>
      </c>
      <c r="H60" s="12" t="s">
        <v>345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 ht="15.75" x14ac:dyDescent="0.2">
      <c r="A61" s="8">
        <v>60</v>
      </c>
      <c r="B61" s="23" t="s">
        <v>276</v>
      </c>
      <c r="C61" s="8" t="s">
        <v>144</v>
      </c>
      <c r="D61" s="12" t="s">
        <v>335</v>
      </c>
      <c r="E61" s="12" t="s">
        <v>325</v>
      </c>
      <c r="F61" s="12" t="s">
        <v>325</v>
      </c>
      <c r="G61" s="12" t="s">
        <v>313</v>
      </c>
      <c r="H61" s="12" t="s">
        <v>313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 ht="15.75" x14ac:dyDescent="0.2">
      <c r="A62" s="8">
        <v>61</v>
      </c>
      <c r="B62" s="23" t="s">
        <v>277</v>
      </c>
      <c r="C62" s="8" t="s">
        <v>145</v>
      </c>
      <c r="D62" s="12" t="s">
        <v>313</v>
      </c>
      <c r="E62" s="12" t="s">
        <v>315</v>
      </c>
      <c r="F62" s="12" t="s">
        <v>319</v>
      </c>
      <c r="G62" s="12" t="s">
        <v>313</v>
      </c>
      <c r="H62" s="12" t="s">
        <v>313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 ht="15.75" x14ac:dyDescent="0.2">
      <c r="A63" s="8">
        <v>62</v>
      </c>
      <c r="B63" s="23" t="s">
        <v>278</v>
      </c>
      <c r="C63" s="8" t="s">
        <v>146</v>
      </c>
      <c r="D63" s="12" t="s">
        <v>313</v>
      </c>
      <c r="E63" s="12" t="s">
        <v>325</v>
      </c>
      <c r="F63" s="12" t="s">
        <v>325</v>
      </c>
      <c r="G63" s="12" t="s">
        <v>335</v>
      </c>
      <c r="H63" s="12" t="s">
        <v>313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 ht="15.75" x14ac:dyDescent="0.2">
      <c r="A64" s="8">
        <v>63</v>
      </c>
      <c r="B64" s="23" t="s">
        <v>279</v>
      </c>
      <c r="C64" s="8" t="s">
        <v>147</v>
      </c>
      <c r="D64" s="12" t="s">
        <v>313</v>
      </c>
      <c r="E64" s="12" t="s">
        <v>345</v>
      </c>
      <c r="F64" s="12" t="s">
        <v>329</v>
      </c>
      <c r="G64" s="12" t="s">
        <v>345</v>
      </c>
      <c r="H64" s="12" t="s">
        <v>313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 ht="15.75" x14ac:dyDescent="0.2">
      <c r="A65" s="8">
        <v>64</v>
      </c>
      <c r="B65" s="23" t="s">
        <v>280</v>
      </c>
      <c r="C65" s="8" t="s">
        <v>148</v>
      </c>
      <c r="D65" s="12" t="s">
        <v>313</v>
      </c>
      <c r="E65" s="12" t="s">
        <v>327</v>
      </c>
      <c r="F65" s="12" t="s">
        <v>327</v>
      </c>
      <c r="G65" s="12" t="s">
        <v>313</v>
      </c>
      <c r="H65" s="12" t="s">
        <v>313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 ht="15.75" x14ac:dyDescent="0.2">
      <c r="A66" s="8">
        <v>65</v>
      </c>
      <c r="B66" s="23" t="s">
        <v>281</v>
      </c>
      <c r="C66" s="8" t="s">
        <v>149</v>
      </c>
      <c r="D66" s="12" t="s">
        <v>313</v>
      </c>
      <c r="E66" s="12" t="s">
        <v>329</v>
      </c>
      <c r="F66" s="12" t="s">
        <v>345</v>
      </c>
      <c r="G66" s="12" t="s">
        <v>313</v>
      </c>
      <c r="H66" s="12" t="s">
        <v>313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 ht="15.75" x14ac:dyDescent="0.2">
      <c r="A67" s="8">
        <v>66</v>
      </c>
      <c r="B67" s="23" t="s">
        <v>282</v>
      </c>
      <c r="C67" s="7" t="s">
        <v>150</v>
      </c>
      <c r="D67" s="10" t="s">
        <v>328</v>
      </c>
      <c r="E67" s="10" t="s">
        <v>346</v>
      </c>
      <c r="F67" s="10" t="s">
        <v>346</v>
      </c>
      <c r="G67" s="10" t="s">
        <v>347</v>
      </c>
      <c r="H67" s="10" t="s">
        <v>327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 ht="15.75" x14ac:dyDescent="0.2">
      <c r="A68" s="8">
        <v>67</v>
      </c>
      <c r="B68" s="23" t="s">
        <v>283</v>
      </c>
      <c r="C68" s="7" t="s">
        <v>151</v>
      </c>
      <c r="D68" s="10" t="s">
        <v>313</v>
      </c>
      <c r="E68" s="10" t="s">
        <v>323</v>
      </c>
      <c r="F68" s="10" t="s">
        <v>343</v>
      </c>
      <c r="G68" s="10" t="s">
        <v>319</v>
      </c>
      <c r="H68" s="10" t="s">
        <v>313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 ht="15.75" x14ac:dyDescent="0.2">
      <c r="A69" s="8">
        <v>68</v>
      </c>
      <c r="B69" s="23" t="s">
        <v>284</v>
      </c>
      <c r="C69" s="7" t="s">
        <v>152</v>
      </c>
      <c r="D69" s="10" t="s">
        <v>319</v>
      </c>
      <c r="E69" s="10" t="s">
        <v>343</v>
      </c>
      <c r="F69" s="10" t="s">
        <v>343</v>
      </c>
      <c r="G69" s="10" t="s">
        <v>313</v>
      </c>
      <c r="H69" s="10" t="s">
        <v>313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 ht="15.75" x14ac:dyDescent="0.2">
      <c r="A70" s="8">
        <v>69</v>
      </c>
      <c r="B70" s="23" t="s">
        <v>285</v>
      </c>
      <c r="C70" s="7" t="s">
        <v>153</v>
      </c>
      <c r="D70" s="10" t="s">
        <v>319</v>
      </c>
      <c r="E70" s="10" t="s">
        <v>343</v>
      </c>
      <c r="F70" s="10" t="s">
        <v>343</v>
      </c>
      <c r="G70" s="10" t="s">
        <v>348</v>
      </c>
      <c r="H70" s="10" t="s">
        <v>313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 ht="15.75" x14ac:dyDescent="0.2">
      <c r="A71" s="8">
        <v>70</v>
      </c>
      <c r="B71" s="23" t="s">
        <v>286</v>
      </c>
      <c r="C71" s="7" t="s">
        <v>154</v>
      </c>
      <c r="D71" s="10" t="s">
        <v>347</v>
      </c>
      <c r="E71" s="10" t="s">
        <v>346</v>
      </c>
      <c r="F71" s="10" t="s">
        <v>346</v>
      </c>
      <c r="G71" s="10" t="s">
        <v>322</v>
      </c>
      <c r="H71" s="10" t="s">
        <v>313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 ht="15.75" x14ac:dyDescent="0.2">
      <c r="A72" s="8">
        <v>71</v>
      </c>
      <c r="B72" s="23" t="s">
        <v>287</v>
      </c>
      <c r="C72" s="7" t="s">
        <v>0</v>
      </c>
      <c r="D72" s="10" t="s">
        <v>322</v>
      </c>
      <c r="E72" s="10" t="s">
        <v>349</v>
      </c>
      <c r="F72" s="10" t="s">
        <v>350</v>
      </c>
      <c r="G72" s="10" t="s">
        <v>313</v>
      </c>
      <c r="H72" s="10" t="s">
        <v>313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 ht="15.75" x14ac:dyDescent="0.2">
      <c r="A73" s="8">
        <v>72</v>
      </c>
      <c r="B73" s="23" t="s">
        <v>288</v>
      </c>
      <c r="C73" s="7" t="s">
        <v>155</v>
      </c>
      <c r="D73" s="10" t="s">
        <v>322</v>
      </c>
      <c r="E73" s="10" t="s">
        <v>346</v>
      </c>
      <c r="F73" s="10" t="s">
        <v>346</v>
      </c>
      <c r="G73" s="10" t="s">
        <v>347</v>
      </c>
      <c r="H73" s="10" t="s">
        <v>313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 ht="15.75" x14ac:dyDescent="0.2">
      <c r="A74" s="8">
        <v>73</v>
      </c>
      <c r="B74" s="23" t="s">
        <v>289</v>
      </c>
      <c r="C74" s="7" t="s">
        <v>156</v>
      </c>
      <c r="D74" s="10" t="s">
        <v>323</v>
      </c>
      <c r="E74" s="10" t="s">
        <v>322</v>
      </c>
      <c r="F74" s="10" t="s">
        <v>322</v>
      </c>
      <c r="G74" s="10" t="s">
        <v>319</v>
      </c>
      <c r="H74" s="10" t="s">
        <v>313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 ht="15.75" x14ac:dyDescent="0.2">
      <c r="A75" s="8">
        <v>74</v>
      </c>
      <c r="B75" s="23" t="s">
        <v>290</v>
      </c>
      <c r="C75" s="7" t="s">
        <v>157</v>
      </c>
      <c r="D75" s="10" t="s">
        <v>313</v>
      </c>
      <c r="E75" s="10" t="s">
        <v>351</v>
      </c>
      <c r="F75" s="10" t="s">
        <v>313</v>
      </c>
      <c r="G75" s="10" t="s">
        <v>313</v>
      </c>
      <c r="H75" s="10" t="s">
        <v>313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 ht="15.75" x14ac:dyDescent="0.2">
      <c r="A76" s="8">
        <v>75</v>
      </c>
      <c r="B76" s="23" t="s">
        <v>291</v>
      </c>
      <c r="C76" s="7" t="s">
        <v>158</v>
      </c>
      <c r="D76" s="10" t="s">
        <v>313</v>
      </c>
      <c r="E76" s="10" t="s">
        <v>327</v>
      </c>
      <c r="F76" s="10" t="s">
        <v>351</v>
      </c>
      <c r="G76" s="10" t="s">
        <v>313</v>
      </c>
      <c r="H76" s="10" t="s">
        <v>313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 ht="15.75" x14ac:dyDescent="0.2">
      <c r="A77" s="8">
        <v>76</v>
      </c>
      <c r="B77" s="23" t="s">
        <v>292</v>
      </c>
      <c r="C77" s="7" t="s">
        <v>159</v>
      </c>
      <c r="D77" s="10" t="s">
        <v>323</v>
      </c>
      <c r="E77" s="10" t="s">
        <v>321</v>
      </c>
      <c r="F77" s="10" t="s">
        <v>352</v>
      </c>
      <c r="G77" s="10" t="s">
        <v>313</v>
      </c>
      <c r="H77" s="10" t="s">
        <v>313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 ht="15.75" x14ac:dyDescent="0.2">
      <c r="A78" s="8">
        <v>77</v>
      </c>
      <c r="B78" s="23" t="s">
        <v>293</v>
      </c>
      <c r="C78" s="7" t="s">
        <v>160</v>
      </c>
      <c r="D78" s="10" t="s">
        <v>323</v>
      </c>
      <c r="E78" s="10" t="s">
        <v>313</v>
      </c>
      <c r="F78" s="10" t="s">
        <v>313</v>
      </c>
      <c r="G78" s="10" t="s">
        <v>313</v>
      </c>
      <c r="H78" s="10" t="s">
        <v>313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 ht="15.75" x14ac:dyDescent="0.2">
      <c r="A79" s="8">
        <v>78</v>
      </c>
      <c r="B79" s="23" t="s">
        <v>294</v>
      </c>
      <c r="C79" s="7" t="s">
        <v>161</v>
      </c>
      <c r="D79" s="10" t="s">
        <v>319</v>
      </c>
      <c r="E79" s="10" t="s">
        <v>322</v>
      </c>
      <c r="F79" s="10" t="s">
        <v>321</v>
      </c>
      <c r="G79" s="10" t="s">
        <v>322</v>
      </c>
      <c r="H79" s="10" t="s">
        <v>319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 ht="15.75" x14ac:dyDescent="0.2">
      <c r="A80" s="8">
        <v>79</v>
      </c>
      <c r="B80" s="23" t="s">
        <v>295</v>
      </c>
      <c r="C80" s="7" t="s">
        <v>162</v>
      </c>
      <c r="D80" s="10" t="s">
        <v>319</v>
      </c>
      <c r="E80" s="10" t="s">
        <v>322</v>
      </c>
      <c r="F80" s="10" t="s">
        <v>322</v>
      </c>
      <c r="G80" s="10" t="s">
        <v>319</v>
      </c>
      <c r="H80" s="10" t="s">
        <v>313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 ht="15.75" x14ac:dyDescent="0.2">
      <c r="A81" s="8">
        <v>80</v>
      </c>
      <c r="B81" s="23" t="s">
        <v>296</v>
      </c>
      <c r="C81" s="7" t="s">
        <v>163</v>
      </c>
      <c r="D81" s="10" t="s">
        <v>319</v>
      </c>
      <c r="E81" s="10" t="s">
        <v>343</v>
      </c>
      <c r="F81" s="10" t="s">
        <v>343</v>
      </c>
      <c r="G81" s="10" t="s">
        <v>319</v>
      </c>
      <c r="H81" s="10" t="s">
        <v>313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 ht="15.75" x14ac:dyDescent="0.2">
      <c r="A82" s="8">
        <v>81</v>
      </c>
      <c r="B82" s="23" t="s">
        <v>297</v>
      </c>
      <c r="C82" s="7" t="s">
        <v>164</v>
      </c>
      <c r="D82" s="10" t="s">
        <v>353</v>
      </c>
      <c r="E82" s="10" t="s">
        <v>316</v>
      </c>
      <c r="F82" s="10" t="s">
        <v>316</v>
      </c>
      <c r="G82" s="10" t="s">
        <v>322</v>
      </c>
      <c r="H82" s="10" t="s">
        <v>313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 ht="15.75" x14ac:dyDescent="0.2">
      <c r="A83" s="8">
        <v>82</v>
      </c>
      <c r="B83" s="23" t="s">
        <v>298</v>
      </c>
      <c r="C83" s="7" t="s">
        <v>165</v>
      </c>
      <c r="D83" s="10" t="s">
        <v>322</v>
      </c>
      <c r="E83" s="10" t="s">
        <v>316</v>
      </c>
      <c r="F83" s="10" t="s">
        <v>316</v>
      </c>
      <c r="G83" s="10" t="s">
        <v>354</v>
      </c>
      <c r="H83" s="10" t="s">
        <v>313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 ht="15.75" x14ac:dyDescent="0.2">
      <c r="A84" s="8">
        <v>83</v>
      </c>
      <c r="B84" s="23" t="s">
        <v>299</v>
      </c>
      <c r="C84" s="7" t="s">
        <v>166</v>
      </c>
      <c r="D84" s="10" t="s">
        <v>319</v>
      </c>
      <c r="E84" s="10" t="s">
        <v>322</v>
      </c>
      <c r="F84" s="10" t="s">
        <v>322</v>
      </c>
      <c r="G84" s="10" t="s">
        <v>313</v>
      </c>
      <c r="H84" s="10" t="s">
        <v>313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 ht="15.75" x14ac:dyDescent="0.2">
      <c r="A85" s="8">
        <v>84</v>
      </c>
      <c r="B85" s="23" t="s">
        <v>300</v>
      </c>
      <c r="C85" s="7" t="s">
        <v>167</v>
      </c>
      <c r="D85" s="10" t="s">
        <v>322</v>
      </c>
      <c r="E85" s="10" t="s">
        <v>346</v>
      </c>
      <c r="F85" s="10" t="s">
        <v>346</v>
      </c>
      <c r="G85" s="10" t="s">
        <v>328</v>
      </c>
      <c r="H85" s="10" t="s">
        <v>313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 ht="15.75" x14ac:dyDescent="0.2">
      <c r="A86" s="8">
        <v>85</v>
      </c>
      <c r="B86" s="23" t="s">
        <v>301</v>
      </c>
      <c r="C86" s="7" t="s">
        <v>168</v>
      </c>
      <c r="D86" s="10" t="s">
        <v>322</v>
      </c>
      <c r="E86" s="10" t="s">
        <v>355</v>
      </c>
      <c r="F86" s="10" t="s">
        <v>343</v>
      </c>
      <c r="G86" s="10" t="s">
        <v>313</v>
      </c>
      <c r="H86" s="10" t="s">
        <v>313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 ht="15.75" x14ac:dyDescent="0.2">
      <c r="A87" s="8">
        <v>86</v>
      </c>
      <c r="B87" s="23" t="s">
        <v>302</v>
      </c>
      <c r="C87" s="7" t="s">
        <v>169</v>
      </c>
      <c r="D87" s="10" t="s">
        <v>319</v>
      </c>
      <c r="E87" s="10" t="s">
        <v>327</v>
      </c>
      <c r="F87" s="10" t="s">
        <v>327</v>
      </c>
      <c r="G87" s="10" t="s">
        <v>319</v>
      </c>
      <c r="H87" s="10" t="s">
        <v>313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 ht="15.75" x14ac:dyDescent="0.2">
      <c r="A88" s="8">
        <v>87</v>
      </c>
      <c r="B88" s="23" t="s">
        <v>303</v>
      </c>
      <c r="C88" s="7" t="s">
        <v>170</v>
      </c>
      <c r="D88" s="10" t="s">
        <v>319</v>
      </c>
      <c r="E88" s="10" t="s">
        <v>327</v>
      </c>
      <c r="F88" s="10" t="s">
        <v>319</v>
      </c>
      <c r="G88" s="10" t="s">
        <v>313</v>
      </c>
      <c r="H88" s="10" t="s">
        <v>313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 ht="15.75" x14ac:dyDescent="0.2">
      <c r="A89" s="8">
        <v>88</v>
      </c>
      <c r="B89" s="23" t="s">
        <v>304</v>
      </c>
      <c r="C89" s="7" t="s">
        <v>171</v>
      </c>
      <c r="D89" s="10" t="s">
        <v>319</v>
      </c>
      <c r="E89" s="10" t="s">
        <v>327</v>
      </c>
      <c r="F89" s="10" t="s">
        <v>328</v>
      </c>
      <c r="G89" s="10" t="s">
        <v>327</v>
      </c>
      <c r="H89" s="10" t="s">
        <v>319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 ht="15.75" x14ac:dyDescent="0.2">
      <c r="A90" s="8">
        <v>89</v>
      </c>
      <c r="B90" s="23" t="s">
        <v>305</v>
      </c>
      <c r="C90" s="7" t="s">
        <v>172</v>
      </c>
      <c r="D90" s="10" t="s">
        <v>352</v>
      </c>
      <c r="E90" s="10" t="s">
        <v>321</v>
      </c>
      <c r="F90" s="10" t="s">
        <v>321</v>
      </c>
      <c r="G90" s="10" t="s">
        <v>352</v>
      </c>
      <c r="H90" s="10" t="s">
        <v>313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 ht="15.75" x14ac:dyDescent="0.2">
      <c r="A91" s="8">
        <v>90</v>
      </c>
      <c r="B91" s="23" t="s">
        <v>306</v>
      </c>
      <c r="C91" s="7" t="s">
        <v>173</v>
      </c>
      <c r="D91" s="10" t="s">
        <v>322</v>
      </c>
      <c r="E91" s="10" t="s">
        <v>324</v>
      </c>
      <c r="F91" s="10" t="s">
        <v>324</v>
      </c>
      <c r="G91" s="10" t="s">
        <v>347</v>
      </c>
      <c r="H91" s="10" t="s">
        <v>313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 ht="15.75" x14ac:dyDescent="0.2">
      <c r="A92" s="8">
        <v>91</v>
      </c>
      <c r="B92" s="23" t="s">
        <v>307</v>
      </c>
      <c r="C92" s="7" t="s">
        <v>174</v>
      </c>
      <c r="D92" s="10" t="s">
        <v>320</v>
      </c>
      <c r="E92" s="10" t="s">
        <v>351</v>
      </c>
      <c r="F92" s="10" t="s">
        <v>355</v>
      </c>
      <c r="G92" s="10" t="s">
        <v>320</v>
      </c>
      <c r="H92" s="10" t="s">
        <v>313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 ht="15.75" x14ac:dyDescent="0.2">
      <c r="A93" s="8">
        <v>92</v>
      </c>
      <c r="B93" s="23" t="s">
        <v>308</v>
      </c>
      <c r="C93" s="7" t="s">
        <v>175</v>
      </c>
      <c r="D93" s="10" t="s">
        <v>322</v>
      </c>
      <c r="E93" s="10" t="s">
        <v>323</v>
      </c>
      <c r="F93" s="10" t="s">
        <v>325</v>
      </c>
      <c r="G93" s="10" t="s">
        <v>313</v>
      </c>
      <c r="H93" s="10" t="s">
        <v>313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 ht="15.75" x14ac:dyDescent="0.2">
      <c r="A94" s="8">
        <v>93</v>
      </c>
      <c r="B94" s="23" t="s">
        <v>309</v>
      </c>
      <c r="C94" s="7" t="s">
        <v>176</v>
      </c>
      <c r="D94" s="10" t="s">
        <v>313</v>
      </c>
      <c r="E94" s="10" t="s">
        <v>323</v>
      </c>
      <c r="F94" s="10" t="s">
        <v>313</v>
      </c>
      <c r="G94" s="10" t="s">
        <v>313</v>
      </c>
      <c r="H94" s="10" t="s">
        <v>313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 ht="15.75" x14ac:dyDescent="0.2">
      <c r="A95" s="8">
        <v>94</v>
      </c>
      <c r="B95" s="23" t="s">
        <v>310</v>
      </c>
      <c r="C95" s="7" t="s">
        <v>177</v>
      </c>
      <c r="D95" s="10" t="s">
        <v>313</v>
      </c>
      <c r="E95" s="10" t="s">
        <v>325</v>
      </c>
      <c r="F95" s="10" t="s">
        <v>323</v>
      </c>
      <c r="G95" s="10" t="s">
        <v>322</v>
      </c>
      <c r="H95" s="10" t="s">
        <v>313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 ht="15.75" x14ac:dyDescent="0.2">
      <c r="A96" s="8">
        <v>95</v>
      </c>
      <c r="B96" s="23" t="s">
        <v>311</v>
      </c>
      <c r="C96" s="7" t="s">
        <v>178</v>
      </c>
      <c r="D96" s="10" t="s">
        <v>322</v>
      </c>
      <c r="E96" s="10" t="s">
        <v>322</v>
      </c>
      <c r="F96" s="10" t="s">
        <v>321</v>
      </c>
      <c r="G96" s="10" t="s">
        <v>321</v>
      </c>
      <c r="H96" s="10" t="s">
        <v>313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2" ht="15.75" x14ac:dyDescent="0.2">
      <c r="A97" s="8"/>
      <c r="B97" s="23"/>
    </row>
    <row r="98" spans="1:2" x14ac:dyDescent="0.2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1771650</xdr:colOff>
                <xdr:row>0</xdr:row>
                <xdr:rowOff>723900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Logo64x64</vt:lpstr>
      <vt:lpstr>Font 6x7 </vt:lpstr>
      <vt:lpstr>Font 11x18</vt:lpstr>
      <vt:lpstr>Logo37x43</vt:lpstr>
      <vt:lpstr>Battery symbol</vt:lpstr>
      <vt:lpstr>Font7x10</vt:lpstr>
      <vt:lpstr>MainScreen</vt:lpstr>
      <vt:lpstr>Scrape</vt:lpstr>
      <vt:lpstr>Sheet2</vt:lpstr>
      <vt:lpstr>Font5x7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Rene</cp:lastModifiedBy>
  <dcterms:created xsi:type="dcterms:W3CDTF">2021-04-18T02:32:36Z</dcterms:created>
  <dcterms:modified xsi:type="dcterms:W3CDTF">2022-01-10T03:52:08Z</dcterms:modified>
</cp:coreProperties>
</file>