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MB Holland bv\Products\Reed machines\Software\Tip-profiler-V2\"/>
    </mc:Choice>
  </mc:AlternateContent>
  <xr:revisionPtr revIDLastSave="0" documentId="13_ncr:1_{B0D371B1-34BB-4AF4-A780-284CC65B836E}" xr6:coauthVersionLast="47" xr6:coauthVersionMax="47" xr10:uidLastSave="{00000000-0000-0000-0000-000000000000}"/>
  <bookViews>
    <workbookView xWindow="17895" yWindow="-11640" windowWidth="20730" windowHeight="11040" activeTab="2" xr2:uid="{DE670FE5-E262-4F8D-879E-7CCADBBF9E4E}"/>
  </bookViews>
  <sheets>
    <sheet name="Logo64x64" sheetId="5" r:id="rId1"/>
    <sheet name="Font 6x7 " sheetId="12" r:id="rId2"/>
    <sheet name="Font 6x10" sheetId="14" r:id="rId3"/>
    <sheet name="Font 11x18" sheetId="13" r:id="rId4"/>
    <sheet name="Logo37x43" sheetId="3" r:id="rId5"/>
    <sheet name="Battery symbol" sheetId="4" r:id="rId6"/>
    <sheet name="Font7x10" sheetId="7" r:id="rId7"/>
    <sheet name="MainScreen" sheetId="8" r:id="rId8"/>
    <sheet name="Scrape" sheetId="9" r:id="rId9"/>
    <sheet name="Sheet2" sheetId="10" r:id="rId10"/>
    <sheet name="Font5x7" sheetId="11" r:id="rId11"/>
  </sheets>
  <definedNames>
    <definedName name="_xlnm._FilterDatabase" localSheetId="2" hidden="1">'Font 6x10'!$Y$1:$Y$910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M55" i="4" l="1"/>
  <c r="DC55" i="4"/>
  <c r="CM56" i="4"/>
  <c r="DC56" i="4"/>
  <c r="CM57" i="4"/>
  <c r="DC57" i="4"/>
  <c r="CM58" i="4"/>
  <c r="DC58" i="4"/>
  <c r="CM59" i="4"/>
  <c r="DC59" i="4"/>
  <c r="CM60" i="4"/>
  <c r="DC60" i="4"/>
  <c r="CM61" i="4"/>
  <c r="DC61" i="4"/>
  <c r="CM62" i="4"/>
  <c r="DC62" i="4"/>
  <c r="M653" i="14"/>
  <c r="N653" i="14" s="1"/>
  <c r="M652" i="14"/>
  <c r="N652" i="14" s="1"/>
  <c r="N651" i="14"/>
  <c r="M651" i="14"/>
  <c r="M650" i="14"/>
  <c r="N650" i="14" s="1"/>
  <c r="N649" i="14"/>
  <c r="M649" i="14"/>
  <c r="M648" i="14"/>
  <c r="N648" i="14" s="1"/>
  <c r="M647" i="14"/>
  <c r="N647" i="14" s="1"/>
  <c r="M646" i="14"/>
  <c r="N646" i="14" s="1"/>
  <c r="N645" i="14"/>
  <c r="M645" i="14"/>
  <c r="N644" i="14"/>
  <c r="M644" i="14"/>
  <c r="C644" i="14"/>
  <c r="M643" i="14"/>
  <c r="N643" i="14" s="1"/>
  <c r="M642" i="14"/>
  <c r="N642" i="14" s="1"/>
  <c r="M641" i="14"/>
  <c r="N641" i="14" s="1"/>
  <c r="N640" i="14"/>
  <c r="M640" i="14"/>
  <c r="M639" i="14"/>
  <c r="N639" i="14" s="1"/>
  <c r="N638" i="14"/>
  <c r="M638" i="14"/>
  <c r="M637" i="14"/>
  <c r="N637" i="14" s="1"/>
  <c r="M636" i="14"/>
  <c r="N636" i="14" s="1"/>
  <c r="M635" i="14"/>
  <c r="N635" i="14" s="1"/>
  <c r="M634" i="14"/>
  <c r="N634" i="14" s="1"/>
  <c r="C634" i="14"/>
  <c r="M633" i="14"/>
  <c r="N633" i="14" s="1"/>
  <c r="M632" i="14"/>
  <c r="N632" i="14" s="1"/>
  <c r="M631" i="14"/>
  <c r="N631" i="14" s="1"/>
  <c r="N630" i="14"/>
  <c r="M630" i="14"/>
  <c r="M629" i="14"/>
  <c r="N629" i="14" s="1"/>
  <c r="M628" i="14"/>
  <c r="N628" i="14" s="1"/>
  <c r="M627" i="14"/>
  <c r="N627" i="14" s="1"/>
  <c r="M626" i="14"/>
  <c r="N626" i="14" s="1"/>
  <c r="M625" i="14"/>
  <c r="N625" i="14" s="1"/>
  <c r="M624" i="14"/>
  <c r="N624" i="14" s="1"/>
  <c r="C624" i="14"/>
  <c r="M623" i="14"/>
  <c r="N623" i="14" s="1"/>
  <c r="M622" i="14"/>
  <c r="N622" i="14" s="1"/>
  <c r="M621" i="14"/>
  <c r="N621" i="14" s="1"/>
  <c r="M620" i="14"/>
  <c r="N620" i="14" s="1"/>
  <c r="M619" i="14"/>
  <c r="N619" i="14" s="1"/>
  <c r="M618" i="14"/>
  <c r="N618" i="14" s="1"/>
  <c r="M617" i="14"/>
  <c r="N617" i="14" s="1"/>
  <c r="M616" i="14"/>
  <c r="N616" i="14" s="1"/>
  <c r="M615" i="14"/>
  <c r="N615" i="14" s="1"/>
  <c r="M614" i="14"/>
  <c r="N614" i="14" s="1"/>
  <c r="C614" i="14"/>
  <c r="M555" i="14"/>
  <c r="N555" i="14" s="1"/>
  <c r="M556" i="14"/>
  <c r="N556" i="14" s="1"/>
  <c r="M557" i="14"/>
  <c r="N557" i="14" s="1"/>
  <c r="M558" i="14"/>
  <c r="N558" i="14" s="1"/>
  <c r="M559" i="14"/>
  <c r="N559" i="14" s="1"/>
  <c r="M560" i="14"/>
  <c r="N560" i="14" s="1"/>
  <c r="M561" i="14"/>
  <c r="N561" i="14" s="1"/>
  <c r="M562" i="14"/>
  <c r="N562" i="14" s="1"/>
  <c r="M563" i="14"/>
  <c r="N563" i="14" s="1"/>
  <c r="M564" i="14"/>
  <c r="N564" i="14" s="1"/>
  <c r="M565" i="14"/>
  <c r="N565" i="14" s="1"/>
  <c r="M566" i="14"/>
  <c r="N566" i="14" s="1"/>
  <c r="M567" i="14"/>
  <c r="N567" i="14" s="1"/>
  <c r="M568" i="14"/>
  <c r="N568" i="14"/>
  <c r="M569" i="14"/>
  <c r="N569" i="14" s="1"/>
  <c r="M570" i="14"/>
  <c r="N570" i="14" s="1"/>
  <c r="M571" i="14"/>
  <c r="N571" i="14" s="1"/>
  <c r="M572" i="14"/>
  <c r="N572" i="14"/>
  <c r="M573" i="14"/>
  <c r="N573" i="14" s="1"/>
  <c r="P634" i="14" l="1"/>
  <c r="P644" i="14"/>
  <c r="P624" i="14"/>
  <c r="P614" i="14"/>
  <c r="P564" i="14"/>
  <c r="M323" i="14"/>
  <c r="N323" i="14" s="1"/>
  <c r="M322" i="14"/>
  <c r="N322" i="14" s="1"/>
  <c r="M321" i="14"/>
  <c r="N321" i="14" s="1"/>
  <c r="M320" i="14"/>
  <c r="N320" i="14" s="1"/>
  <c r="M319" i="14"/>
  <c r="N319" i="14" s="1"/>
  <c r="M318" i="14"/>
  <c r="N318" i="14" s="1"/>
  <c r="M317" i="14"/>
  <c r="N317" i="14" s="1"/>
  <c r="M316" i="14"/>
  <c r="N316" i="14" s="1"/>
  <c r="M315" i="14"/>
  <c r="N315" i="14" s="1"/>
  <c r="M314" i="14"/>
  <c r="N314" i="14" s="1"/>
  <c r="C314" i="14"/>
  <c r="M5" i="14"/>
  <c r="N5" i="14" s="1"/>
  <c r="M6" i="14"/>
  <c r="M7" i="14"/>
  <c r="M8" i="14"/>
  <c r="M9" i="14"/>
  <c r="N9" i="14" s="1"/>
  <c r="M10" i="14"/>
  <c r="N10" i="14" s="1"/>
  <c r="M11" i="14"/>
  <c r="N11" i="14" s="1"/>
  <c r="M12" i="14"/>
  <c r="N12" i="14" s="1"/>
  <c r="M13" i="14"/>
  <c r="M14" i="14"/>
  <c r="N14" i="14" s="1"/>
  <c r="M15" i="14"/>
  <c r="N15" i="14" s="1"/>
  <c r="M16" i="14"/>
  <c r="N16" i="14" s="1"/>
  <c r="M17" i="14"/>
  <c r="M18" i="14"/>
  <c r="M19" i="14"/>
  <c r="M20" i="14"/>
  <c r="M21" i="14"/>
  <c r="N21" i="14" s="1"/>
  <c r="M22" i="14"/>
  <c r="N22" i="14" s="1"/>
  <c r="M23" i="14"/>
  <c r="N23" i="14" s="1"/>
  <c r="M24" i="14"/>
  <c r="N24" i="14" s="1"/>
  <c r="M25" i="14"/>
  <c r="M26" i="14"/>
  <c r="N26" i="14" s="1"/>
  <c r="M27" i="14"/>
  <c r="N27" i="14" s="1"/>
  <c r="M28" i="14"/>
  <c r="N28" i="14" s="1"/>
  <c r="M29" i="14"/>
  <c r="M30" i="14"/>
  <c r="M31" i="14"/>
  <c r="M32" i="14"/>
  <c r="M33" i="14"/>
  <c r="N33" i="14" s="1"/>
  <c r="M34" i="14"/>
  <c r="N34" i="14" s="1"/>
  <c r="M35" i="14"/>
  <c r="N35" i="14" s="1"/>
  <c r="M36" i="14"/>
  <c r="N36" i="14" s="1"/>
  <c r="M37" i="14"/>
  <c r="M38" i="14"/>
  <c r="N38" i="14" s="1"/>
  <c r="M39" i="14"/>
  <c r="N39" i="14" s="1"/>
  <c r="M40" i="14"/>
  <c r="N40" i="14" s="1"/>
  <c r="M41" i="14"/>
  <c r="M42" i="14"/>
  <c r="M43" i="14"/>
  <c r="M44" i="14"/>
  <c r="M45" i="14"/>
  <c r="N45" i="14" s="1"/>
  <c r="M46" i="14"/>
  <c r="N46" i="14" s="1"/>
  <c r="M47" i="14"/>
  <c r="N47" i="14" s="1"/>
  <c r="M48" i="14"/>
  <c r="N48" i="14" s="1"/>
  <c r="M49" i="14"/>
  <c r="M50" i="14"/>
  <c r="N50" i="14" s="1"/>
  <c r="M51" i="14"/>
  <c r="M52" i="14"/>
  <c r="N52" i="14" s="1"/>
  <c r="M53" i="14"/>
  <c r="N53" i="14" s="1"/>
  <c r="M54" i="14"/>
  <c r="M55" i="14"/>
  <c r="M56" i="14"/>
  <c r="M57" i="14"/>
  <c r="N57" i="14" s="1"/>
  <c r="M58" i="14"/>
  <c r="N58" i="14" s="1"/>
  <c r="M59" i="14"/>
  <c r="N59" i="14" s="1"/>
  <c r="M60" i="14"/>
  <c r="N60" i="14" s="1"/>
  <c r="M61" i="14"/>
  <c r="M62" i="14"/>
  <c r="N62" i="14" s="1"/>
  <c r="M63" i="14"/>
  <c r="N63" i="14" s="1"/>
  <c r="M64" i="14"/>
  <c r="N64" i="14" s="1"/>
  <c r="M65" i="14"/>
  <c r="M66" i="14"/>
  <c r="M67" i="14"/>
  <c r="M68" i="14"/>
  <c r="M69" i="14"/>
  <c r="N69" i="14" s="1"/>
  <c r="M70" i="14"/>
  <c r="M71" i="14"/>
  <c r="N71" i="14" s="1"/>
  <c r="M72" i="14"/>
  <c r="N72" i="14" s="1"/>
  <c r="M73" i="14"/>
  <c r="M74" i="14"/>
  <c r="N74" i="14" s="1"/>
  <c r="M75" i="14"/>
  <c r="N75" i="14" s="1"/>
  <c r="M76" i="14"/>
  <c r="N76" i="14" s="1"/>
  <c r="M77" i="14"/>
  <c r="M78" i="14"/>
  <c r="N78" i="14" s="1"/>
  <c r="M79" i="14"/>
  <c r="M80" i="14"/>
  <c r="N80" i="14" s="1"/>
  <c r="M81" i="14"/>
  <c r="N81" i="14" s="1"/>
  <c r="M82" i="14"/>
  <c r="N82" i="14" s="1"/>
  <c r="M83" i="14"/>
  <c r="N83" i="14" s="1"/>
  <c r="M84" i="14"/>
  <c r="N84" i="14" s="1"/>
  <c r="M85" i="14"/>
  <c r="M86" i="14"/>
  <c r="N86" i="14" s="1"/>
  <c r="M87" i="14"/>
  <c r="N87" i="14" s="1"/>
  <c r="M88" i="14"/>
  <c r="N88" i="14" s="1"/>
  <c r="M89" i="14"/>
  <c r="M90" i="14"/>
  <c r="M91" i="14"/>
  <c r="M92" i="14"/>
  <c r="M93" i="14"/>
  <c r="N93" i="14" s="1"/>
  <c r="M94" i="14"/>
  <c r="N94" i="14" s="1"/>
  <c r="M95" i="14"/>
  <c r="N95" i="14" s="1"/>
  <c r="M96" i="14"/>
  <c r="N96" i="14" s="1"/>
  <c r="M97" i="14"/>
  <c r="M98" i="14"/>
  <c r="N98" i="14" s="1"/>
  <c r="M99" i="14"/>
  <c r="N99" i="14" s="1"/>
  <c r="M100" i="14"/>
  <c r="N100" i="14" s="1"/>
  <c r="M101" i="14"/>
  <c r="N101" i="14" s="1"/>
  <c r="M102" i="14"/>
  <c r="M103" i="14"/>
  <c r="M104" i="14"/>
  <c r="M105" i="14"/>
  <c r="M106" i="14"/>
  <c r="N106" i="14" s="1"/>
  <c r="M107" i="14"/>
  <c r="N107" i="14" s="1"/>
  <c r="M108" i="14"/>
  <c r="N108" i="14" s="1"/>
  <c r="M109" i="14"/>
  <c r="M110" i="14"/>
  <c r="N110" i="14" s="1"/>
  <c r="M111" i="14"/>
  <c r="N111" i="14" s="1"/>
  <c r="M112" i="14"/>
  <c r="N112" i="14" s="1"/>
  <c r="M113" i="14"/>
  <c r="M114" i="14"/>
  <c r="M115" i="14"/>
  <c r="M116" i="14"/>
  <c r="M117" i="14"/>
  <c r="N117" i="14" s="1"/>
  <c r="M118" i="14"/>
  <c r="N118" i="14" s="1"/>
  <c r="M119" i="14"/>
  <c r="N119" i="14" s="1"/>
  <c r="M120" i="14"/>
  <c r="N120" i="14" s="1"/>
  <c r="M121" i="14"/>
  <c r="M122" i="14"/>
  <c r="N122" i="14" s="1"/>
  <c r="M123" i="14"/>
  <c r="N123" i="14" s="1"/>
  <c r="M124" i="14"/>
  <c r="N124" i="14" s="1"/>
  <c r="M125" i="14"/>
  <c r="M126" i="14"/>
  <c r="M127" i="14"/>
  <c r="M128" i="14"/>
  <c r="M129" i="14"/>
  <c r="M130" i="14"/>
  <c r="N130" i="14" s="1"/>
  <c r="M131" i="14"/>
  <c r="M132" i="14"/>
  <c r="N132" i="14" s="1"/>
  <c r="M133" i="14"/>
  <c r="M134" i="14"/>
  <c r="N134" i="14" s="1"/>
  <c r="M135" i="14"/>
  <c r="N135" i="14" s="1"/>
  <c r="M136" i="14"/>
  <c r="N136" i="14" s="1"/>
  <c r="M137" i="14"/>
  <c r="N137" i="14" s="1"/>
  <c r="M138" i="14"/>
  <c r="N138" i="14" s="1"/>
  <c r="M139" i="14"/>
  <c r="M140" i="14"/>
  <c r="M141" i="14"/>
  <c r="N141" i="14" s="1"/>
  <c r="M142" i="14"/>
  <c r="N142" i="14" s="1"/>
  <c r="M143" i="14"/>
  <c r="N143" i="14" s="1"/>
  <c r="M144" i="14"/>
  <c r="N144" i="14" s="1"/>
  <c r="M145" i="14"/>
  <c r="M146" i="14"/>
  <c r="N146" i="14" s="1"/>
  <c r="M147" i="14"/>
  <c r="N147" i="14" s="1"/>
  <c r="M148" i="14"/>
  <c r="N148" i="14" s="1"/>
  <c r="M149" i="14"/>
  <c r="M150" i="14"/>
  <c r="M151" i="14"/>
  <c r="M152" i="14"/>
  <c r="M153" i="14"/>
  <c r="N153" i="14" s="1"/>
  <c r="M154" i="14"/>
  <c r="M155" i="14"/>
  <c r="N155" i="14" s="1"/>
  <c r="M156" i="14"/>
  <c r="N156" i="14" s="1"/>
  <c r="M157" i="14"/>
  <c r="M158" i="14"/>
  <c r="N158" i="14" s="1"/>
  <c r="M159" i="14"/>
  <c r="N159" i="14" s="1"/>
  <c r="M160" i="14"/>
  <c r="N160" i="14" s="1"/>
  <c r="M161" i="14"/>
  <c r="M162" i="14"/>
  <c r="M163" i="14"/>
  <c r="M164" i="14"/>
  <c r="M165" i="14"/>
  <c r="M166" i="14"/>
  <c r="M167" i="14"/>
  <c r="N167" i="14" s="1"/>
  <c r="M168" i="14"/>
  <c r="N168" i="14" s="1"/>
  <c r="M169" i="14"/>
  <c r="M170" i="14"/>
  <c r="N170" i="14" s="1"/>
  <c r="M171" i="14"/>
  <c r="N171" i="14" s="1"/>
  <c r="M172" i="14"/>
  <c r="N172" i="14" s="1"/>
  <c r="M173" i="14"/>
  <c r="M174" i="14"/>
  <c r="M175" i="14"/>
  <c r="M176" i="14"/>
  <c r="M177" i="14"/>
  <c r="N177" i="14" s="1"/>
  <c r="M178" i="14"/>
  <c r="N178" i="14" s="1"/>
  <c r="M179" i="14"/>
  <c r="N179" i="14" s="1"/>
  <c r="M180" i="14"/>
  <c r="N180" i="14" s="1"/>
  <c r="M181" i="14"/>
  <c r="M182" i="14"/>
  <c r="N182" i="14" s="1"/>
  <c r="M183" i="14"/>
  <c r="N183" i="14" s="1"/>
  <c r="M184" i="14"/>
  <c r="N184" i="14" s="1"/>
  <c r="M185" i="14"/>
  <c r="M186" i="14"/>
  <c r="M187" i="14"/>
  <c r="M188" i="14"/>
  <c r="M189" i="14"/>
  <c r="N189" i="14" s="1"/>
  <c r="M190" i="14"/>
  <c r="M191" i="14"/>
  <c r="N191" i="14" s="1"/>
  <c r="M192" i="14"/>
  <c r="N192" i="14" s="1"/>
  <c r="M193" i="14"/>
  <c r="M194" i="14"/>
  <c r="N194" i="14" s="1"/>
  <c r="M195" i="14"/>
  <c r="N195" i="14" s="1"/>
  <c r="M196" i="14"/>
  <c r="N196" i="14" s="1"/>
  <c r="M197" i="14"/>
  <c r="M198" i="14"/>
  <c r="M199" i="14"/>
  <c r="M200" i="14"/>
  <c r="M201" i="14"/>
  <c r="N201" i="14" s="1"/>
  <c r="M202" i="14"/>
  <c r="N202" i="14" s="1"/>
  <c r="M203" i="14"/>
  <c r="N203" i="14" s="1"/>
  <c r="M204" i="14"/>
  <c r="N204" i="14" s="1"/>
  <c r="M205" i="14"/>
  <c r="M206" i="14"/>
  <c r="N206" i="14" s="1"/>
  <c r="M207" i="14"/>
  <c r="N207" i="14" s="1"/>
  <c r="M208" i="14"/>
  <c r="N208" i="14" s="1"/>
  <c r="M209" i="14"/>
  <c r="M210" i="14"/>
  <c r="M211" i="14"/>
  <c r="M212" i="14"/>
  <c r="M213" i="14"/>
  <c r="N213" i="14" s="1"/>
  <c r="M214" i="14"/>
  <c r="M215" i="14"/>
  <c r="N215" i="14" s="1"/>
  <c r="M216" i="14"/>
  <c r="M217" i="14"/>
  <c r="M218" i="14"/>
  <c r="N218" i="14" s="1"/>
  <c r="M219" i="14"/>
  <c r="N219" i="14" s="1"/>
  <c r="M220" i="14"/>
  <c r="N220" i="14" s="1"/>
  <c r="M221" i="14"/>
  <c r="M222" i="14"/>
  <c r="M223" i="14"/>
  <c r="M224" i="14"/>
  <c r="M225" i="14"/>
  <c r="N225" i="14" s="1"/>
  <c r="M226" i="14"/>
  <c r="N226" i="14" s="1"/>
  <c r="M227" i="14"/>
  <c r="M228" i="14"/>
  <c r="N228" i="14" s="1"/>
  <c r="M229" i="14"/>
  <c r="M230" i="14"/>
  <c r="N230" i="14" s="1"/>
  <c r="M231" i="14"/>
  <c r="N231" i="14" s="1"/>
  <c r="M232" i="14"/>
  <c r="N232" i="14" s="1"/>
  <c r="M233" i="14"/>
  <c r="M234" i="14"/>
  <c r="M235" i="14"/>
  <c r="M236" i="14"/>
  <c r="M237" i="14"/>
  <c r="N237" i="14" s="1"/>
  <c r="M238" i="14"/>
  <c r="M239" i="14"/>
  <c r="N239" i="14" s="1"/>
  <c r="M240" i="14"/>
  <c r="N240" i="14" s="1"/>
  <c r="M241" i="14"/>
  <c r="M242" i="14"/>
  <c r="N242" i="14" s="1"/>
  <c r="M243" i="14"/>
  <c r="N243" i="14" s="1"/>
  <c r="M244" i="14"/>
  <c r="N244" i="14" s="1"/>
  <c r="M245" i="14"/>
  <c r="M246" i="14"/>
  <c r="M247" i="14"/>
  <c r="M248" i="14"/>
  <c r="M249" i="14"/>
  <c r="N249" i="14" s="1"/>
  <c r="M250" i="14"/>
  <c r="N250" i="14" s="1"/>
  <c r="M251" i="14"/>
  <c r="N251" i="14" s="1"/>
  <c r="M252" i="14"/>
  <c r="N252" i="14" s="1"/>
  <c r="M253" i="14"/>
  <c r="M254" i="14"/>
  <c r="N254" i="14" s="1"/>
  <c r="M255" i="14"/>
  <c r="N255" i="14" s="1"/>
  <c r="M256" i="14"/>
  <c r="N256" i="14" s="1"/>
  <c r="M257" i="14"/>
  <c r="N257" i="14" s="1"/>
  <c r="M258" i="14"/>
  <c r="M259" i="14"/>
  <c r="M260" i="14"/>
  <c r="M261" i="14"/>
  <c r="M262" i="14"/>
  <c r="M263" i="14"/>
  <c r="N263" i="14" s="1"/>
  <c r="M264" i="14"/>
  <c r="N264" i="14" s="1"/>
  <c r="M265" i="14"/>
  <c r="M266" i="14"/>
  <c r="N266" i="14" s="1"/>
  <c r="M267" i="14"/>
  <c r="N267" i="14" s="1"/>
  <c r="M268" i="14"/>
  <c r="N268" i="14" s="1"/>
  <c r="M269" i="14"/>
  <c r="M270" i="14"/>
  <c r="M271" i="14"/>
  <c r="M272" i="14"/>
  <c r="M273" i="14"/>
  <c r="N273" i="14" s="1"/>
  <c r="M274" i="14"/>
  <c r="N274" i="14" s="1"/>
  <c r="M275" i="14"/>
  <c r="N275" i="14" s="1"/>
  <c r="M276" i="14"/>
  <c r="N276" i="14" s="1"/>
  <c r="M277" i="14"/>
  <c r="M278" i="14"/>
  <c r="N278" i="14" s="1"/>
  <c r="M279" i="14"/>
  <c r="N279" i="14" s="1"/>
  <c r="M280" i="14"/>
  <c r="N280" i="14" s="1"/>
  <c r="M281" i="14"/>
  <c r="N281" i="14" s="1"/>
  <c r="M282" i="14"/>
  <c r="M283" i="14"/>
  <c r="M284" i="14"/>
  <c r="M285" i="14"/>
  <c r="N285" i="14" s="1"/>
  <c r="M286" i="14"/>
  <c r="M287" i="14"/>
  <c r="N287" i="14" s="1"/>
  <c r="M288" i="14"/>
  <c r="N288" i="14" s="1"/>
  <c r="M289" i="14"/>
  <c r="M290" i="14"/>
  <c r="N290" i="14" s="1"/>
  <c r="M291" i="14"/>
  <c r="N291" i="14" s="1"/>
  <c r="M292" i="14"/>
  <c r="N292" i="14" s="1"/>
  <c r="M293" i="14"/>
  <c r="N293" i="14" s="1"/>
  <c r="M294" i="14"/>
  <c r="M295" i="14"/>
  <c r="M296" i="14"/>
  <c r="M297" i="14"/>
  <c r="M298" i="14"/>
  <c r="M299" i="14"/>
  <c r="N299" i="14" s="1"/>
  <c r="M300" i="14"/>
  <c r="N300" i="14" s="1"/>
  <c r="M301" i="14"/>
  <c r="M302" i="14"/>
  <c r="N302" i="14" s="1"/>
  <c r="M303" i="14"/>
  <c r="N303" i="14" s="1"/>
  <c r="M304" i="14"/>
  <c r="N304" i="14" s="1"/>
  <c r="M305" i="14"/>
  <c r="M306" i="14"/>
  <c r="M307" i="14"/>
  <c r="M308" i="14"/>
  <c r="M309" i="14"/>
  <c r="N309" i="14" s="1"/>
  <c r="M310" i="14"/>
  <c r="N310" i="14" s="1"/>
  <c r="M311" i="14"/>
  <c r="N311" i="14" s="1"/>
  <c r="M312" i="14"/>
  <c r="N312" i="14" s="1"/>
  <c r="M313" i="14"/>
  <c r="M324" i="14"/>
  <c r="N324" i="14" s="1"/>
  <c r="M325" i="14"/>
  <c r="N325" i="14" s="1"/>
  <c r="M326" i="14"/>
  <c r="N326" i="14" s="1"/>
  <c r="M327" i="14"/>
  <c r="M328" i="14"/>
  <c r="M329" i="14"/>
  <c r="M330" i="14"/>
  <c r="M331" i="14"/>
  <c r="N331" i="14" s="1"/>
  <c r="M332" i="14"/>
  <c r="N332" i="14" s="1"/>
  <c r="M333" i="14"/>
  <c r="N333" i="14" s="1"/>
  <c r="M334" i="14"/>
  <c r="N334" i="14" s="1"/>
  <c r="M335" i="14"/>
  <c r="M336" i="14"/>
  <c r="N336" i="14" s="1"/>
  <c r="M337" i="14"/>
  <c r="N337" i="14" s="1"/>
  <c r="M338" i="14"/>
  <c r="N338" i="14" s="1"/>
  <c r="M339" i="14"/>
  <c r="M340" i="14"/>
  <c r="M341" i="14"/>
  <c r="M342" i="14"/>
  <c r="M343" i="14"/>
  <c r="N343" i="14" s="1"/>
  <c r="M344" i="14"/>
  <c r="M345" i="14"/>
  <c r="N345" i="14" s="1"/>
  <c r="M346" i="14"/>
  <c r="N346" i="14" s="1"/>
  <c r="M347" i="14"/>
  <c r="M348" i="14"/>
  <c r="N348" i="14" s="1"/>
  <c r="M349" i="14"/>
  <c r="N349" i="14" s="1"/>
  <c r="M350" i="14"/>
  <c r="N350" i="14" s="1"/>
  <c r="M351" i="14"/>
  <c r="N351" i="14" s="1"/>
  <c r="M352" i="14"/>
  <c r="M353" i="14"/>
  <c r="M354" i="14"/>
  <c r="M355" i="14"/>
  <c r="N355" i="14" s="1"/>
  <c r="M356" i="14"/>
  <c r="M357" i="14"/>
  <c r="N357" i="14" s="1"/>
  <c r="M358" i="14"/>
  <c r="N358" i="14" s="1"/>
  <c r="M359" i="14"/>
  <c r="M360" i="14"/>
  <c r="N360" i="14" s="1"/>
  <c r="M361" i="14"/>
  <c r="N361" i="14" s="1"/>
  <c r="M362" i="14"/>
  <c r="N362" i="14" s="1"/>
  <c r="M363" i="14"/>
  <c r="M364" i="14"/>
  <c r="M365" i="14"/>
  <c r="M366" i="14"/>
  <c r="M367" i="14"/>
  <c r="N367" i="14" s="1"/>
  <c r="M368" i="14"/>
  <c r="N368" i="14" s="1"/>
  <c r="M369" i="14"/>
  <c r="N369" i="14" s="1"/>
  <c r="M370" i="14"/>
  <c r="N370" i="14" s="1"/>
  <c r="M371" i="14"/>
  <c r="M372" i="14"/>
  <c r="N372" i="14" s="1"/>
  <c r="M373" i="14"/>
  <c r="N373" i="14" s="1"/>
  <c r="M374" i="14"/>
  <c r="N374" i="14" s="1"/>
  <c r="M375" i="14"/>
  <c r="M376" i="14"/>
  <c r="M377" i="14"/>
  <c r="M378" i="14"/>
  <c r="M379" i="14"/>
  <c r="M380" i="14"/>
  <c r="N380" i="14" s="1"/>
  <c r="M381" i="14"/>
  <c r="N381" i="14" s="1"/>
  <c r="M382" i="14"/>
  <c r="N382" i="14" s="1"/>
  <c r="M383" i="14"/>
  <c r="M384" i="14"/>
  <c r="N384" i="14" s="1"/>
  <c r="M385" i="14"/>
  <c r="N385" i="14" s="1"/>
  <c r="M386" i="14"/>
  <c r="N386" i="14" s="1"/>
  <c r="M387" i="14"/>
  <c r="M388" i="14"/>
  <c r="M389" i="14"/>
  <c r="M390" i="14"/>
  <c r="M391" i="14"/>
  <c r="N391" i="14" s="1"/>
  <c r="M392" i="14"/>
  <c r="N392" i="14" s="1"/>
  <c r="M393" i="14"/>
  <c r="N393" i="14" s="1"/>
  <c r="M394" i="14"/>
  <c r="N394" i="14" s="1"/>
  <c r="M395" i="14"/>
  <c r="M396" i="14"/>
  <c r="N396" i="14" s="1"/>
  <c r="M397" i="14"/>
  <c r="N397" i="14" s="1"/>
  <c r="M398" i="14"/>
  <c r="N398" i="14" s="1"/>
  <c r="M399" i="14"/>
  <c r="N399" i="14" s="1"/>
  <c r="M400" i="14"/>
  <c r="M401" i="14"/>
  <c r="M402" i="14"/>
  <c r="M403" i="14"/>
  <c r="N403" i="14" s="1"/>
  <c r="M404" i="14"/>
  <c r="N404" i="14" s="1"/>
  <c r="M405" i="14"/>
  <c r="N405" i="14" s="1"/>
  <c r="M406" i="14"/>
  <c r="N406" i="14" s="1"/>
  <c r="M407" i="14"/>
  <c r="M408" i="14"/>
  <c r="N408" i="14" s="1"/>
  <c r="M409" i="14"/>
  <c r="N409" i="14" s="1"/>
  <c r="M410" i="14"/>
  <c r="N410" i="14" s="1"/>
  <c r="M411" i="14"/>
  <c r="M412" i="14"/>
  <c r="M413" i="14"/>
  <c r="M414" i="14"/>
  <c r="M415" i="14"/>
  <c r="N415" i="14" s="1"/>
  <c r="M416" i="14"/>
  <c r="N416" i="14" s="1"/>
  <c r="M417" i="14"/>
  <c r="N417" i="14" s="1"/>
  <c r="M418" i="14"/>
  <c r="N418" i="14" s="1"/>
  <c r="M419" i="14"/>
  <c r="M420" i="14"/>
  <c r="N420" i="14" s="1"/>
  <c r="M421" i="14"/>
  <c r="N421" i="14" s="1"/>
  <c r="M422" i="14"/>
  <c r="N422" i="14" s="1"/>
  <c r="M423" i="14"/>
  <c r="M424" i="14"/>
  <c r="M425" i="14"/>
  <c r="M426" i="14"/>
  <c r="M427" i="14"/>
  <c r="N427" i="14" s="1"/>
  <c r="M428" i="14"/>
  <c r="M429" i="14"/>
  <c r="N429" i="14" s="1"/>
  <c r="M430" i="14"/>
  <c r="N430" i="14" s="1"/>
  <c r="M431" i="14"/>
  <c r="M432" i="14"/>
  <c r="N432" i="14" s="1"/>
  <c r="M433" i="14"/>
  <c r="N433" i="14" s="1"/>
  <c r="M434" i="14"/>
  <c r="N434" i="14" s="1"/>
  <c r="M435" i="14"/>
  <c r="N435" i="14" s="1"/>
  <c r="M436" i="14"/>
  <c r="M437" i="14"/>
  <c r="M438" i="14"/>
  <c r="M439" i="14"/>
  <c r="N439" i="14" s="1"/>
  <c r="M440" i="14"/>
  <c r="M441" i="14"/>
  <c r="N441" i="14" s="1"/>
  <c r="M442" i="14"/>
  <c r="M443" i="14"/>
  <c r="M444" i="14"/>
  <c r="N444" i="14" s="1"/>
  <c r="M445" i="14"/>
  <c r="N445" i="14" s="1"/>
  <c r="M446" i="14"/>
  <c r="N446" i="14" s="1"/>
  <c r="M447" i="14"/>
  <c r="N447" i="14" s="1"/>
  <c r="M448" i="14"/>
  <c r="M449" i="14"/>
  <c r="M450" i="14"/>
  <c r="M451" i="14"/>
  <c r="N451" i="14" s="1"/>
  <c r="M452" i="14"/>
  <c r="N452" i="14" s="1"/>
  <c r="M453" i="14"/>
  <c r="N453" i="14" s="1"/>
  <c r="M454" i="14"/>
  <c r="N454" i="14" s="1"/>
  <c r="M455" i="14"/>
  <c r="M456" i="14"/>
  <c r="N456" i="14" s="1"/>
  <c r="M457" i="14"/>
  <c r="N457" i="14" s="1"/>
  <c r="M458" i="14"/>
  <c r="N458" i="14" s="1"/>
  <c r="M459" i="14"/>
  <c r="M460" i="14"/>
  <c r="M461" i="14"/>
  <c r="M462" i="14"/>
  <c r="M463" i="14"/>
  <c r="M464" i="14"/>
  <c r="N464" i="14" s="1"/>
  <c r="M465" i="14"/>
  <c r="N465" i="14" s="1"/>
  <c r="M466" i="14"/>
  <c r="N466" i="14" s="1"/>
  <c r="M467" i="14"/>
  <c r="M468" i="14"/>
  <c r="N468" i="14" s="1"/>
  <c r="M469" i="14"/>
  <c r="N469" i="14" s="1"/>
  <c r="M470" i="14"/>
  <c r="N470" i="14" s="1"/>
  <c r="M471" i="14"/>
  <c r="M472" i="14"/>
  <c r="M473" i="14"/>
  <c r="M474" i="14"/>
  <c r="M475" i="14"/>
  <c r="N475" i="14" s="1"/>
  <c r="M476" i="14"/>
  <c r="N476" i="14" s="1"/>
  <c r="M477" i="14"/>
  <c r="N477" i="14" s="1"/>
  <c r="M478" i="14"/>
  <c r="N478" i="14" s="1"/>
  <c r="M479" i="14"/>
  <c r="M480" i="14"/>
  <c r="N480" i="14" s="1"/>
  <c r="M481" i="14"/>
  <c r="M482" i="14"/>
  <c r="N482" i="14" s="1"/>
  <c r="M483" i="14"/>
  <c r="M484" i="14"/>
  <c r="M485" i="14"/>
  <c r="M486" i="14"/>
  <c r="M487" i="14"/>
  <c r="N487" i="14" s="1"/>
  <c r="M488" i="14"/>
  <c r="M489" i="14"/>
  <c r="N489" i="14" s="1"/>
  <c r="M490" i="14"/>
  <c r="N490" i="14" s="1"/>
  <c r="M491" i="14"/>
  <c r="M492" i="14"/>
  <c r="N492" i="14" s="1"/>
  <c r="M493" i="14"/>
  <c r="N493" i="14" s="1"/>
  <c r="M494" i="14"/>
  <c r="N494" i="14" s="1"/>
  <c r="M495" i="14"/>
  <c r="N495" i="14" s="1"/>
  <c r="M496" i="14"/>
  <c r="M497" i="14"/>
  <c r="M498" i="14"/>
  <c r="M499" i="14"/>
  <c r="N499" i="14" s="1"/>
  <c r="M500" i="14"/>
  <c r="N500" i="14" s="1"/>
  <c r="M501" i="14"/>
  <c r="N501" i="14" s="1"/>
  <c r="M502" i="14"/>
  <c r="N502" i="14" s="1"/>
  <c r="M503" i="14"/>
  <c r="N503" i="14" s="1"/>
  <c r="M504" i="14"/>
  <c r="N504" i="14" s="1"/>
  <c r="M505" i="14"/>
  <c r="N505" i="14" s="1"/>
  <c r="M506" i="14"/>
  <c r="N506" i="14" s="1"/>
  <c r="M507" i="14"/>
  <c r="N507" i="14" s="1"/>
  <c r="M508" i="14"/>
  <c r="M509" i="14"/>
  <c r="M510" i="14"/>
  <c r="M511" i="14"/>
  <c r="N511" i="14" s="1"/>
  <c r="M512" i="14"/>
  <c r="M513" i="14"/>
  <c r="N513" i="14" s="1"/>
  <c r="M514" i="14"/>
  <c r="N514" i="14" s="1"/>
  <c r="M515" i="14"/>
  <c r="M516" i="14"/>
  <c r="N516" i="14" s="1"/>
  <c r="M517" i="14"/>
  <c r="N517" i="14" s="1"/>
  <c r="M518" i="14"/>
  <c r="N518" i="14" s="1"/>
  <c r="M519" i="14"/>
  <c r="N519" i="14" s="1"/>
  <c r="M520" i="14"/>
  <c r="M521" i="14"/>
  <c r="M522" i="14"/>
  <c r="M523" i="14"/>
  <c r="N523" i="14" s="1"/>
  <c r="M524" i="14"/>
  <c r="N524" i="14" s="1"/>
  <c r="M525" i="14"/>
  <c r="N525" i="14" s="1"/>
  <c r="M526" i="14"/>
  <c r="N526" i="14" s="1"/>
  <c r="M527" i="14"/>
  <c r="N527" i="14" s="1"/>
  <c r="M528" i="14"/>
  <c r="N528" i="14" s="1"/>
  <c r="M529" i="14"/>
  <c r="N529" i="14" s="1"/>
  <c r="M530" i="14"/>
  <c r="N530" i="14" s="1"/>
  <c r="M531" i="14"/>
  <c r="N531" i="14" s="1"/>
  <c r="M532" i="14"/>
  <c r="M533" i="14"/>
  <c r="M534" i="14"/>
  <c r="N534" i="14" s="1"/>
  <c r="M535" i="14"/>
  <c r="N535" i="14" s="1"/>
  <c r="M536" i="14"/>
  <c r="N536" i="14" s="1"/>
  <c r="M537" i="14"/>
  <c r="N537" i="14" s="1"/>
  <c r="M538" i="14"/>
  <c r="N538" i="14" s="1"/>
  <c r="M539" i="14"/>
  <c r="N539" i="14" s="1"/>
  <c r="M540" i="14"/>
  <c r="N540" i="14" s="1"/>
  <c r="M541" i="14"/>
  <c r="N541" i="14" s="1"/>
  <c r="M542" i="14"/>
  <c r="N542" i="14" s="1"/>
  <c r="M543" i="14"/>
  <c r="N543" i="14" s="1"/>
  <c r="M544" i="14"/>
  <c r="M545" i="14"/>
  <c r="N545" i="14" s="1"/>
  <c r="M546" i="14"/>
  <c r="N546" i="14" s="1"/>
  <c r="M547" i="14"/>
  <c r="N547" i="14" s="1"/>
  <c r="M548" i="14"/>
  <c r="N548" i="14" s="1"/>
  <c r="M549" i="14"/>
  <c r="N549" i="14" s="1"/>
  <c r="M550" i="14"/>
  <c r="N550" i="14" s="1"/>
  <c r="M551" i="14"/>
  <c r="N551" i="14" s="1"/>
  <c r="M552" i="14"/>
  <c r="N552" i="14" s="1"/>
  <c r="M553" i="14"/>
  <c r="N553" i="14" s="1"/>
  <c r="M554" i="14"/>
  <c r="N554" i="14" s="1"/>
  <c r="M574" i="14"/>
  <c r="N574" i="14" s="1"/>
  <c r="M575" i="14"/>
  <c r="M576" i="14"/>
  <c r="N576" i="14" s="1"/>
  <c r="M577" i="14"/>
  <c r="N577" i="14" s="1"/>
  <c r="M578" i="14"/>
  <c r="N578" i="14" s="1"/>
  <c r="M579" i="14"/>
  <c r="N579" i="14" s="1"/>
  <c r="M580" i="14"/>
  <c r="M581" i="14"/>
  <c r="N581" i="14" s="1"/>
  <c r="M582" i="14"/>
  <c r="M583" i="14"/>
  <c r="N583" i="14" s="1"/>
  <c r="M584" i="14"/>
  <c r="N584" i="14" s="1"/>
  <c r="M585" i="14"/>
  <c r="N585" i="14" s="1"/>
  <c r="M586" i="14"/>
  <c r="N586" i="14" s="1"/>
  <c r="M587" i="14"/>
  <c r="M588" i="14"/>
  <c r="N588" i="14" s="1"/>
  <c r="M589" i="14"/>
  <c r="N589" i="14" s="1"/>
  <c r="M590" i="14"/>
  <c r="N590" i="14" s="1"/>
  <c r="M591" i="14"/>
  <c r="N591" i="14" s="1"/>
  <c r="M592" i="14"/>
  <c r="M593" i="14"/>
  <c r="N593" i="14" s="1"/>
  <c r="M594" i="14"/>
  <c r="N594" i="14" s="1"/>
  <c r="M595" i="14"/>
  <c r="N595" i="14" s="1"/>
  <c r="M596" i="14"/>
  <c r="N596" i="14" s="1"/>
  <c r="M597" i="14"/>
  <c r="N597" i="14" s="1"/>
  <c r="M598" i="14"/>
  <c r="N598" i="14" s="1"/>
  <c r="M599" i="14"/>
  <c r="N599" i="14" s="1"/>
  <c r="M600" i="14"/>
  <c r="N600" i="14" s="1"/>
  <c r="M601" i="14"/>
  <c r="M602" i="14"/>
  <c r="N602" i="14" s="1"/>
  <c r="M603" i="14"/>
  <c r="N603" i="14" s="1"/>
  <c r="M604" i="14"/>
  <c r="M605" i="14"/>
  <c r="N605" i="14" s="1"/>
  <c r="M606" i="14"/>
  <c r="N606" i="14" s="1"/>
  <c r="M607" i="14"/>
  <c r="N607" i="14" s="1"/>
  <c r="M608" i="14"/>
  <c r="M609" i="14"/>
  <c r="M610" i="14"/>
  <c r="N610" i="14" s="1"/>
  <c r="M611" i="14"/>
  <c r="N611" i="14" s="1"/>
  <c r="M612" i="14"/>
  <c r="N612" i="14" s="1"/>
  <c r="M613" i="14"/>
  <c r="N613" i="14" s="1"/>
  <c r="M654" i="14"/>
  <c r="N654" i="14" s="1"/>
  <c r="M655" i="14"/>
  <c r="M656" i="14"/>
  <c r="M657" i="14"/>
  <c r="N657" i="14" s="1"/>
  <c r="M658" i="14"/>
  <c r="N658" i="14" s="1"/>
  <c r="M659" i="14"/>
  <c r="N659" i="14" s="1"/>
  <c r="M660" i="14"/>
  <c r="N660" i="14" s="1"/>
  <c r="M661" i="14"/>
  <c r="N661" i="14" s="1"/>
  <c r="M662" i="14"/>
  <c r="N662" i="14" s="1"/>
  <c r="M663" i="14"/>
  <c r="N663" i="14" s="1"/>
  <c r="M664" i="14"/>
  <c r="N664" i="14" s="1"/>
  <c r="M665" i="14"/>
  <c r="N665" i="14" s="1"/>
  <c r="M666" i="14"/>
  <c r="M667" i="14"/>
  <c r="M668" i="14"/>
  <c r="N668" i="14" s="1"/>
  <c r="M669" i="14"/>
  <c r="N669" i="14" s="1"/>
  <c r="M670" i="14"/>
  <c r="N670" i="14" s="1"/>
  <c r="M671" i="14"/>
  <c r="N671" i="14" s="1"/>
  <c r="M672" i="14"/>
  <c r="N672" i="14" s="1"/>
  <c r="M673" i="14"/>
  <c r="N673" i="14" s="1"/>
  <c r="M674" i="14"/>
  <c r="N674" i="14" s="1"/>
  <c r="M675" i="14"/>
  <c r="N675" i="14" s="1"/>
  <c r="M676" i="14"/>
  <c r="N676" i="14" s="1"/>
  <c r="M677" i="14"/>
  <c r="N677" i="14" s="1"/>
  <c r="M678" i="14"/>
  <c r="N678" i="14" s="1"/>
  <c r="M679" i="14"/>
  <c r="N679" i="14" s="1"/>
  <c r="M680" i="14"/>
  <c r="M681" i="14"/>
  <c r="N681" i="14" s="1"/>
  <c r="M682" i="14"/>
  <c r="N682" i="14" s="1"/>
  <c r="M683" i="14"/>
  <c r="N683" i="14" s="1"/>
  <c r="M684" i="14"/>
  <c r="N684" i="14" s="1"/>
  <c r="M685" i="14"/>
  <c r="N685" i="14" s="1"/>
  <c r="M686" i="14"/>
  <c r="N686" i="14" s="1"/>
  <c r="M687" i="14"/>
  <c r="N687" i="14" s="1"/>
  <c r="M688" i="14"/>
  <c r="N688" i="14" s="1"/>
  <c r="M689" i="14"/>
  <c r="N689" i="14" s="1"/>
  <c r="M690" i="14"/>
  <c r="N690" i="14" s="1"/>
  <c r="M691" i="14"/>
  <c r="M692" i="14"/>
  <c r="M693" i="14"/>
  <c r="N693" i="14" s="1"/>
  <c r="M694" i="14"/>
  <c r="M695" i="14"/>
  <c r="N695" i="14" s="1"/>
  <c r="M696" i="14"/>
  <c r="N696" i="14" s="1"/>
  <c r="M697" i="14"/>
  <c r="N697" i="14" s="1"/>
  <c r="M698" i="14"/>
  <c r="N698" i="14" s="1"/>
  <c r="M699" i="14"/>
  <c r="N699" i="14" s="1"/>
  <c r="M700" i="14"/>
  <c r="N700" i="14" s="1"/>
  <c r="M701" i="14"/>
  <c r="M702" i="14"/>
  <c r="N702" i="14" s="1"/>
  <c r="M703" i="14"/>
  <c r="M704" i="14"/>
  <c r="M705" i="14"/>
  <c r="N705" i="14" s="1"/>
  <c r="M706" i="14"/>
  <c r="N706" i="14" s="1"/>
  <c r="M707" i="14"/>
  <c r="N707" i="14" s="1"/>
  <c r="M708" i="14"/>
  <c r="M709" i="14"/>
  <c r="N709" i="14" s="1"/>
  <c r="M710" i="14"/>
  <c r="N710" i="14" s="1"/>
  <c r="M711" i="14"/>
  <c r="N711" i="14" s="1"/>
  <c r="M712" i="14"/>
  <c r="N712" i="14" s="1"/>
  <c r="M713" i="14"/>
  <c r="N713" i="14" s="1"/>
  <c r="M714" i="14"/>
  <c r="N714" i="14" s="1"/>
  <c r="M715" i="14"/>
  <c r="N715" i="14" s="1"/>
  <c r="M716" i="14"/>
  <c r="N716" i="14" s="1"/>
  <c r="M717" i="14"/>
  <c r="N717" i="14" s="1"/>
  <c r="M718" i="14"/>
  <c r="M719" i="14"/>
  <c r="N719" i="14" s="1"/>
  <c r="M720" i="14"/>
  <c r="N720" i="14" s="1"/>
  <c r="M721" i="14"/>
  <c r="N721" i="14" s="1"/>
  <c r="M722" i="14"/>
  <c r="N722" i="14" s="1"/>
  <c r="M723" i="14"/>
  <c r="N723" i="14" s="1"/>
  <c r="M724" i="14"/>
  <c r="N724" i="14" s="1"/>
  <c r="M725" i="14"/>
  <c r="N725" i="14" s="1"/>
  <c r="M726" i="14"/>
  <c r="N726" i="14" s="1"/>
  <c r="M727" i="14"/>
  <c r="M728" i="14"/>
  <c r="N728" i="14" s="1"/>
  <c r="M729" i="14"/>
  <c r="N729" i="14" s="1"/>
  <c r="M730" i="14"/>
  <c r="N730" i="14" s="1"/>
  <c r="M731" i="14"/>
  <c r="N731" i="14" s="1"/>
  <c r="M732" i="14"/>
  <c r="M733" i="14"/>
  <c r="M734" i="14"/>
  <c r="N734" i="14" s="1"/>
  <c r="M735" i="14"/>
  <c r="N735" i="14" s="1"/>
  <c r="M736" i="14"/>
  <c r="N736" i="14" s="1"/>
  <c r="M737" i="14"/>
  <c r="N737" i="14" s="1"/>
  <c r="M738" i="14"/>
  <c r="N738" i="14" s="1"/>
  <c r="M739" i="14"/>
  <c r="N739" i="14" s="1"/>
  <c r="M740" i="14"/>
  <c r="M741" i="14"/>
  <c r="N741" i="14" s="1"/>
  <c r="M742" i="14"/>
  <c r="N742" i="14" s="1"/>
  <c r="M743" i="14"/>
  <c r="N743" i="14" s="1"/>
  <c r="M744" i="14"/>
  <c r="N744" i="14" s="1"/>
  <c r="M745" i="14"/>
  <c r="M746" i="14"/>
  <c r="N746" i="14" s="1"/>
  <c r="M747" i="14"/>
  <c r="N747" i="14" s="1"/>
  <c r="M748" i="14"/>
  <c r="N748" i="14" s="1"/>
  <c r="M749" i="14"/>
  <c r="N749" i="14" s="1"/>
  <c r="M750" i="14"/>
  <c r="N750" i="14" s="1"/>
  <c r="M751" i="14"/>
  <c r="N751" i="14" s="1"/>
  <c r="M752" i="14"/>
  <c r="N752" i="14" s="1"/>
  <c r="M753" i="14"/>
  <c r="N753" i="14" s="1"/>
  <c r="M754" i="14"/>
  <c r="N754" i="14" s="1"/>
  <c r="M755" i="14"/>
  <c r="N755" i="14" s="1"/>
  <c r="M756" i="14"/>
  <c r="M757" i="14"/>
  <c r="M758" i="14"/>
  <c r="N758" i="14" s="1"/>
  <c r="M759" i="14"/>
  <c r="N759" i="14" s="1"/>
  <c r="M760" i="14"/>
  <c r="N760" i="14" s="1"/>
  <c r="M761" i="14"/>
  <c r="N761" i="14" s="1"/>
  <c r="M762" i="14"/>
  <c r="N762" i="14" s="1"/>
  <c r="M763" i="14"/>
  <c r="N763" i="14" s="1"/>
  <c r="M764" i="14"/>
  <c r="N764" i="14" s="1"/>
  <c r="M765" i="14"/>
  <c r="N765" i="14" s="1"/>
  <c r="M766" i="14"/>
  <c r="N766" i="14" s="1"/>
  <c r="M767" i="14"/>
  <c r="N767" i="14" s="1"/>
  <c r="M768" i="14"/>
  <c r="N768" i="14" s="1"/>
  <c r="M769" i="14"/>
  <c r="N769" i="14" s="1"/>
  <c r="M770" i="14"/>
  <c r="N770" i="14" s="1"/>
  <c r="M771" i="14"/>
  <c r="N771" i="14" s="1"/>
  <c r="M772" i="14"/>
  <c r="N772" i="14" s="1"/>
  <c r="M773" i="14"/>
  <c r="N773" i="14" s="1"/>
  <c r="M774" i="14"/>
  <c r="N774" i="14" s="1"/>
  <c r="M775" i="14"/>
  <c r="N775" i="14" s="1"/>
  <c r="M776" i="14"/>
  <c r="N776" i="14" s="1"/>
  <c r="M777" i="14"/>
  <c r="N777" i="14" s="1"/>
  <c r="M778" i="14"/>
  <c r="N778" i="14" s="1"/>
  <c r="M779" i="14"/>
  <c r="N779" i="14" s="1"/>
  <c r="M780" i="14"/>
  <c r="N780" i="14" s="1"/>
  <c r="M781" i="14"/>
  <c r="N781" i="14" s="1"/>
  <c r="M782" i="14"/>
  <c r="N782" i="14" s="1"/>
  <c r="M783" i="14"/>
  <c r="N783" i="14" s="1"/>
  <c r="M784" i="14"/>
  <c r="N784" i="14" s="1"/>
  <c r="M785" i="14"/>
  <c r="N785" i="14" s="1"/>
  <c r="M786" i="14"/>
  <c r="N786" i="14" s="1"/>
  <c r="M787" i="14"/>
  <c r="N787" i="14" s="1"/>
  <c r="M788" i="14"/>
  <c r="N788" i="14" s="1"/>
  <c r="M789" i="14"/>
  <c r="N789" i="14" s="1"/>
  <c r="M790" i="14"/>
  <c r="N790" i="14" s="1"/>
  <c r="M791" i="14"/>
  <c r="N791" i="14" s="1"/>
  <c r="M792" i="14"/>
  <c r="M793" i="14"/>
  <c r="M794" i="14"/>
  <c r="N794" i="14" s="1"/>
  <c r="M795" i="14"/>
  <c r="N795" i="14" s="1"/>
  <c r="M796" i="14"/>
  <c r="N796" i="14" s="1"/>
  <c r="M797" i="14"/>
  <c r="N797" i="14" s="1"/>
  <c r="M798" i="14"/>
  <c r="N798" i="14" s="1"/>
  <c r="M799" i="14"/>
  <c r="N799" i="14" s="1"/>
  <c r="M800" i="14"/>
  <c r="N800" i="14" s="1"/>
  <c r="M801" i="14"/>
  <c r="N801" i="14" s="1"/>
  <c r="M802" i="14"/>
  <c r="N802" i="14" s="1"/>
  <c r="M803" i="14"/>
  <c r="N803" i="14" s="1"/>
  <c r="M804" i="14"/>
  <c r="N804" i="14" s="1"/>
  <c r="M805" i="14"/>
  <c r="M806" i="14"/>
  <c r="N806" i="14" s="1"/>
  <c r="M807" i="14"/>
  <c r="N807" i="14" s="1"/>
  <c r="M808" i="14"/>
  <c r="N808" i="14" s="1"/>
  <c r="M809" i="14"/>
  <c r="N809" i="14" s="1"/>
  <c r="M810" i="14"/>
  <c r="N810" i="14" s="1"/>
  <c r="M811" i="14"/>
  <c r="N811" i="14" s="1"/>
  <c r="M812" i="14"/>
  <c r="N812" i="14" s="1"/>
  <c r="M813" i="14"/>
  <c r="N813" i="14" s="1"/>
  <c r="M814" i="14"/>
  <c r="N814" i="14" s="1"/>
  <c r="M815" i="14"/>
  <c r="N815" i="14" s="1"/>
  <c r="M816" i="14"/>
  <c r="N816" i="14" s="1"/>
  <c r="M817" i="14"/>
  <c r="N817" i="14" s="1"/>
  <c r="M818" i="14"/>
  <c r="N818" i="14" s="1"/>
  <c r="M819" i="14"/>
  <c r="N819" i="14" s="1"/>
  <c r="M820" i="14"/>
  <c r="N820" i="14" s="1"/>
  <c r="M821" i="14"/>
  <c r="N821" i="14" s="1"/>
  <c r="M822" i="14"/>
  <c r="N822" i="14" s="1"/>
  <c r="M823" i="14"/>
  <c r="M824" i="14"/>
  <c r="M825" i="14"/>
  <c r="N825" i="14" s="1"/>
  <c r="M826" i="14"/>
  <c r="N826" i="14" s="1"/>
  <c r="M827" i="14"/>
  <c r="N827" i="14" s="1"/>
  <c r="M828" i="14"/>
  <c r="N828" i="14" s="1"/>
  <c r="M829" i="14"/>
  <c r="N829" i="14" s="1"/>
  <c r="M830" i="14"/>
  <c r="N830" i="14" s="1"/>
  <c r="M831" i="14"/>
  <c r="N831" i="14" s="1"/>
  <c r="M832" i="14"/>
  <c r="N832" i="14" s="1"/>
  <c r="M833" i="14"/>
  <c r="N833" i="14" s="1"/>
  <c r="M834" i="14"/>
  <c r="N834" i="14" s="1"/>
  <c r="M835" i="14"/>
  <c r="N835" i="14" s="1"/>
  <c r="M836" i="14"/>
  <c r="N836" i="14" s="1"/>
  <c r="M837" i="14"/>
  <c r="N837" i="14" s="1"/>
  <c r="M838" i="14"/>
  <c r="N838" i="14" s="1"/>
  <c r="M839" i="14"/>
  <c r="N839" i="14" s="1"/>
  <c r="M840" i="14"/>
  <c r="N840" i="14" s="1"/>
  <c r="M841" i="14"/>
  <c r="M842" i="14"/>
  <c r="N842" i="14" s="1"/>
  <c r="M843" i="14"/>
  <c r="N843" i="14" s="1"/>
  <c r="M844" i="14"/>
  <c r="N844" i="14" s="1"/>
  <c r="M845" i="14"/>
  <c r="N845" i="14" s="1"/>
  <c r="M846" i="14"/>
  <c r="N846" i="14" s="1"/>
  <c r="M847" i="14"/>
  <c r="M848" i="14"/>
  <c r="N848" i="14" s="1"/>
  <c r="M849" i="14"/>
  <c r="N849" i="14" s="1"/>
  <c r="M850" i="14"/>
  <c r="N850" i="14" s="1"/>
  <c r="M851" i="14"/>
  <c r="N851" i="14" s="1"/>
  <c r="M852" i="14"/>
  <c r="N852" i="14" s="1"/>
  <c r="M853" i="14"/>
  <c r="N853" i="14" s="1"/>
  <c r="M854" i="14"/>
  <c r="N854" i="14" s="1"/>
  <c r="M855" i="14"/>
  <c r="N855" i="14" s="1"/>
  <c r="M856" i="14"/>
  <c r="N856" i="14" s="1"/>
  <c r="M857" i="14"/>
  <c r="N857" i="14" s="1"/>
  <c r="M858" i="14"/>
  <c r="N858" i="14" s="1"/>
  <c r="M859" i="14"/>
  <c r="N859" i="14" s="1"/>
  <c r="M860" i="14"/>
  <c r="M861" i="14"/>
  <c r="N861" i="14" s="1"/>
  <c r="M862" i="14"/>
  <c r="N862" i="14" s="1"/>
  <c r="M863" i="14"/>
  <c r="N863" i="14" s="1"/>
  <c r="M864" i="14"/>
  <c r="N864" i="14" s="1"/>
  <c r="M865" i="14"/>
  <c r="N865" i="14" s="1"/>
  <c r="M866" i="14"/>
  <c r="N866" i="14" s="1"/>
  <c r="M867" i="14"/>
  <c r="N867" i="14" s="1"/>
  <c r="M868" i="14"/>
  <c r="N868" i="14" s="1"/>
  <c r="M869" i="14"/>
  <c r="N869" i="14" s="1"/>
  <c r="M870" i="14"/>
  <c r="N870" i="14" s="1"/>
  <c r="M871" i="14"/>
  <c r="N871" i="14" s="1"/>
  <c r="M872" i="14"/>
  <c r="N872" i="14" s="1"/>
  <c r="M873" i="14"/>
  <c r="N873" i="14" s="1"/>
  <c r="M874" i="14"/>
  <c r="N874" i="14" s="1"/>
  <c r="M875" i="14"/>
  <c r="N875" i="14" s="1"/>
  <c r="M876" i="14"/>
  <c r="N876" i="14" s="1"/>
  <c r="M877" i="14"/>
  <c r="N877" i="14" s="1"/>
  <c r="M878" i="14"/>
  <c r="N878" i="14" s="1"/>
  <c r="M879" i="14"/>
  <c r="N879" i="14" s="1"/>
  <c r="M880" i="14"/>
  <c r="N880" i="14" s="1"/>
  <c r="M881" i="14"/>
  <c r="N881" i="14" s="1"/>
  <c r="M882" i="14"/>
  <c r="N882" i="14" s="1"/>
  <c r="M883" i="14"/>
  <c r="N883" i="14" s="1"/>
  <c r="M884" i="14"/>
  <c r="N884" i="14" s="1"/>
  <c r="M885" i="14"/>
  <c r="N885" i="14" s="1"/>
  <c r="M886" i="14"/>
  <c r="N886" i="14" s="1"/>
  <c r="M887" i="14"/>
  <c r="N887" i="14" s="1"/>
  <c r="M888" i="14"/>
  <c r="N888" i="14" s="1"/>
  <c r="M889" i="14"/>
  <c r="N889" i="14" s="1"/>
  <c r="M890" i="14"/>
  <c r="N890" i="14" s="1"/>
  <c r="M891" i="14"/>
  <c r="N891" i="14" s="1"/>
  <c r="M892" i="14"/>
  <c r="N892" i="14" s="1"/>
  <c r="M893" i="14"/>
  <c r="N893" i="14" s="1"/>
  <c r="M894" i="14"/>
  <c r="N894" i="14" s="1"/>
  <c r="M895" i="14"/>
  <c r="N895" i="14" s="1"/>
  <c r="M896" i="14"/>
  <c r="N896" i="14" s="1"/>
  <c r="M897" i="14"/>
  <c r="N897" i="14" s="1"/>
  <c r="M898" i="14"/>
  <c r="N898" i="14" s="1"/>
  <c r="M899" i="14"/>
  <c r="N899" i="14" s="1"/>
  <c r="M900" i="14"/>
  <c r="N900" i="14" s="1"/>
  <c r="M901" i="14"/>
  <c r="N901" i="14" s="1"/>
  <c r="M902" i="14"/>
  <c r="N902" i="14" s="1"/>
  <c r="M903" i="14"/>
  <c r="N903" i="14" s="1"/>
  <c r="M904" i="14"/>
  <c r="N904" i="14" s="1"/>
  <c r="M905" i="14"/>
  <c r="N905" i="14" s="1"/>
  <c r="M906" i="14"/>
  <c r="N906" i="14" s="1"/>
  <c r="M907" i="14"/>
  <c r="N907" i="14" s="1"/>
  <c r="M908" i="14"/>
  <c r="M909" i="14"/>
  <c r="N909" i="14" s="1"/>
  <c r="M910" i="14"/>
  <c r="N910" i="14" s="1"/>
  <c r="M911" i="14"/>
  <c r="N911" i="14" s="1"/>
  <c r="M912" i="14"/>
  <c r="N912" i="14" s="1"/>
  <c r="M913" i="14"/>
  <c r="N913" i="14" s="1"/>
  <c r="M4" i="14"/>
  <c r="N4" i="14" s="1"/>
  <c r="C884" i="14"/>
  <c r="C894" i="14"/>
  <c r="C904" i="14"/>
  <c r="C864" i="14"/>
  <c r="C874" i="14"/>
  <c r="C814" i="14"/>
  <c r="C824" i="14"/>
  <c r="C834" i="14"/>
  <c r="C844" i="14"/>
  <c r="C854" i="14"/>
  <c r="C714" i="14"/>
  <c r="C724" i="14"/>
  <c r="C734" i="14"/>
  <c r="C744" i="14"/>
  <c r="C754" i="14"/>
  <c r="C764" i="14"/>
  <c r="C774" i="14"/>
  <c r="C784" i="14"/>
  <c r="C794" i="14"/>
  <c r="C804" i="14"/>
  <c r="C694" i="14"/>
  <c r="C704" i="14"/>
  <c r="C664" i="14"/>
  <c r="C674" i="14"/>
  <c r="C684" i="14"/>
  <c r="C654" i="14"/>
  <c r="C584" i="14"/>
  <c r="C594" i="14"/>
  <c r="C604" i="14"/>
  <c r="C14" i="14"/>
  <c r="C24" i="14"/>
  <c r="C34" i="14"/>
  <c r="C44" i="14"/>
  <c r="C54" i="14"/>
  <c r="C64" i="14"/>
  <c r="C74" i="14"/>
  <c r="C84" i="14"/>
  <c r="C94" i="14"/>
  <c r="C104" i="14"/>
  <c r="C114" i="14"/>
  <c r="C124" i="14"/>
  <c r="C134" i="14"/>
  <c r="C144" i="14"/>
  <c r="C154" i="14"/>
  <c r="C164" i="14"/>
  <c r="C174" i="14"/>
  <c r="C184" i="14"/>
  <c r="C194" i="14"/>
  <c r="C204" i="14"/>
  <c r="C214" i="14"/>
  <c r="C224" i="14"/>
  <c r="C234" i="14"/>
  <c r="C244" i="14"/>
  <c r="C254" i="14"/>
  <c r="C264" i="14"/>
  <c r="C274" i="14"/>
  <c r="C284" i="14"/>
  <c r="C294" i="14"/>
  <c r="C304" i="14"/>
  <c r="C324" i="14"/>
  <c r="C334" i="14"/>
  <c r="C344" i="14"/>
  <c r="C354" i="14"/>
  <c r="C364" i="14"/>
  <c r="C374" i="14"/>
  <c r="C384" i="14"/>
  <c r="C394" i="14"/>
  <c r="C404" i="14"/>
  <c r="C414" i="14"/>
  <c r="C424" i="14"/>
  <c r="C434" i="14"/>
  <c r="C444" i="14"/>
  <c r="C454" i="14"/>
  <c r="C464" i="14"/>
  <c r="C474" i="14"/>
  <c r="C484" i="14"/>
  <c r="C494" i="14"/>
  <c r="C504" i="14"/>
  <c r="C514" i="14"/>
  <c r="C524" i="14"/>
  <c r="C534" i="14"/>
  <c r="C544" i="14"/>
  <c r="C554" i="14"/>
  <c r="C574" i="14"/>
  <c r="N601" i="14"/>
  <c r="N283" i="14"/>
  <c r="N282" i="14"/>
  <c r="N277" i="14"/>
  <c r="N140" i="14"/>
  <c r="N139" i="14"/>
  <c r="N133" i="14"/>
  <c r="N131" i="14"/>
  <c r="N129" i="14"/>
  <c r="N128" i="14"/>
  <c r="N127" i="14"/>
  <c r="N126" i="14"/>
  <c r="N125" i="14"/>
  <c r="N121" i="14"/>
  <c r="N116" i="14"/>
  <c r="N115" i="14"/>
  <c r="N114" i="14"/>
  <c r="N79" i="14"/>
  <c r="N77" i="14"/>
  <c r="N92" i="14"/>
  <c r="N91" i="14"/>
  <c r="N90" i="14"/>
  <c r="N89" i="14"/>
  <c r="N85" i="14"/>
  <c r="N103" i="14"/>
  <c r="N102" i="14"/>
  <c r="N97" i="14"/>
  <c r="N32" i="14"/>
  <c r="N31" i="14"/>
  <c r="N30" i="14"/>
  <c r="N29" i="14"/>
  <c r="N25" i="14"/>
  <c r="N43" i="14"/>
  <c r="N42" i="14"/>
  <c r="N41" i="14"/>
  <c r="N37" i="14"/>
  <c r="N61" i="14"/>
  <c r="N56" i="14"/>
  <c r="N55" i="14"/>
  <c r="N54" i="14"/>
  <c r="N704" i="14"/>
  <c r="N708" i="14"/>
  <c r="N908" i="14"/>
  <c r="N544" i="14"/>
  <c r="N860" i="14"/>
  <c r="N847" i="14"/>
  <c r="N533" i="14"/>
  <c r="N532" i="14"/>
  <c r="N841" i="14"/>
  <c r="N522" i="14"/>
  <c r="N521" i="14"/>
  <c r="N520" i="14"/>
  <c r="N515" i="14"/>
  <c r="N824" i="14"/>
  <c r="N512" i="14"/>
  <c r="N510" i="14"/>
  <c r="N509" i="14"/>
  <c r="N508" i="14"/>
  <c r="N823" i="14"/>
  <c r="N498" i="14"/>
  <c r="N497" i="14"/>
  <c r="N496" i="14"/>
  <c r="N805" i="14"/>
  <c r="N491" i="14"/>
  <c r="N488" i="14"/>
  <c r="N486" i="14"/>
  <c r="N485" i="14"/>
  <c r="N484" i="14"/>
  <c r="N483" i="14"/>
  <c r="N481" i="14"/>
  <c r="N479" i="14"/>
  <c r="N474" i="14"/>
  <c r="N793" i="14"/>
  <c r="N792" i="14"/>
  <c r="N473" i="14"/>
  <c r="N472" i="14"/>
  <c r="N471" i="14"/>
  <c r="N467" i="14"/>
  <c r="N757" i="14"/>
  <c r="N756" i="14"/>
  <c r="N745" i="14"/>
  <c r="N740" i="14"/>
  <c r="N733" i="14"/>
  <c r="N732" i="14"/>
  <c r="N727" i="14"/>
  <c r="N718" i="14"/>
  <c r="N703" i="14"/>
  <c r="N701" i="14"/>
  <c r="N694" i="14"/>
  <c r="N692" i="14"/>
  <c r="N691" i="14"/>
  <c r="N680" i="14"/>
  <c r="N667" i="14"/>
  <c r="N666" i="14"/>
  <c r="N656" i="14"/>
  <c r="N655" i="14"/>
  <c r="N609" i="14"/>
  <c r="N608" i="14"/>
  <c r="N604" i="14"/>
  <c r="N330" i="14"/>
  <c r="N329" i="14"/>
  <c r="N328" i="14"/>
  <c r="N327" i="14"/>
  <c r="N73" i="14"/>
  <c r="N70" i="14"/>
  <c r="N68" i="14"/>
  <c r="N67" i="14"/>
  <c r="N66" i="14"/>
  <c r="N65" i="14"/>
  <c r="N51" i="14"/>
  <c r="N49" i="14"/>
  <c r="N44" i="14"/>
  <c r="N20" i="14"/>
  <c r="N19" i="14"/>
  <c r="N18" i="14"/>
  <c r="N17" i="14"/>
  <c r="N313" i="14"/>
  <c r="N308" i="14"/>
  <c r="N307" i="14"/>
  <c r="N306" i="14"/>
  <c r="N305" i="14"/>
  <c r="N289" i="14"/>
  <c r="N286" i="14"/>
  <c r="N284" i="14"/>
  <c r="N113" i="14"/>
  <c r="N109" i="14"/>
  <c r="N105" i="14"/>
  <c r="N104" i="14"/>
  <c r="N163" i="14"/>
  <c r="N162" i="14"/>
  <c r="N161" i="14"/>
  <c r="N157" i="14"/>
  <c r="N154" i="14"/>
  <c r="N152" i="14"/>
  <c r="N151" i="14"/>
  <c r="N150" i="14"/>
  <c r="N149" i="14"/>
  <c r="N145" i="14"/>
  <c r="N13" i="14"/>
  <c r="N8" i="14"/>
  <c r="N7" i="14"/>
  <c r="N6" i="14"/>
  <c r="N301" i="14"/>
  <c r="N298" i="14"/>
  <c r="N297" i="14"/>
  <c r="N296" i="14"/>
  <c r="N295" i="14"/>
  <c r="N294" i="14"/>
  <c r="N272" i="14"/>
  <c r="N271" i="14"/>
  <c r="N270" i="14"/>
  <c r="N269" i="14"/>
  <c r="N265" i="14"/>
  <c r="N262" i="14"/>
  <c r="N261" i="14"/>
  <c r="N260" i="14"/>
  <c r="N259" i="14"/>
  <c r="N258" i="14"/>
  <c r="N253" i="14"/>
  <c r="N248" i="14"/>
  <c r="N247" i="14"/>
  <c r="N246" i="14"/>
  <c r="N245" i="14"/>
  <c r="N241" i="14"/>
  <c r="N238" i="14"/>
  <c r="N236" i="14"/>
  <c r="N235" i="14"/>
  <c r="N234" i="14"/>
  <c r="N233" i="14"/>
  <c r="N229" i="14"/>
  <c r="N227" i="14"/>
  <c r="N224" i="14"/>
  <c r="N223" i="14"/>
  <c r="N222" i="14"/>
  <c r="N221" i="14"/>
  <c r="N217" i="14"/>
  <c r="N216" i="14"/>
  <c r="N214" i="14"/>
  <c r="N212" i="14"/>
  <c r="N211" i="14"/>
  <c r="N210" i="14"/>
  <c r="N209" i="14"/>
  <c r="N205" i="14"/>
  <c r="N200" i="14"/>
  <c r="N199" i="14"/>
  <c r="N198" i="14"/>
  <c r="N197" i="14"/>
  <c r="N193" i="14"/>
  <c r="N190" i="14"/>
  <c r="N188" i="14"/>
  <c r="N187" i="14"/>
  <c r="N186" i="14"/>
  <c r="N185" i="14"/>
  <c r="N181" i="14"/>
  <c r="N176" i="14"/>
  <c r="N175" i="14"/>
  <c r="N174" i="14"/>
  <c r="N173" i="14"/>
  <c r="N169" i="14"/>
  <c r="N166" i="14"/>
  <c r="N165" i="14"/>
  <c r="N164" i="14"/>
  <c r="N592" i="14"/>
  <c r="N587" i="14"/>
  <c r="N582" i="14"/>
  <c r="N580" i="14"/>
  <c r="N575" i="14"/>
  <c r="N463" i="14"/>
  <c r="N462" i="14"/>
  <c r="N461" i="14"/>
  <c r="N460" i="14"/>
  <c r="N459" i="14"/>
  <c r="N455" i="14"/>
  <c r="N450" i="14"/>
  <c r="N449" i="14"/>
  <c r="N448" i="14"/>
  <c r="N443" i="14"/>
  <c r="N442" i="14"/>
  <c r="N440" i="14"/>
  <c r="N438" i="14"/>
  <c r="N437" i="14"/>
  <c r="N436" i="14"/>
  <c r="N431" i="14"/>
  <c r="N428" i="14"/>
  <c r="N426" i="14"/>
  <c r="N425" i="14"/>
  <c r="N424" i="14"/>
  <c r="N423" i="14"/>
  <c r="N419" i="14"/>
  <c r="N414" i="14"/>
  <c r="N413" i="14"/>
  <c r="N412" i="14"/>
  <c r="N411" i="14"/>
  <c r="N407" i="14"/>
  <c r="N402" i="14"/>
  <c r="N401" i="14"/>
  <c r="N400" i="14"/>
  <c r="N395" i="14"/>
  <c r="N390" i="14"/>
  <c r="N389" i="14"/>
  <c r="N388" i="14"/>
  <c r="N387" i="14"/>
  <c r="N383" i="14"/>
  <c r="N379" i="14"/>
  <c r="N378" i="14"/>
  <c r="N377" i="14"/>
  <c r="N376" i="14"/>
  <c r="N375" i="14"/>
  <c r="N371" i="14"/>
  <c r="N366" i="14"/>
  <c r="N365" i="14"/>
  <c r="N364" i="14"/>
  <c r="N363" i="14"/>
  <c r="N359" i="14"/>
  <c r="N356" i="14"/>
  <c r="N354" i="14"/>
  <c r="N353" i="14"/>
  <c r="N352" i="14"/>
  <c r="N347" i="14"/>
  <c r="N344" i="14"/>
  <c r="N342" i="14"/>
  <c r="N341" i="14"/>
  <c r="N340" i="14"/>
  <c r="N339" i="14"/>
  <c r="N335" i="14"/>
  <c r="P314" i="14" l="1"/>
  <c r="P724" i="14"/>
  <c r="P594" i="14"/>
  <c r="P274" i="14"/>
  <c r="P134" i="14"/>
  <c r="P114" i="14"/>
  <c r="P124" i="14"/>
  <c r="P74" i="14"/>
  <c r="P84" i="14"/>
  <c r="P94" i="14"/>
  <c r="P24" i="14"/>
  <c r="P34" i="14"/>
  <c r="P54" i="14"/>
  <c r="P704" i="14"/>
  <c r="P784" i="14"/>
  <c r="P744" i="14"/>
  <c r="P804" i="14"/>
  <c r="P684" i="14"/>
  <c r="P484" i="14"/>
  <c r="P464" i="14"/>
  <c r="P664" i="14"/>
  <c r="P504" i="14"/>
  <c r="P654" i="14"/>
  <c r="P514" i="14"/>
  <c r="P534" i="14"/>
  <c r="P394" i="14"/>
  <c r="P154" i="14"/>
  <c r="P714" i="14"/>
  <c r="P824" i="14"/>
  <c r="P844" i="14"/>
  <c r="P864" i="14"/>
  <c r="P884" i="14"/>
  <c r="P904" i="14"/>
  <c r="P374" i="14"/>
  <c r="P444" i="14"/>
  <c r="P734" i="14"/>
  <c r="P494" i="14"/>
  <c r="P754" i="14"/>
  <c r="P414" i="14"/>
  <c r="P774" i="14"/>
  <c r="P364" i="14"/>
  <c r="P184" i="14"/>
  <c r="P244" i="14"/>
  <c r="P674" i="14"/>
  <c r="P794" i="14"/>
  <c r="P814" i="14"/>
  <c r="P334" i="14"/>
  <c r="P384" i="14"/>
  <c r="P454" i="14"/>
  <c r="P574" i="14"/>
  <c r="P604" i="14"/>
  <c r="P834" i="14"/>
  <c r="P524" i="14"/>
  <c r="P854" i="14"/>
  <c r="P544" i="14"/>
  <c r="P874" i="14"/>
  <c r="P894" i="14"/>
  <c r="P404" i="14"/>
  <c r="P694" i="14"/>
  <c r="P764" i="14"/>
  <c r="P474" i="14"/>
  <c r="P44" i="14"/>
  <c r="P64" i="14"/>
  <c r="P104" i="14"/>
  <c r="P284" i="14"/>
  <c r="P354" i="14"/>
  <c r="P164" i="14"/>
  <c r="P294" i="14"/>
  <c r="P4" i="14"/>
  <c r="P234" i="14"/>
  <c r="P424" i="14"/>
  <c r="P194" i="14"/>
  <c r="P204" i="14"/>
  <c r="P324" i="14"/>
  <c r="P304" i="14"/>
  <c r="P144" i="14"/>
  <c r="P254" i="14"/>
  <c r="P14" i="14"/>
  <c r="P344" i="14"/>
  <c r="P584" i="14"/>
  <c r="P174" i="14"/>
  <c r="P214" i="14"/>
  <c r="P264" i="14"/>
  <c r="P434" i="14"/>
  <c r="P554" i="14"/>
  <c r="P224" i="14"/>
  <c r="H107" i="12" l="1"/>
  <c r="E1" i="13"/>
  <c r="H240" i="12"/>
  <c r="I240" i="12" s="1"/>
  <c r="H239" i="12"/>
  <c r="I239" i="12" s="1"/>
  <c r="H238" i="12"/>
  <c r="I238" i="12" s="1"/>
  <c r="H237" i="12"/>
  <c r="I237" i="12" s="1"/>
  <c r="H236" i="12"/>
  <c r="I236" i="12" s="1"/>
  <c r="H235" i="12"/>
  <c r="I235" i="12" s="1"/>
  <c r="H234" i="12"/>
  <c r="I234" i="12" s="1"/>
  <c r="H248" i="12"/>
  <c r="I248" i="12" s="1"/>
  <c r="H247" i="12"/>
  <c r="I247" i="12" s="1"/>
  <c r="H246" i="12"/>
  <c r="I246" i="12" s="1"/>
  <c r="H245" i="12"/>
  <c r="I245" i="12" s="1"/>
  <c r="H244" i="12"/>
  <c r="I244" i="12" s="1"/>
  <c r="H243" i="12"/>
  <c r="I243" i="12" s="1"/>
  <c r="H242" i="12"/>
  <c r="I242" i="12" s="1"/>
  <c r="H104" i="12"/>
  <c r="I104" i="12" s="1"/>
  <c r="H103" i="12"/>
  <c r="I103" i="12" s="1"/>
  <c r="H102" i="12"/>
  <c r="I102" i="12" s="1"/>
  <c r="H101" i="12"/>
  <c r="I101" i="12" s="1"/>
  <c r="H100" i="12"/>
  <c r="I100" i="12" s="1"/>
  <c r="H99" i="12"/>
  <c r="I99" i="12" s="1"/>
  <c r="H98" i="12"/>
  <c r="I98" i="12" s="1"/>
  <c r="H56" i="12"/>
  <c r="I56" i="12" s="1"/>
  <c r="H55" i="12"/>
  <c r="I55" i="12" s="1"/>
  <c r="H54" i="12"/>
  <c r="I54" i="12" s="1"/>
  <c r="H53" i="12"/>
  <c r="I53" i="12" s="1"/>
  <c r="H52" i="12"/>
  <c r="I52" i="12" s="1"/>
  <c r="H51" i="12"/>
  <c r="I51" i="12" s="1"/>
  <c r="H50" i="12"/>
  <c r="I50" i="12" s="1"/>
  <c r="H216" i="12"/>
  <c r="I216" i="12" s="1"/>
  <c r="H215" i="12"/>
  <c r="I215" i="12" s="1"/>
  <c r="H214" i="12"/>
  <c r="I214" i="12" s="1"/>
  <c r="H213" i="12"/>
  <c r="I213" i="12" s="1"/>
  <c r="H212" i="12"/>
  <c r="I212" i="12" s="1"/>
  <c r="H211" i="12"/>
  <c r="I211" i="12" s="1"/>
  <c r="H210" i="12"/>
  <c r="I210" i="12" s="1"/>
  <c r="H224" i="12"/>
  <c r="I224" i="12" s="1"/>
  <c r="H223" i="12"/>
  <c r="I223" i="12" s="1"/>
  <c r="H222" i="12"/>
  <c r="I222" i="12" s="1"/>
  <c r="H221" i="12"/>
  <c r="I221" i="12" s="1"/>
  <c r="H220" i="12"/>
  <c r="I220" i="12" s="1"/>
  <c r="H219" i="12"/>
  <c r="I219" i="12" s="1"/>
  <c r="H218" i="12"/>
  <c r="I218" i="12" s="1"/>
  <c r="H232" i="12"/>
  <c r="I232" i="12" s="1"/>
  <c r="H231" i="12"/>
  <c r="I231" i="12" s="1"/>
  <c r="H230" i="12"/>
  <c r="I230" i="12" s="1"/>
  <c r="H229" i="12"/>
  <c r="I229" i="12" s="1"/>
  <c r="H228" i="12"/>
  <c r="I228" i="12" s="1"/>
  <c r="H227" i="12"/>
  <c r="I227" i="12" s="1"/>
  <c r="H226" i="12"/>
  <c r="I226" i="12" s="1"/>
  <c r="H256" i="12"/>
  <c r="I256" i="12" s="1"/>
  <c r="H255" i="12"/>
  <c r="I255" i="12" s="1"/>
  <c r="H254" i="12"/>
  <c r="I254" i="12" s="1"/>
  <c r="H253" i="12"/>
  <c r="I253" i="12" s="1"/>
  <c r="H252" i="12"/>
  <c r="I252" i="12" s="1"/>
  <c r="H251" i="12"/>
  <c r="I251" i="12" s="1"/>
  <c r="H250" i="12"/>
  <c r="I250" i="12" s="1"/>
  <c r="H264" i="12"/>
  <c r="I264" i="12" s="1"/>
  <c r="H263" i="12"/>
  <c r="I263" i="12" s="1"/>
  <c r="H262" i="12"/>
  <c r="I262" i="12" s="1"/>
  <c r="H261" i="12"/>
  <c r="I261" i="12" s="1"/>
  <c r="H260" i="12"/>
  <c r="I260" i="12" s="1"/>
  <c r="H259" i="12"/>
  <c r="I259" i="12" s="1"/>
  <c r="H258" i="12"/>
  <c r="I258" i="12" s="1"/>
  <c r="H272" i="12"/>
  <c r="I272" i="12" s="1"/>
  <c r="H271" i="12"/>
  <c r="I271" i="12" s="1"/>
  <c r="H270" i="12"/>
  <c r="I270" i="12" s="1"/>
  <c r="H269" i="12"/>
  <c r="I269" i="12" s="1"/>
  <c r="H268" i="12"/>
  <c r="I268" i="12" s="1"/>
  <c r="H267" i="12"/>
  <c r="I267" i="12" s="1"/>
  <c r="H266" i="12"/>
  <c r="I266" i="12" s="1"/>
  <c r="H280" i="12"/>
  <c r="I280" i="12" s="1"/>
  <c r="H279" i="12"/>
  <c r="I279" i="12" s="1"/>
  <c r="H278" i="12"/>
  <c r="I278" i="12" s="1"/>
  <c r="H277" i="12"/>
  <c r="I277" i="12" s="1"/>
  <c r="H276" i="12"/>
  <c r="I276" i="12" s="1"/>
  <c r="H275" i="12"/>
  <c r="I275" i="12" s="1"/>
  <c r="H274" i="12"/>
  <c r="I274" i="12" s="1"/>
  <c r="H288" i="12"/>
  <c r="I288" i="12" s="1"/>
  <c r="H287" i="12"/>
  <c r="I287" i="12" s="1"/>
  <c r="H286" i="12"/>
  <c r="I286" i="12" s="1"/>
  <c r="H285" i="12"/>
  <c r="I285" i="12" s="1"/>
  <c r="H284" i="12"/>
  <c r="I284" i="12" s="1"/>
  <c r="H283" i="12"/>
  <c r="I283" i="12" s="1"/>
  <c r="H282" i="12"/>
  <c r="I282" i="12" s="1"/>
  <c r="H296" i="12"/>
  <c r="I296" i="12" s="1"/>
  <c r="H295" i="12"/>
  <c r="I295" i="12" s="1"/>
  <c r="H294" i="12"/>
  <c r="I294" i="12" s="1"/>
  <c r="H293" i="12"/>
  <c r="I293" i="12" s="1"/>
  <c r="H292" i="12"/>
  <c r="I292" i="12" s="1"/>
  <c r="H291" i="12"/>
  <c r="I291" i="12" s="1"/>
  <c r="H290" i="12"/>
  <c r="I290" i="12" s="1"/>
  <c r="H304" i="12"/>
  <c r="I304" i="12" s="1"/>
  <c r="H303" i="12"/>
  <c r="I303" i="12" s="1"/>
  <c r="H302" i="12"/>
  <c r="I302" i="12" s="1"/>
  <c r="H301" i="12"/>
  <c r="I301" i="12" s="1"/>
  <c r="H300" i="12"/>
  <c r="I300" i="12" s="1"/>
  <c r="H299" i="12"/>
  <c r="I299" i="12" s="1"/>
  <c r="H298" i="12"/>
  <c r="I298" i="12" s="1"/>
  <c r="H312" i="12"/>
  <c r="I312" i="12" s="1"/>
  <c r="H311" i="12"/>
  <c r="I311" i="12" s="1"/>
  <c r="H310" i="12"/>
  <c r="I310" i="12" s="1"/>
  <c r="H309" i="12"/>
  <c r="I309" i="12" s="1"/>
  <c r="H308" i="12"/>
  <c r="I308" i="12" s="1"/>
  <c r="H307" i="12"/>
  <c r="I307" i="12" s="1"/>
  <c r="H306" i="12"/>
  <c r="I306" i="12" s="1"/>
  <c r="H320" i="12"/>
  <c r="I320" i="12" s="1"/>
  <c r="H319" i="12"/>
  <c r="I319" i="12" s="1"/>
  <c r="H318" i="12"/>
  <c r="I318" i="12" s="1"/>
  <c r="H317" i="12"/>
  <c r="I317" i="12" s="1"/>
  <c r="H316" i="12"/>
  <c r="I316" i="12" s="1"/>
  <c r="H315" i="12"/>
  <c r="I315" i="12" s="1"/>
  <c r="H314" i="12"/>
  <c r="I314" i="12" s="1"/>
  <c r="H328" i="12"/>
  <c r="I328" i="12" s="1"/>
  <c r="H327" i="12"/>
  <c r="I327" i="12" s="1"/>
  <c r="H326" i="12"/>
  <c r="I326" i="12" s="1"/>
  <c r="H325" i="12"/>
  <c r="I325" i="12" s="1"/>
  <c r="H324" i="12"/>
  <c r="I324" i="12" s="1"/>
  <c r="H323" i="12"/>
  <c r="I323" i="12" s="1"/>
  <c r="H322" i="12"/>
  <c r="I322" i="12" s="1"/>
  <c r="H336" i="12"/>
  <c r="I336" i="12" s="1"/>
  <c r="H335" i="12"/>
  <c r="I335" i="12" s="1"/>
  <c r="H334" i="12"/>
  <c r="I334" i="12" s="1"/>
  <c r="H333" i="12"/>
  <c r="I333" i="12" s="1"/>
  <c r="H332" i="12"/>
  <c r="I332" i="12" s="1"/>
  <c r="H331" i="12"/>
  <c r="I331" i="12" s="1"/>
  <c r="H330" i="12"/>
  <c r="I330" i="12" s="1"/>
  <c r="H344" i="12"/>
  <c r="I344" i="12" s="1"/>
  <c r="H343" i="12"/>
  <c r="I343" i="12" s="1"/>
  <c r="H342" i="12"/>
  <c r="I342" i="12" s="1"/>
  <c r="H341" i="12"/>
  <c r="I341" i="12" s="1"/>
  <c r="H340" i="12"/>
  <c r="I340" i="12" s="1"/>
  <c r="H339" i="12"/>
  <c r="I339" i="12" s="1"/>
  <c r="H338" i="12"/>
  <c r="I338" i="12" s="1"/>
  <c r="H352" i="12"/>
  <c r="I352" i="12" s="1"/>
  <c r="H351" i="12"/>
  <c r="I351" i="12" s="1"/>
  <c r="H350" i="12"/>
  <c r="I350" i="12" s="1"/>
  <c r="H349" i="12"/>
  <c r="I349" i="12" s="1"/>
  <c r="H348" i="12"/>
  <c r="I348" i="12" s="1"/>
  <c r="H347" i="12"/>
  <c r="I347" i="12" s="1"/>
  <c r="H346" i="12"/>
  <c r="I346" i="12" s="1"/>
  <c r="H360" i="12"/>
  <c r="I360" i="12" s="1"/>
  <c r="H359" i="12"/>
  <c r="I359" i="12" s="1"/>
  <c r="H358" i="12"/>
  <c r="I358" i="12" s="1"/>
  <c r="H357" i="12"/>
  <c r="I357" i="12" s="1"/>
  <c r="H356" i="12"/>
  <c r="I356" i="12" s="1"/>
  <c r="H355" i="12"/>
  <c r="I355" i="12" s="1"/>
  <c r="H354" i="12"/>
  <c r="I354" i="12" s="1"/>
  <c r="H368" i="12"/>
  <c r="I368" i="12" s="1"/>
  <c r="H367" i="12"/>
  <c r="I367" i="12" s="1"/>
  <c r="H366" i="12"/>
  <c r="I366" i="12" s="1"/>
  <c r="H365" i="12"/>
  <c r="I365" i="12" s="1"/>
  <c r="H364" i="12"/>
  <c r="I364" i="12" s="1"/>
  <c r="H363" i="12"/>
  <c r="I363" i="12" s="1"/>
  <c r="H362" i="12"/>
  <c r="I362" i="12" s="1"/>
  <c r="H376" i="12"/>
  <c r="I376" i="12" s="1"/>
  <c r="H375" i="12"/>
  <c r="I375" i="12" s="1"/>
  <c r="H374" i="12"/>
  <c r="I374" i="12" s="1"/>
  <c r="H373" i="12"/>
  <c r="I373" i="12" s="1"/>
  <c r="H372" i="12"/>
  <c r="I372" i="12" s="1"/>
  <c r="H371" i="12"/>
  <c r="I371" i="12" s="1"/>
  <c r="H370" i="12"/>
  <c r="I370" i="12" s="1"/>
  <c r="H384" i="12"/>
  <c r="I384" i="12" s="1"/>
  <c r="H383" i="12"/>
  <c r="I383" i="12" s="1"/>
  <c r="H382" i="12"/>
  <c r="I382" i="12" s="1"/>
  <c r="H381" i="12"/>
  <c r="I381" i="12" s="1"/>
  <c r="H380" i="12"/>
  <c r="I380" i="12" s="1"/>
  <c r="H379" i="12"/>
  <c r="I379" i="12" s="1"/>
  <c r="H378" i="12"/>
  <c r="I378" i="12" s="1"/>
  <c r="H392" i="12"/>
  <c r="I392" i="12" s="1"/>
  <c r="H391" i="12"/>
  <c r="I391" i="12" s="1"/>
  <c r="H390" i="12"/>
  <c r="I390" i="12" s="1"/>
  <c r="H389" i="12"/>
  <c r="I389" i="12" s="1"/>
  <c r="H388" i="12"/>
  <c r="I388" i="12" s="1"/>
  <c r="H387" i="12"/>
  <c r="I387" i="12" s="1"/>
  <c r="H386" i="12"/>
  <c r="I386" i="12" s="1"/>
  <c r="H400" i="12"/>
  <c r="I400" i="12" s="1"/>
  <c r="H399" i="12"/>
  <c r="I399" i="12" s="1"/>
  <c r="H398" i="12"/>
  <c r="I398" i="12" s="1"/>
  <c r="H397" i="12"/>
  <c r="I397" i="12" s="1"/>
  <c r="H396" i="12"/>
  <c r="I396" i="12" s="1"/>
  <c r="H395" i="12"/>
  <c r="I395" i="12" s="1"/>
  <c r="H394" i="12"/>
  <c r="I394" i="12" s="1"/>
  <c r="H408" i="12"/>
  <c r="I408" i="12" s="1"/>
  <c r="H407" i="12"/>
  <c r="I407" i="12" s="1"/>
  <c r="H406" i="12"/>
  <c r="I406" i="12" s="1"/>
  <c r="H405" i="12"/>
  <c r="I405" i="12" s="1"/>
  <c r="H404" i="12"/>
  <c r="I404" i="12" s="1"/>
  <c r="H403" i="12"/>
  <c r="I403" i="12" s="1"/>
  <c r="H402" i="12"/>
  <c r="I402" i="12" s="1"/>
  <c r="H416" i="12"/>
  <c r="I416" i="12" s="1"/>
  <c r="H415" i="12"/>
  <c r="I415" i="12" s="1"/>
  <c r="H414" i="12"/>
  <c r="I414" i="12" s="1"/>
  <c r="H413" i="12"/>
  <c r="I413" i="12" s="1"/>
  <c r="H412" i="12"/>
  <c r="I412" i="12" s="1"/>
  <c r="H411" i="12"/>
  <c r="I411" i="12" s="1"/>
  <c r="H410" i="12"/>
  <c r="I410" i="12" s="1"/>
  <c r="H424" i="12"/>
  <c r="I424" i="12" s="1"/>
  <c r="H423" i="12"/>
  <c r="I423" i="12" s="1"/>
  <c r="H422" i="12"/>
  <c r="I422" i="12" s="1"/>
  <c r="H421" i="12"/>
  <c r="I421" i="12" s="1"/>
  <c r="H420" i="12"/>
  <c r="I420" i="12" s="1"/>
  <c r="H419" i="12"/>
  <c r="I419" i="12" s="1"/>
  <c r="H418" i="12"/>
  <c r="I418" i="12" s="1"/>
  <c r="H432" i="12"/>
  <c r="I432" i="12" s="1"/>
  <c r="H431" i="12"/>
  <c r="I431" i="12" s="1"/>
  <c r="H430" i="12"/>
  <c r="I430" i="12" s="1"/>
  <c r="H429" i="12"/>
  <c r="I429" i="12" s="1"/>
  <c r="H428" i="12"/>
  <c r="I428" i="12" s="1"/>
  <c r="H427" i="12"/>
  <c r="I427" i="12" s="1"/>
  <c r="H426" i="12"/>
  <c r="I426" i="12" s="1"/>
  <c r="H440" i="12"/>
  <c r="I440" i="12" s="1"/>
  <c r="H439" i="12"/>
  <c r="I439" i="12" s="1"/>
  <c r="H438" i="12"/>
  <c r="I438" i="12" s="1"/>
  <c r="H437" i="12"/>
  <c r="I437" i="12" s="1"/>
  <c r="H436" i="12"/>
  <c r="I436" i="12" s="1"/>
  <c r="H435" i="12"/>
  <c r="I435" i="12" s="1"/>
  <c r="H434" i="12"/>
  <c r="I434" i="12" s="1"/>
  <c r="H448" i="12"/>
  <c r="I448" i="12" s="1"/>
  <c r="H447" i="12"/>
  <c r="I447" i="12" s="1"/>
  <c r="H446" i="12"/>
  <c r="I446" i="12" s="1"/>
  <c r="H445" i="12"/>
  <c r="I445" i="12" s="1"/>
  <c r="H444" i="12"/>
  <c r="I444" i="12" s="1"/>
  <c r="H443" i="12"/>
  <c r="I443" i="12" s="1"/>
  <c r="H442" i="12"/>
  <c r="I442" i="12" s="1"/>
  <c r="H456" i="12"/>
  <c r="I456" i="12" s="1"/>
  <c r="H455" i="12"/>
  <c r="I455" i="12" s="1"/>
  <c r="H454" i="12"/>
  <c r="I454" i="12" s="1"/>
  <c r="H453" i="12"/>
  <c r="I453" i="12" s="1"/>
  <c r="H452" i="12"/>
  <c r="I452" i="12" s="1"/>
  <c r="H451" i="12"/>
  <c r="I451" i="12" s="1"/>
  <c r="H450" i="12"/>
  <c r="I450" i="12" s="1"/>
  <c r="H464" i="12"/>
  <c r="I464" i="12" s="1"/>
  <c r="H463" i="12"/>
  <c r="I463" i="12" s="1"/>
  <c r="H462" i="12"/>
  <c r="I462" i="12" s="1"/>
  <c r="H461" i="12"/>
  <c r="I461" i="12" s="1"/>
  <c r="H460" i="12"/>
  <c r="I460" i="12" s="1"/>
  <c r="H459" i="12"/>
  <c r="I459" i="12" s="1"/>
  <c r="H458" i="12"/>
  <c r="I458" i="12" s="1"/>
  <c r="H472" i="12"/>
  <c r="I472" i="12" s="1"/>
  <c r="H471" i="12"/>
  <c r="I471" i="12" s="1"/>
  <c r="H470" i="12"/>
  <c r="I470" i="12" s="1"/>
  <c r="H469" i="12"/>
  <c r="I469" i="12" s="1"/>
  <c r="H468" i="12"/>
  <c r="I468" i="12" s="1"/>
  <c r="H467" i="12"/>
  <c r="I467" i="12" s="1"/>
  <c r="H466" i="12"/>
  <c r="I466" i="12" s="1"/>
  <c r="H480" i="12"/>
  <c r="I480" i="12" s="1"/>
  <c r="H479" i="12"/>
  <c r="I479" i="12" s="1"/>
  <c r="H478" i="12"/>
  <c r="I478" i="12" s="1"/>
  <c r="H477" i="12"/>
  <c r="I477" i="12" s="1"/>
  <c r="H476" i="12"/>
  <c r="I476" i="12" s="1"/>
  <c r="H475" i="12"/>
  <c r="I475" i="12" s="1"/>
  <c r="H474" i="12"/>
  <c r="I474" i="12" s="1"/>
  <c r="H488" i="12"/>
  <c r="I488" i="12" s="1"/>
  <c r="H487" i="12"/>
  <c r="I487" i="12" s="1"/>
  <c r="H486" i="12"/>
  <c r="I486" i="12" s="1"/>
  <c r="H485" i="12"/>
  <c r="I485" i="12" s="1"/>
  <c r="H484" i="12"/>
  <c r="I484" i="12" s="1"/>
  <c r="H483" i="12"/>
  <c r="I483" i="12" s="1"/>
  <c r="H482" i="12"/>
  <c r="I482" i="12" s="1"/>
  <c r="H496" i="12"/>
  <c r="I496" i="12" s="1"/>
  <c r="H495" i="12"/>
  <c r="I495" i="12" s="1"/>
  <c r="H494" i="12"/>
  <c r="I494" i="12" s="1"/>
  <c r="H493" i="12"/>
  <c r="I493" i="12" s="1"/>
  <c r="H492" i="12"/>
  <c r="I492" i="12" s="1"/>
  <c r="H491" i="12"/>
  <c r="I491" i="12" s="1"/>
  <c r="H490" i="12"/>
  <c r="I490" i="12" s="1"/>
  <c r="H504" i="12"/>
  <c r="I504" i="12" s="1"/>
  <c r="H503" i="12"/>
  <c r="I503" i="12" s="1"/>
  <c r="H502" i="12"/>
  <c r="I502" i="12" s="1"/>
  <c r="H501" i="12"/>
  <c r="I501" i="12" s="1"/>
  <c r="H500" i="12"/>
  <c r="I500" i="12" s="1"/>
  <c r="H499" i="12"/>
  <c r="I499" i="12" s="1"/>
  <c r="H498" i="12"/>
  <c r="I498" i="12" s="1"/>
  <c r="H512" i="12"/>
  <c r="I512" i="12" s="1"/>
  <c r="H511" i="12"/>
  <c r="I511" i="12" s="1"/>
  <c r="H510" i="12"/>
  <c r="I510" i="12" s="1"/>
  <c r="H509" i="12"/>
  <c r="I509" i="12" s="1"/>
  <c r="H508" i="12"/>
  <c r="I508" i="12" s="1"/>
  <c r="H507" i="12"/>
  <c r="I507" i="12" s="1"/>
  <c r="H506" i="12"/>
  <c r="I506" i="12" s="1"/>
  <c r="H72" i="12"/>
  <c r="I72" i="12" s="1"/>
  <c r="H71" i="12"/>
  <c r="I71" i="12" s="1"/>
  <c r="H70" i="12"/>
  <c r="I70" i="12" s="1"/>
  <c r="H69" i="12"/>
  <c r="I69" i="12" s="1"/>
  <c r="H68" i="12"/>
  <c r="I68" i="12" s="1"/>
  <c r="H67" i="12"/>
  <c r="I67" i="12" s="1"/>
  <c r="H66" i="12"/>
  <c r="I66" i="12" s="1"/>
  <c r="H80" i="12"/>
  <c r="I80" i="12" s="1"/>
  <c r="H79" i="12"/>
  <c r="I79" i="12" s="1"/>
  <c r="H78" i="12"/>
  <c r="I78" i="12" s="1"/>
  <c r="H77" i="12"/>
  <c r="I77" i="12" s="1"/>
  <c r="H76" i="12"/>
  <c r="I76" i="12" s="1"/>
  <c r="H75" i="12"/>
  <c r="I75" i="12" s="1"/>
  <c r="H74" i="12"/>
  <c r="I74" i="12" s="1"/>
  <c r="H88" i="12"/>
  <c r="I88" i="12" s="1"/>
  <c r="H87" i="12"/>
  <c r="I87" i="12" s="1"/>
  <c r="H86" i="12"/>
  <c r="I86" i="12" s="1"/>
  <c r="H85" i="12"/>
  <c r="I85" i="12" s="1"/>
  <c r="H84" i="12"/>
  <c r="I84" i="12" s="1"/>
  <c r="H83" i="12"/>
  <c r="I83" i="12" s="1"/>
  <c r="H82" i="12"/>
  <c r="I82" i="12" s="1"/>
  <c r="H96" i="12"/>
  <c r="I96" i="12" s="1"/>
  <c r="H95" i="12"/>
  <c r="I95" i="12" s="1"/>
  <c r="H94" i="12"/>
  <c r="I94" i="12" s="1"/>
  <c r="H93" i="12"/>
  <c r="I93" i="12" s="1"/>
  <c r="H92" i="12"/>
  <c r="I92" i="12" s="1"/>
  <c r="H91" i="12"/>
  <c r="I91" i="12" s="1"/>
  <c r="H90" i="12"/>
  <c r="I90" i="12" s="1"/>
  <c r="H112" i="12"/>
  <c r="I112" i="12" s="1"/>
  <c r="H111" i="12"/>
  <c r="I111" i="12" s="1"/>
  <c r="H110" i="12"/>
  <c r="I110" i="12" s="1"/>
  <c r="H109" i="12"/>
  <c r="I109" i="12" s="1"/>
  <c r="H108" i="12"/>
  <c r="I108" i="12" s="1"/>
  <c r="I107" i="12"/>
  <c r="H106" i="12"/>
  <c r="I106" i="12" s="1"/>
  <c r="H120" i="12"/>
  <c r="I120" i="12" s="1"/>
  <c r="H119" i="12"/>
  <c r="I119" i="12" s="1"/>
  <c r="H118" i="12"/>
  <c r="I118" i="12" s="1"/>
  <c r="H117" i="12"/>
  <c r="I117" i="12" s="1"/>
  <c r="H116" i="12"/>
  <c r="I116" i="12" s="1"/>
  <c r="H115" i="12"/>
  <c r="I115" i="12" s="1"/>
  <c r="H114" i="12"/>
  <c r="I114" i="12" s="1"/>
  <c r="H128" i="12"/>
  <c r="I128" i="12" s="1"/>
  <c r="H127" i="12"/>
  <c r="I127" i="12" s="1"/>
  <c r="H126" i="12"/>
  <c r="I126" i="12" s="1"/>
  <c r="H125" i="12"/>
  <c r="I125" i="12" s="1"/>
  <c r="H124" i="12"/>
  <c r="I124" i="12" s="1"/>
  <c r="H123" i="12"/>
  <c r="I123" i="12" s="1"/>
  <c r="H122" i="12"/>
  <c r="I122" i="12" s="1"/>
  <c r="F1" i="13" l="1"/>
  <c r="J234" i="12"/>
  <c r="J242" i="12"/>
  <c r="J106" i="12"/>
  <c r="J450" i="12"/>
  <c r="J354" i="12"/>
  <c r="J282" i="12"/>
  <c r="J98" i="12"/>
  <c r="J378" i="12"/>
  <c r="J66" i="12"/>
  <c r="J266" i="12"/>
  <c r="J442" i="12"/>
  <c r="J346" i="12"/>
  <c r="J274" i="12"/>
  <c r="J90" i="12"/>
  <c r="J50" i="12"/>
  <c r="J402" i="12"/>
  <c r="J210" i="12"/>
  <c r="J386" i="12"/>
  <c r="J306" i="12"/>
  <c r="J74" i="12"/>
  <c r="J426" i="12"/>
  <c r="J330" i="12"/>
  <c r="J250" i="12"/>
  <c r="J466" i="12"/>
  <c r="J370" i="12"/>
  <c r="J290" i="12"/>
  <c r="J410" i="12"/>
  <c r="J394" i="12"/>
  <c r="J218" i="12"/>
  <c r="J82" i="12"/>
  <c r="J434" i="12"/>
  <c r="J338" i="12"/>
  <c r="J122" i="12"/>
  <c r="J418" i="12"/>
  <c r="J226" i="12"/>
  <c r="J114" i="12"/>
  <c r="J458" i="12"/>
  <c r="J362" i="12"/>
  <c r="J322" i="12"/>
  <c r="J298" i="12"/>
  <c r="J314" i="12"/>
  <c r="J258" i="12"/>
  <c r="J474" i="12"/>
  <c r="J482" i="12"/>
  <c r="J490" i="12"/>
  <c r="J498" i="12"/>
  <c r="J506" i="12"/>
  <c r="G1" i="13" l="1"/>
  <c r="H64" i="12"/>
  <c r="I64" i="12" s="1"/>
  <c r="H63" i="12"/>
  <c r="I63" i="12" s="1"/>
  <c r="H62" i="12"/>
  <c r="I62" i="12" s="1"/>
  <c r="H61" i="12"/>
  <c r="I61" i="12" s="1"/>
  <c r="H60" i="12"/>
  <c r="I60" i="12" s="1"/>
  <c r="H59" i="12"/>
  <c r="I59" i="12" s="1"/>
  <c r="H58" i="12"/>
  <c r="I58" i="12" s="1"/>
  <c r="H48" i="12"/>
  <c r="I48" i="12" s="1"/>
  <c r="H47" i="12"/>
  <c r="I47" i="12" s="1"/>
  <c r="H46" i="12"/>
  <c r="I46" i="12" s="1"/>
  <c r="H45" i="12"/>
  <c r="I45" i="12" s="1"/>
  <c r="H44" i="12"/>
  <c r="I44" i="12" s="1"/>
  <c r="H43" i="12"/>
  <c r="I43" i="12" s="1"/>
  <c r="H42" i="12"/>
  <c r="I42" i="12" s="1"/>
  <c r="H40" i="12"/>
  <c r="I40" i="12" s="1"/>
  <c r="H39" i="12"/>
  <c r="I39" i="12" s="1"/>
  <c r="H38" i="12"/>
  <c r="I38" i="12" s="1"/>
  <c r="H37" i="12"/>
  <c r="I37" i="12" s="1"/>
  <c r="H36" i="12"/>
  <c r="I36" i="12" s="1"/>
  <c r="H35" i="12"/>
  <c r="I35" i="12" s="1"/>
  <c r="H34" i="12"/>
  <c r="I34" i="12" s="1"/>
  <c r="H32" i="12"/>
  <c r="I32" i="12" s="1"/>
  <c r="H31" i="12"/>
  <c r="I31" i="12" s="1"/>
  <c r="H30" i="12"/>
  <c r="I30" i="12" s="1"/>
  <c r="H29" i="12"/>
  <c r="I29" i="12" s="1"/>
  <c r="H28" i="12"/>
  <c r="I28" i="12" s="1"/>
  <c r="H27" i="12"/>
  <c r="I27" i="12" s="1"/>
  <c r="H26" i="12"/>
  <c r="I26" i="12" s="1"/>
  <c r="H24" i="12"/>
  <c r="I24" i="12" s="1"/>
  <c r="H23" i="12"/>
  <c r="I23" i="12" s="1"/>
  <c r="H22" i="12"/>
  <c r="I22" i="12" s="1"/>
  <c r="H21" i="12"/>
  <c r="I21" i="12" s="1"/>
  <c r="H20" i="12"/>
  <c r="I20" i="12" s="1"/>
  <c r="H19" i="12"/>
  <c r="I19" i="12" s="1"/>
  <c r="H18" i="12"/>
  <c r="I18" i="12" s="1"/>
  <c r="H16" i="12"/>
  <c r="I16" i="12" s="1"/>
  <c r="H15" i="12"/>
  <c r="I15" i="12" s="1"/>
  <c r="H14" i="12"/>
  <c r="I14" i="12" s="1"/>
  <c r="H13" i="12"/>
  <c r="I13" i="12" s="1"/>
  <c r="H12" i="12"/>
  <c r="I12" i="12" s="1"/>
  <c r="H11" i="12"/>
  <c r="I11" i="12" s="1"/>
  <c r="H10" i="12"/>
  <c r="I10" i="12" s="1"/>
  <c r="H8" i="12"/>
  <c r="I8" i="12" s="1"/>
  <c r="H7" i="12"/>
  <c r="I7" i="12" s="1"/>
  <c r="H6" i="12"/>
  <c r="I6" i="12" s="1"/>
  <c r="H5" i="12"/>
  <c r="I5" i="12" s="1"/>
  <c r="H4" i="12"/>
  <c r="I4" i="12" s="1"/>
  <c r="H3" i="12"/>
  <c r="I3" i="12" s="1"/>
  <c r="H2" i="12"/>
  <c r="I2" i="12" s="1"/>
  <c r="H136" i="12"/>
  <c r="I136" i="12" s="1"/>
  <c r="H135" i="12"/>
  <c r="I135" i="12" s="1"/>
  <c r="H134" i="12"/>
  <c r="I134" i="12" s="1"/>
  <c r="H133" i="12"/>
  <c r="I133" i="12" s="1"/>
  <c r="H132" i="12"/>
  <c r="I132" i="12" s="1"/>
  <c r="H131" i="12"/>
  <c r="I131" i="12" s="1"/>
  <c r="H130" i="12"/>
  <c r="I130" i="12" s="1"/>
  <c r="H208" i="12"/>
  <c r="I208" i="12" s="1"/>
  <c r="H207" i="12"/>
  <c r="I207" i="12" s="1"/>
  <c r="H206" i="12"/>
  <c r="I206" i="12" s="1"/>
  <c r="H205" i="12"/>
  <c r="I205" i="12" s="1"/>
  <c r="H204" i="12"/>
  <c r="I204" i="12" s="1"/>
  <c r="H203" i="12"/>
  <c r="I203" i="12" s="1"/>
  <c r="H202" i="12"/>
  <c r="I202" i="12" s="1"/>
  <c r="H200" i="12"/>
  <c r="I200" i="12" s="1"/>
  <c r="H199" i="12"/>
  <c r="I199" i="12" s="1"/>
  <c r="H198" i="12"/>
  <c r="I198" i="12" s="1"/>
  <c r="H197" i="12"/>
  <c r="I197" i="12" s="1"/>
  <c r="H196" i="12"/>
  <c r="I196" i="12" s="1"/>
  <c r="H195" i="12"/>
  <c r="I195" i="12" s="1"/>
  <c r="H194" i="12"/>
  <c r="I194" i="12" s="1"/>
  <c r="H192" i="12"/>
  <c r="I192" i="12" s="1"/>
  <c r="H191" i="12"/>
  <c r="I191" i="12" s="1"/>
  <c r="H190" i="12"/>
  <c r="I190" i="12" s="1"/>
  <c r="H189" i="12"/>
  <c r="I189" i="12" s="1"/>
  <c r="H188" i="12"/>
  <c r="I188" i="12" s="1"/>
  <c r="H187" i="12"/>
  <c r="I187" i="12" s="1"/>
  <c r="H186" i="12"/>
  <c r="I186" i="12" s="1"/>
  <c r="H184" i="12"/>
  <c r="I184" i="12" s="1"/>
  <c r="H183" i="12"/>
  <c r="I183" i="12" s="1"/>
  <c r="H182" i="12"/>
  <c r="I182" i="12" s="1"/>
  <c r="H181" i="12"/>
  <c r="I181" i="12" s="1"/>
  <c r="H180" i="12"/>
  <c r="I180" i="12" s="1"/>
  <c r="H179" i="12"/>
  <c r="I179" i="12" s="1"/>
  <c r="H178" i="12"/>
  <c r="I178" i="12" s="1"/>
  <c r="H176" i="12"/>
  <c r="I176" i="12" s="1"/>
  <c r="H175" i="12"/>
  <c r="I175" i="12" s="1"/>
  <c r="H174" i="12"/>
  <c r="I174" i="12" s="1"/>
  <c r="H173" i="12"/>
  <c r="I173" i="12" s="1"/>
  <c r="H172" i="12"/>
  <c r="I172" i="12" s="1"/>
  <c r="H171" i="12"/>
  <c r="I171" i="12" s="1"/>
  <c r="H170" i="12"/>
  <c r="I170" i="12" s="1"/>
  <c r="H168" i="12"/>
  <c r="I168" i="12" s="1"/>
  <c r="H167" i="12"/>
  <c r="I167" i="12" s="1"/>
  <c r="H166" i="12"/>
  <c r="I166" i="12" s="1"/>
  <c r="H165" i="12"/>
  <c r="I165" i="12" s="1"/>
  <c r="H164" i="12"/>
  <c r="I164" i="12" s="1"/>
  <c r="H163" i="12"/>
  <c r="I163" i="12" s="1"/>
  <c r="H162" i="12"/>
  <c r="I162" i="12" s="1"/>
  <c r="H160" i="12"/>
  <c r="I160" i="12" s="1"/>
  <c r="H159" i="12"/>
  <c r="I159" i="12" s="1"/>
  <c r="H158" i="12"/>
  <c r="I158" i="12" s="1"/>
  <c r="H157" i="12"/>
  <c r="I157" i="12" s="1"/>
  <c r="H156" i="12"/>
  <c r="I156" i="12" s="1"/>
  <c r="H155" i="12"/>
  <c r="I155" i="12" s="1"/>
  <c r="H154" i="12"/>
  <c r="I154" i="12" s="1"/>
  <c r="H139" i="12"/>
  <c r="I139" i="12" s="1"/>
  <c r="H140" i="12"/>
  <c r="I140" i="12" s="1"/>
  <c r="H141" i="12"/>
  <c r="I141" i="12" s="1"/>
  <c r="H142" i="12"/>
  <c r="I142" i="12" s="1"/>
  <c r="H143" i="12"/>
  <c r="I143" i="12" s="1"/>
  <c r="H144" i="12"/>
  <c r="I144" i="12" s="1"/>
  <c r="H146" i="12"/>
  <c r="I146" i="12" s="1"/>
  <c r="H147" i="12"/>
  <c r="I147" i="12" s="1"/>
  <c r="H148" i="12"/>
  <c r="I148" i="12" s="1"/>
  <c r="H149" i="12"/>
  <c r="I149" i="12" s="1"/>
  <c r="H150" i="12"/>
  <c r="I150" i="12" s="1"/>
  <c r="H151" i="12"/>
  <c r="I151" i="12" s="1"/>
  <c r="H152" i="12"/>
  <c r="I152" i="12" s="1"/>
  <c r="H138" i="12"/>
  <c r="I138" i="12" s="1"/>
  <c r="H1" i="13" l="1"/>
  <c r="J130" i="12"/>
  <c r="J162" i="12"/>
  <c r="J170" i="12"/>
  <c r="J146" i="12"/>
  <c r="J26" i="12"/>
  <c r="J202" i="12"/>
  <c r="J42" i="12"/>
  <c r="J2" i="12"/>
  <c r="J178" i="12"/>
  <c r="J138" i="12"/>
  <c r="J18" i="12"/>
  <c r="J194" i="12"/>
  <c r="J154" i="12"/>
  <c r="J34" i="12"/>
  <c r="J58" i="12"/>
  <c r="J10" i="12"/>
  <c r="J186" i="12"/>
  <c r="I1" i="13" l="1"/>
  <c r="BU1" i="5"/>
  <c r="BT1" i="5"/>
  <c r="BS1" i="5"/>
  <c r="BR1" i="5"/>
  <c r="BQ1" i="5"/>
  <c r="BP1" i="5" s="1"/>
  <c r="BO1" i="5" s="1"/>
  <c r="BE1" i="5"/>
  <c r="AO1" i="5"/>
  <c r="AN1" i="5"/>
  <c r="AM1" i="5" s="1"/>
  <c r="Y1" i="5"/>
  <c r="X1" i="5" s="1"/>
  <c r="W1" i="5" s="1"/>
  <c r="V1" i="5"/>
  <c r="CM39" i="5" s="1"/>
  <c r="U1" i="5"/>
  <c r="T1" i="5" s="1"/>
  <c r="S1" i="5"/>
  <c r="R1" i="5" s="1"/>
  <c r="Q1" i="5" s="1"/>
  <c r="P1" i="5" s="1"/>
  <c r="O1" i="5" s="1"/>
  <c r="N1" i="5" s="1"/>
  <c r="M1" i="5" s="1"/>
  <c r="L1" i="5" s="1"/>
  <c r="K1" i="5" s="1"/>
  <c r="CM66" i="5"/>
  <c r="I66" i="5"/>
  <c r="H66" i="5"/>
  <c r="G66" i="5"/>
  <c r="F66" i="5"/>
  <c r="E66" i="5"/>
  <c r="D66" i="5"/>
  <c r="C66" i="5"/>
  <c r="B66" i="5"/>
  <c r="I65" i="5"/>
  <c r="H65" i="5"/>
  <c r="G65" i="5"/>
  <c r="F65" i="5"/>
  <c r="E65" i="5"/>
  <c r="D65" i="5"/>
  <c r="C65" i="5"/>
  <c r="B65" i="5"/>
  <c r="I64" i="5"/>
  <c r="H64" i="5"/>
  <c r="G64" i="5"/>
  <c r="F64" i="5"/>
  <c r="E64" i="5"/>
  <c r="D64" i="5"/>
  <c r="C64" i="5"/>
  <c r="B64" i="5"/>
  <c r="I63" i="5"/>
  <c r="H63" i="5"/>
  <c r="G63" i="5"/>
  <c r="F63" i="5"/>
  <c r="E63" i="5"/>
  <c r="D63" i="5"/>
  <c r="C63" i="5"/>
  <c r="B63" i="5"/>
  <c r="CM62" i="5"/>
  <c r="I62" i="5"/>
  <c r="H62" i="5"/>
  <c r="G62" i="5"/>
  <c r="F62" i="5"/>
  <c r="E62" i="5"/>
  <c r="D62" i="5"/>
  <c r="C62" i="5"/>
  <c r="B62" i="5"/>
  <c r="I61" i="5"/>
  <c r="H61" i="5"/>
  <c r="G61" i="5"/>
  <c r="F61" i="5"/>
  <c r="E61" i="5"/>
  <c r="D61" i="5"/>
  <c r="C61" i="5"/>
  <c r="B61" i="5"/>
  <c r="I60" i="5"/>
  <c r="H60" i="5"/>
  <c r="G60" i="5"/>
  <c r="F60" i="5"/>
  <c r="E60" i="5"/>
  <c r="D60" i="5"/>
  <c r="C60" i="5"/>
  <c r="B60" i="5"/>
  <c r="I59" i="5"/>
  <c r="H59" i="5"/>
  <c r="G59" i="5"/>
  <c r="F59" i="5"/>
  <c r="E59" i="5"/>
  <c r="D59" i="5"/>
  <c r="C59" i="5"/>
  <c r="B59" i="5"/>
  <c r="CM58" i="5"/>
  <c r="I58" i="5"/>
  <c r="H58" i="5"/>
  <c r="G58" i="5"/>
  <c r="F58" i="5"/>
  <c r="E58" i="5"/>
  <c r="D58" i="5"/>
  <c r="C58" i="5"/>
  <c r="B58" i="5"/>
  <c r="I57" i="5"/>
  <c r="H57" i="5"/>
  <c r="G57" i="5"/>
  <c r="F57" i="5"/>
  <c r="E57" i="5"/>
  <c r="D57" i="5"/>
  <c r="C57" i="5"/>
  <c r="B57" i="5"/>
  <c r="I56" i="5"/>
  <c r="H56" i="5"/>
  <c r="G56" i="5"/>
  <c r="F56" i="5"/>
  <c r="E56" i="5"/>
  <c r="D56" i="5"/>
  <c r="C56" i="5"/>
  <c r="B56" i="5"/>
  <c r="I55" i="5"/>
  <c r="H55" i="5"/>
  <c r="G55" i="5"/>
  <c r="F55" i="5"/>
  <c r="E55" i="5"/>
  <c r="D55" i="5"/>
  <c r="C55" i="5"/>
  <c r="B55" i="5"/>
  <c r="CM54" i="5"/>
  <c r="I54" i="5"/>
  <c r="H54" i="5"/>
  <c r="G54" i="5"/>
  <c r="F54" i="5"/>
  <c r="E54" i="5"/>
  <c r="D54" i="5"/>
  <c r="C54" i="5"/>
  <c r="B54" i="5"/>
  <c r="I53" i="5"/>
  <c r="H53" i="5"/>
  <c r="G53" i="5"/>
  <c r="F53" i="5"/>
  <c r="E53" i="5"/>
  <c r="D53" i="5"/>
  <c r="C53" i="5"/>
  <c r="B53" i="5"/>
  <c r="I52" i="5"/>
  <c r="H52" i="5"/>
  <c r="G52" i="5"/>
  <c r="F52" i="5"/>
  <c r="E52" i="5"/>
  <c r="D52" i="5"/>
  <c r="C52" i="5"/>
  <c r="B52" i="5"/>
  <c r="I51" i="5"/>
  <c r="H51" i="5"/>
  <c r="G51" i="5"/>
  <c r="F51" i="5"/>
  <c r="E51" i="5"/>
  <c r="D51" i="5"/>
  <c r="C51" i="5"/>
  <c r="B51" i="5"/>
  <c r="CM50" i="5"/>
  <c r="I50" i="5"/>
  <c r="H50" i="5"/>
  <c r="G50" i="5"/>
  <c r="F50" i="5"/>
  <c r="E50" i="5"/>
  <c r="D50" i="5"/>
  <c r="C50" i="5"/>
  <c r="B50" i="5"/>
  <c r="I49" i="5"/>
  <c r="H49" i="5"/>
  <c r="G49" i="5"/>
  <c r="F49" i="5"/>
  <c r="E49" i="5"/>
  <c r="D49" i="5"/>
  <c r="C49" i="5"/>
  <c r="B49" i="5"/>
  <c r="I48" i="5"/>
  <c r="H48" i="5"/>
  <c r="G48" i="5"/>
  <c r="F48" i="5"/>
  <c r="E48" i="5"/>
  <c r="D48" i="5"/>
  <c r="C48" i="5"/>
  <c r="B48" i="5"/>
  <c r="I47" i="5"/>
  <c r="H47" i="5"/>
  <c r="G47" i="5"/>
  <c r="F47" i="5"/>
  <c r="E47" i="5"/>
  <c r="D47" i="5"/>
  <c r="C47" i="5"/>
  <c r="B47" i="5"/>
  <c r="CM46" i="5"/>
  <c r="I46" i="5"/>
  <c r="H46" i="5"/>
  <c r="G46" i="5"/>
  <c r="F46" i="5"/>
  <c r="E46" i="5"/>
  <c r="D46" i="5"/>
  <c r="C46" i="5"/>
  <c r="B46" i="5"/>
  <c r="I45" i="5"/>
  <c r="H45" i="5"/>
  <c r="G45" i="5"/>
  <c r="F45" i="5"/>
  <c r="E45" i="5"/>
  <c r="D45" i="5"/>
  <c r="C45" i="5"/>
  <c r="B45" i="5"/>
  <c r="I44" i="5"/>
  <c r="H44" i="5"/>
  <c r="G44" i="5"/>
  <c r="F44" i="5"/>
  <c r="E44" i="5"/>
  <c r="D44" i="5"/>
  <c r="C44" i="5"/>
  <c r="B44" i="5"/>
  <c r="I43" i="5"/>
  <c r="H43" i="5"/>
  <c r="G43" i="5"/>
  <c r="F43" i="5"/>
  <c r="E43" i="5"/>
  <c r="D43" i="5"/>
  <c r="C43" i="5"/>
  <c r="B43" i="5"/>
  <c r="CM42" i="5"/>
  <c r="I42" i="5"/>
  <c r="H42" i="5"/>
  <c r="G42" i="5"/>
  <c r="F42" i="5"/>
  <c r="E42" i="5"/>
  <c r="D42" i="5"/>
  <c r="C42" i="5"/>
  <c r="B42" i="5"/>
  <c r="I41" i="5"/>
  <c r="H41" i="5"/>
  <c r="G41" i="5"/>
  <c r="F41" i="5"/>
  <c r="E41" i="5"/>
  <c r="D41" i="5"/>
  <c r="C41" i="5"/>
  <c r="B41" i="5"/>
  <c r="I40" i="5"/>
  <c r="H40" i="5"/>
  <c r="G40" i="5"/>
  <c r="F40" i="5"/>
  <c r="E40" i="5"/>
  <c r="D40" i="5"/>
  <c r="C40" i="5"/>
  <c r="B40" i="5"/>
  <c r="I39" i="5"/>
  <c r="H39" i="5"/>
  <c r="G39" i="5"/>
  <c r="F39" i="5"/>
  <c r="E39" i="5"/>
  <c r="D39" i="5"/>
  <c r="C39" i="5"/>
  <c r="B39" i="5"/>
  <c r="CM38" i="5"/>
  <c r="I38" i="5"/>
  <c r="H38" i="5"/>
  <c r="G38" i="5"/>
  <c r="F38" i="5"/>
  <c r="E38" i="5"/>
  <c r="D38" i="5"/>
  <c r="C38" i="5"/>
  <c r="B38" i="5"/>
  <c r="I37" i="5"/>
  <c r="H37" i="5"/>
  <c r="G37" i="5"/>
  <c r="F37" i="5"/>
  <c r="E37" i="5"/>
  <c r="D37" i="5"/>
  <c r="C37" i="5"/>
  <c r="B37" i="5"/>
  <c r="I36" i="5"/>
  <c r="H36" i="5"/>
  <c r="G36" i="5"/>
  <c r="F36" i="5"/>
  <c r="E36" i="5"/>
  <c r="D36" i="5"/>
  <c r="C36" i="5"/>
  <c r="B36" i="5"/>
  <c r="I35" i="5"/>
  <c r="H35" i="5"/>
  <c r="G35" i="5"/>
  <c r="F35" i="5"/>
  <c r="E35" i="5"/>
  <c r="D35" i="5"/>
  <c r="C35" i="5"/>
  <c r="B35" i="5"/>
  <c r="CM34" i="5"/>
  <c r="I34" i="5"/>
  <c r="H34" i="5"/>
  <c r="G34" i="5"/>
  <c r="F34" i="5"/>
  <c r="E34" i="5"/>
  <c r="D34" i="5"/>
  <c r="C34" i="5"/>
  <c r="B34" i="5"/>
  <c r="I33" i="5"/>
  <c r="H33" i="5"/>
  <c r="G33" i="5"/>
  <c r="F33" i="5"/>
  <c r="E33" i="5"/>
  <c r="D33" i="5"/>
  <c r="C33" i="5"/>
  <c r="B33" i="5"/>
  <c r="I32" i="5"/>
  <c r="H32" i="5"/>
  <c r="G32" i="5"/>
  <c r="F32" i="5"/>
  <c r="E32" i="5"/>
  <c r="D32" i="5"/>
  <c r="C32" i="5"/>
  <c r="B32" i="5"/>
  <c r="I31" i="5"/>
  <c r="H31" i="5"/>
  <c r="G31" i="5"/>
  <c r="F31" i="5"/>
  <c r="E31" i="5"/>
  <c r="D31" i="5"/>
  <c r="C31" i="5"/>
  <c r="B31" i="5"/>
  <c r="CM30" i="5"/>
  <c r="I30" i="5"/>
  <c r="H30" i="5"/>
  <c r="G30" i="5"/>
  <c r="F30" i="5"/>
  <c r="E30" i="5"/>
  <c r="D30" i="5"/>
  <c r="C30" i="5"/>
  <c r="B30" i="5"/>
  <c r="I29" i="5"/>
  <c r="H29" i="5"/>
  <c r="G29" i="5"/>
  <c r="F29" i="5"/>
  <c r="E29" i="5"/>
  <c r="D29" i="5"/>
  <c r="C29" i="5"/>
  <c r="B29" i="5"/>
  <c r="I28" i="5"/>
  <c r="H28" i="5"/>
  <c r="G28" i="5"/>
  <c r="F28" i="5"/>
  <c r="E28" i="5"/>
  <c r="D28" i="5"/>
  <c r="C28" i="5"/>
  <c r="B28" i="5"/>
  <c r="I27" i="5"/>
  <c r="H27" i="5"/>
  <c r="G27" i="5"/>
  <c r="F27" i="5"/>
  <c r="E27" i="5"/>
  <c r="D27" i="5"/>
  <c r="C27" i="5"/>
  <c r="B27" i="5"/>
  <c r="CM26" i="5"/>
  <c r="I26" i="5"/>
  <c r="H26" i="5"/>
  <c r="G26" i="5"/>
  <c r="F26" i="5"/>
  <c r="E26" i="5"/>
  <c r="D26" i="5"/>
  <c r="C26" i="5"/>
  <c r="B26" i="5"/>
  <c r="I25" i="5"/>
  <c r="H25" i="5"/>
  <c r="G25" i="5"/>
  <c r="F25" i="5"/>
  <c r="E25" i="5"/>
  <c r="D25" i="5"/>
  <c r="C25" i="5"/>
  <c r="B25" i="5"/>
  <c r="I24" i="5"/>
  <c r="H24" i="5"/>
  <c r="G24" i="5"/>
  <c r="F24" i="5"/>
  <c r="E24" i="5"/>
  <c r="D24" i="5"/>
  <c r="C24" i="5"/>
  <c r="B24" i="5"/>
  <c r="I23" i="5"/>
  <c r="H23" i="5"/>
  <c r="G23" i="5"/>
  <c r="F23" i="5"/>
  <c r="E23" i="5"/>
  <c r="D23" i="5"/>
  <c r="C23" i="5"/>
  <c r="B23" i="5"/>
  <c r="CM22" i="5"/>
  <c r="I22" i="5"/>
  <c r="H22" i="5"/>
  <c r="G22" i="5"/>
  <c r="F22" i="5"/>
  <c r="E22" i="5"/>
  <c r="D22" i="5"/>
  <c r="C22" i="5"/>
  <c r="B22" i="5"/>
  <c r="I21" i="5"/>
  <c r="H21" i="5"/>
  <c r="G21" i="5"/>
  <c r="F21" i="5"/>
  <c r="E21" i="5"/>
  <c r="D21" i="5"/>
  <c r="C21" i="5"/>
  <c r="B21" i="5"/>
  <c r="I20" i="5"/>
  <c r="H20" i="5"/>
  <c r="G20" i="5"/>
  <c r="F20" i="5"/>
  <c r="E20" i="5"/>
  <c r="D20" i="5"/>
  <c r="C20" i="5"/>
  <c r="B20" i="5"/>
  <c r="I19" i="5"/>
  <c r="H19" i="5"/>
  <c r="G19" i="5"/>
  <c r="F19" i="5"/>
  <c r="E19" i="5"/>
  <c r="D19" i="5"/>
  <c r="C19" i="5"/>
  <c r="B19" i="5"/>
  <c r="CM18" i="5"/>
  <c r="I18" i="5"/>
  <c r="H18" i="5"/>
  <c r="G18" i="5"/>
  <c r="F18" i="5"/>
  <c r="E18" i="5"/>
  <c r="D18" i="5"/>
  <c r="C18" i="5"/>
  <c r="B18" i="5"/>
  <c r="I17" i="5"/>
  <c r="H17" i="5"/>
  <c r="G17" i="5"/>
  <c r="F17" i="5"/>
  <c r="E17" i="5"/>
  <c r="D17" i="5"/>
  <c r="C17" i="5"/>
  <c r="B17" i="5"/>
  <c r="I16" i="5"/>
  <c r="H16" i="5"/>
  <c r="G16" i="5"/>
  <c r="F16" i="5"/>
  <c r="E16" i="5"/>
  <c r="D16" i="5"/>
  <c r="C16" i="5"/>
  <c r="B16" i="5"/>
  <c r="I15" i="5"/>
  <c r="H15" i="5"/>
  <c r="G15" i="5"/>
  <c r="F15" i="5"/>
  <c r="E15" i="5"/>
  <c r="D15" i="5"/>
  <c r="C15" i="5"/>
  <c r="B15" i="5"/>
  <c r="CM14" i="5"/>
  <c r="I14" i="5"/>
  <c r="H14" i="5"/>
  <c r="G14" i="5"/>
  <c r="F14" i="5"/>
  <c r="E14" i="5"/>
  <c r="D14" i="5"/>
  <c r="C14" i="5"/>
  <c r="B14" i="5"/>
  <c r="I13" i="5"/>
  <c r="H13" i="5"/>
  <c r="G13" i="5"/>
  <c r="F13" i="5"/>
  <c r="E13" i="5"/>
  <c r="D13" i="5"/>
  <c r="C13" i="5"/>
  <c r="B13" i="5"/>
  <c r="I12" i="5"/>
  <c r="H12" i="5"/>
  <c r="G12" i="5"/>
  <c r="F12" i="5"/>
  <c r="E12" i="5"/>
  <c r="D12" i="5"/>
  <c r="C12" i="5"/>
  <c r="B12" i="5"/>
  <c r="I11" i="5"/>
  <c r="H11" i="5"/>
  <c r="G11" i="5"/>
  <c r="F11" i="5"/>
  <c r="E11" i="5"/>
  <c r="D11" i="5"/>
  <c r="C11" i="5"/>
  <c r="B11" i="5"/>
  <c r="CM10" i="5"/>
  <c r="I10" i="5"/>
  <c r="H10" i="5"/>
  <c r="G10" i="5"/>
  <c r="F10" i="5"/>
  <c r="E10" i="5"/>
  <c r="D10" i="5"/>
  <c r="C10" i="5"/>
  <c r="B10" i="5"/>
  <c r="I9" i="5"/>
  <c r="H9" i="5"/>
  <c r="G9" i="5"/>
  <c r="F9" i="5"/>
  <c r="E9" i="5"/>
  <c r="D9" i="5"/>
  <c r="C9" i="5"/>
  <c r="B9" i="5"/>
  <c r="I8" i="5"/>
  <c r="H8" i="5"/>
  <c r="G8" i="5"/>
  <c r="F8" i="5"/>
  <c r="E8" i="5"/>
  <c r="D8" i="5"/>
  <c r="C8" i="5"/>
  <c r="B8" i="5"/>
  <c r="I7" i="5"/>
  <c r="H7" i="5"/>
  <c r="G7" i="5"/>
  <c r="F7" i="5"/>
  <c r="E7" i="5"/>
  <c r="D7" i="5"/>
  <c r="C7" i="5"/>
  <c r="B7" i="5"/>
  <c r="CM6" i="5"/>
  <c r="I6" i="5"/>
  <c r="H6" i="5"/>
  <c r="G6" i="5"/>
  <c r="F6" i="5"/>
  <c r="E6" i="5"/>
  <c r="D6" i="5"/>
  <c r="C6" i="5"/>
  <c r="B6" i="5"/>
  <c r="I5" i="5"/>
  <c r="H5" i="5"/>
  <c r="G5" i="5"/>
  <c r="F5" i="5"/>
  <c r="E5" i="5"/>
  <c r="D5" i="5"/>
  <c r="C5" i="5"/>
  <c r="B5" i="5"/>
  <c r="I4" i="5"/>
  <c r="H4" i="5"/>
  <c r="G4" i="5"/>
  <c r="F4" i="5"/>
  <c r="E4" i="5"/>
  <c r="D4" i="5"/>
  <c r="C4" i="5"/>
  <c r="B4" i="5"/>
  <c r="I3" i="5"/>
  <c r="H3" i="5"/>
  <c r="G3" i="5"/>
  <c r="F3" i="5"/>
  <c r="E3" i="5"/>
  <c r="D3" i="5"/>
  <c r="C3" i="5"/>
  <c r="B3" i="5"/>
  <c r="CK1" i="5"/>
  <c r="CJ1" i="5" s="1"/>
  <c r="CI1" i="5" s="1"/>
  <c r="CH1" i="5"/>
  <c r="CG1" i="5" s="1"/>
  <c r="CF1" i="5" s="1"/>
  <c r="CE1" i="5" s="1"/>
  <c r="CD1" i="5" s="1"/>
  <c r="CC1" i="5" s="1"/>
  <c r="CB1" i="5" s="1"/>
  <c r="CA1" i="5" s="1"/>
  <c r="BZ1" i="5" s="1"/>
  <c r="BY1" i="5" s="1"/>
  <c r="BX1" i="5" s="1"/>
  <c r="BW1" i="5" s="1"/>
  <c r="BU1" i="4"/>
  <c r="BT1" i="4" s="1"/>
  <c r="BS1" i="4" s="1"/>
  <c r="BR1" i="4" s="1"/>
  <c r="BE1" i="4"/>
  <c r="BD1" i="4" s="1"/>
  <c r="AO1" i="4"/>
  <c r="AN1" i="4" s="1"/>
  <c r="AM1" i="4" s="1"/>
  <c r="Y1" i="4"/>
  <c r="X1" i="4" s="1"/>
  <c r="I62" i="4"/>
  <c r="H62" i="4"/>
  <c r="G62" i="4"/>
  <c r="F62" i="4"/>
  <c r="E62" i="4"/>
  <c r="D62" i="4"/>
  <c r="C62" i="4"/>
  <c r="B62" i="4"/>
  <c r="I61" i="4"/>
  <c r="H61" i="4"/>
  <c r="G61" i="4"/>
  <c r="F61" i="4"/>
  <c r="E61" i="4"/>
  <c r="D61" i="4"/>
  <c r="C61" i="4"/>
  <c r="B61" i="4"/>
  <c r="I60" i="4"/>
  <c r="H60" i="4"/>
  <c r="G60" i="4"/>
  <c r="F60" i="4"/>
  <c r="E60" i="4"/>
  <c r="D60" i="4"/>
  <c r="C60" i="4"/>
  <c r="B60" i="4"/>
  <c r="I59" i="4"/>
  <c r="H59" i="4"/>
  <c r="G59" i="4"/>
  <c r="F59" i="4"/>
  <c r="E59" i="4"/>
  <c r="D59" i="4"/>
  <c r="C59" i="4"/>
  <c r="B59" i="4"/>
  <c r="I58" i="4"/>
  <c r="H58" i="4"/>
  <c r="G58" i="4"/>
  <c r="F58" i="4"/>
  <c r="E58" i="4"/>
  <c r="D58" i="4"/>
  <c r="C58" i="4"/>
  <c r="B58" i="4"/>
  <c r="I57" i="4"/>
  <c r="H57" i="4"/>
  <c r="G57" i="4"/>
  <c r="F57" i="4"/>
  <c r="E57" i="4"/>
  <c r="D57" i="4"/>
  <c r="C57" i="4"/>
  <c r="B57" i="4"/>
  <c r="I56" i="4"/>
  <c r="H56" i="4"/>
  <c r="G56" i="4"/>
  <c r="F56" i="4"/>
  <c r="E56" i="4"/>
  <c r="D56" i="4"/>
  <c r="C56" i="4"/>
  <c r="B56" i="4"/>
  <c r="I55" i="4"/>
  <c r="H55" i="4"/>
  <c r="G55" i="4"/>
  <c r="F55" i="4"/>
  <c r="E55" i="4"/>
  <c r="D55" i="4"/>
  <c r="C55" i="4"/>
  <c r="B55" i="4"/>
  <c r="I54" i="4"/>
  <c r="H54" i="4"/>
  <c r="G54" i="4"/>
  <c r="F54" i="4"/>
  <c r="E54" i="4"/>
  <c r="D54" i="4"/>
  <c r="C54" i="4"/>
  <c r="B54" i="4"/>
  <c r="I53" i="4"/>
  <c r="H53" i="4"/>
  <c r="G53" i="4"/>
  <c r="F53" i="4"/>
  <c r="E53" i="4"/>
  <c r="D53" i="4"/>
  <c r="C53" i="4"/>
  <c r="B53" i="4"/>
  <c r="I52" i="4"/>
  <c r="H52" i="4"/>
  <c r="G52" i="4"/>
  <c r="F52" i="4"/>
  <c r="E52" i="4"/>
  <c r="D52" i="4"/>
  <c r="C52" i="4"/>
  <c r="B52" i="4"/>
  <c r="I51" i="4"/>
  <c r="H51" i="4"/>
  <c r="G51" i="4"/>
  <c r="F51" i="4"/>
  <c r="E51" i="4"/>
  <c r="D51" i="4"/>
  <c r="C51" i="4"/>
  <c r="B51" i="4"/>
  <c r="I50" i="4"/>
  <c r="H50" i="4"/>
  <c r="G50" i="4"/>
  <c r="F50" i="4"/>
  <c r="E50" i="4"/>
  <c r="D50" i="4"/>
  <c r="C50" i="4"/>
  <c r="B50" i="4"/>
  <c r="I49" i="4"/>
  <c r="H49" i="4"/>
  <c r="G49" i="4"/>
  <c r="F49" i="4"/>
  <c r="E49" i="4"/>
  <c r="D49" i="4"/>
  <c r="C49" i="4"/>
  <c r="B49" i="4"/>
  <c r="I48" i="4"/>
  <c r="H48" i="4"/>
  <c r="G48" i="4"/>
  <c r="F48" i="4"/>
  <c r="E48" i="4"/>
  <c r="D48" i="4"/>
  <c r="C48" i="4"/>
  <c r="B48" i="4"/>
  <c r="I47" i="4"/>
  <c r="H47" i="4"/>
  <c r="G47" i="4"/>
  <c r="F47" i="4"/>
  <c r="E47" i="4"/>
  <c r="D47" i="4"/>
  <c r="C47" i="4"/>
  <c r="B47" i="4"/>
  <c r="I46" i="4"/>
  <c r="H46" i="4"/>
  <c r="G46" i="4"/>
  <c r="F46" i="4"/>
  <c r="E46" i="4"/>
  <c r="D46" i="4"/>
  <c r="C46" i="4"/>
  <c r="B46" i="4"/>
  <c r="I45" i="4"/>
  <c r="H45" i="4"/>
  <c r="G45" i="4"/>
  <c r="F45" i="4"/>
  <c r="E45" i="4"/>
  <c r="D45" i="4"/>
  <c r="C45" i="4"/>
  <c r="B45" i="4"/>
  <c r="I44" i="4"/>
  <c r="H44" i="4"/>
  <c r="G44" i="4"/>
  <c r="F44" i="4"/>
  <c r="E44" i="4"/>
  <c r="D44" i="4"/>
  <c r="C44" i="4"/>
  <c r="B44" i="4"/>
  <c r="I43" i="4"/>
  <c r="H43" i="4"/>
  <c r="G43" i="4"/>
  <c r="F43" i="4"/>
  <c r="E43" i="4"/>
  <c r="D43" i="4"/>
  <c r="C43" i="4"/>
  <c r="B43" i="4"/>
  <c r="I42" i="4"/>
  <c r="H42" i="4"/>
  <c r="G42" i="4"/>
  <c r="F42" i="4"/>
  <c r="E42" i="4"/>
  <c r="D42" i="4"/>
  <c r="C42" i="4"/>
  <c r="B42" i="4"/>
  <c r="I41" i="4"/>
  <c r="H41" i="4"/>
  <c r="G41" i="4"/>
  <c r="F41" i="4"/>
  <c r="E41" i="4"/>
  <c r="D41" i="4"/>
  <c r="C41" i="4"/>
  <c r="B41" i="4"/>
  <c r="I40" i="4"/>
  <c r="H40" i="4"/>
  <c r="G40" i="4"/>
  <c r="F40" i="4"/>
  <c r="E40" i="4"/>
  <c r="D40" i="4"/>
  <c r="C40" i="4"/>
  <c r="B40" i="4"/>
  <c r="I39" i="4"/>
  <c r="H39" i="4"/>
  <c r="G39" i="4"/>
  <c r="F39" i="4"/>
  <c r="E39" i="4"/>
  <c r="D39" i="4"/>
  <c r="C39" i="4"/>
  <c r="B39" i="4"/>
  <c r="I38" i="4"/>
  <c r="H38" i="4"/>
  <c r="G38" i="4"/>
  <c r="F38" i="4"/>
  <c r="E38" i="4"/>
  <c r="D38" i="4"/>
  <c r="C38" i="4"/>
  <c r="B38" i="4"/>
  <c r="I37" i="4"/>
  <c r="H37" i="4"/>
  <c r="G37" i="4"/>
  <c r="F37" i="4"/>
  <c r="E37" i="4"/>
  <c r="D37" i="4"/>
  <c r="C37" i="4"/>
  <c r="B37" i="4"/>
  <c r="I36" i="4"/>
  <c r="H36" i="4"/>
  <c r="G36" i="4"/>
  <c r="F36" i="4"/>
  <c r="E36" i="4"/>
  <c r="D36" i="4"/>
  <c r="C36" i="4"/>
  <c r="B36" i="4"/>
  <c r="I35" i="4"/>
  <c r="H35" i="4"/>
  <c r="G35" i="4"/>
  <c r="F35" i="4"/>
  <c r="E35" i="4"/>
  <c r="D35" i="4"/>
  <c r="C35" i="4"/>
  <c r="B35" i="4"/>
  <c r="I34" i="4"/>
  <c r="H34" i="4"/>
  <c r="G34" i="4"/>
  <c r="F34" i="4"/>
  <c r="E34" i="4"/>
  <c r="D34" i="4"/>
  <c r="C34" i="4"/>
  <c r="B34" i="4"/>
  <c r="I33" i="4"/>
  <c r="H33" i="4"/>
  <c r="G33" i="4"/>
  <c r="F33" i="4"/>
  <c r="E33" i="4"/>
  <c r="D33" i="4"/>
  <c r="C33" i="4"/>
  <c r="B33" i="4"/>
  <c r="I32" i="4"/>
  <c r="H32" i="4"/>
  <c r="G32" i="4"/>
  <c r="F32" i="4"/>
  <c r="E32" i="4"/>
  <c r="D32" i="4"/>
  <c r="C32" i="4"/>
  <c r="B32" i="4"/>
  <c r="I31" i="4"/>
  <c r="H31" i="4"/>
  <c r="G31" i="4"/>
  <c r="F31" i="4"/>
  <c r="E31" i="4"/>
  <c r="D31" i="4"/>
  <c r="C31" i="4"/>
  <c r="B31" i="4"/>
  <c r="I30" i="4"/>
  <c r="H30" i="4"/>
  <c r="G30" i="4"/>
  <c r="F30" i="4"/>
  <c r="E30" i="4"/>
  <c r="D30" i="4"/>
  <c r="C30" i="4"/>
  <c r="B30" i="4"/>
  <c r="I29" i="4"/>
  <c r="H29" i="4"/>
  <c r="G29" i="4"/>
  <c r="F29" i="4"/>
  <c r="E29" i="4"/>
  <c r="D29" i="4"/>
  <c r="C29" i="4"/>
  <c r="B29" i="4"/>
  <c r="I28" i="4"/>
  <c r="H28" i="4"/>
  <c r="G28" i="4"/>
  <c r="F28" i="4"/>
  <c r="E28" i="4"/>
  <c r="D28" i="4"/>
  <c r="C28" i="4"/>
  <c r="B28" i="4"/>
  <c r="I27" i="4"/>
  <c r="H27" i="4"/>
  <c r="G27" i="4"/>
  <c r="F27" i="4"/>
  <c r="E27" i="4"/>
  <c r="D27" i="4"/>
  <c r="C27" i="4"/>
  <c r="B27" i="4"/>
  <c r="I26" i="4"/>
  <c r="H26" i="4"/>
  <c r="G26" i="4"/>
  <c r="F26" i="4"/>
  <c r="E26" i="4"/>
  <c r="D26" i="4"/>
  <c r="C26" i="4"/>
  <c r="B26" i="4"/>
  <c r="I25" i="4"/>
  <c r="H25" i="4"/>
  <c r="G25" i="4"/>
  <c r="F25" i="4"/>
  <c r="E25" i="4"/>
  <c r="D25" i="4"/>
  <c r="C25" i="4"/>
  <c r="B25" i="4"/>
  <c r="I24" i="4"/>
  <c r="H24" i="4"/>
  <c r="G24" i="4"/>
  <c r="F24" i="4"/>
  <c r="E24" i="4"/>
  <c r="D24" i="4"/>
  <c r="C24" i="4"/>
  <c r="B24" i="4"/>
  <c r="I23" i="4"/>
  <c r="H23" i="4"/>
  <c r="G23" i="4"/>
  <c r="F23" i="4"/>
  <c r="E23" i="4"/>
  <c r="D23" i="4"/>
  <c r="C23" i="4"/>
  <c r="B23" i="4"/>
  <c r="I22" i="4"/>
  <c r="H22" i="4"/>
  <c r="G22" i="4"/>
  <c r="F22" i="4"/>
  <c r="E22" i="4"/>
  <c r="D22" i="4"/>
  <c r="C22" i="4"/>
  <c r="B22" i="4"/>
  <c r="I21" i="4"/>
  <c r="H21" i="4"/>
  <c r="G21" i="4"/>
  <c r="F21" i="4"/>
  <c r="E21" i="4"/>
  <c r="D21" i="4"/>
  <c r="C21" i="4"/>
  <c r="B21" i="4"/>
  <c r="I20" i="4"/>
  <c r="H20" i="4"/>
  <c r="G20" i="4"/>
  <c r="F20" i="4"/>
  <c r="E20" i="4"/>
  <c r="D20" i="4"/>
  <c r="C20" i="4"/>
  <c r="B20" i="4"/>
  <c r="I19" i="4"/>
  <c r="H19" i="4"/>
  <c r="G19" i="4"/>
  <c r="F19" i="4"/>
  <c r="E19" i="4"/>
  <c r="D19" i="4"/>
  <c r="C19" i="4"/>
  <c r="B19" i="4"/>
  <c r="I18" i="4"/>
  <c r="H18" i="4"/>
  <c r="G18" i="4"/>
  <c r="F18" i="4"/>
  <c r="E18" i="4"/>
  <c r="D18" i="4"/>
  <c r="C18" i="4"/>
  <c r="B18" i="4"/>
  <c r="I17" i="4"/>
  <c r="H17" i="4"/>
  <c r="G17" i="4"/>
  <c r="F17" i="4"/>
  <c r="E17" i="4"/>
  <c r="D17" i="4"/>
  <c r="C17" i="4"/>
  <c r="B17" i="4"/>
  <c r="I16" i="4"/>
  <c r="H16" i="4"/>
  <c r="G16" i="4"/>
  <c r="F16" i="4"/>
  <c r="E16" i="4"/>
  <c r="D16" i="4"/>
  <c r="C16" i="4"/>
  <c r="B16" i="4"/>
  <c r="I15" i="4"/>
  <c r="H15" i="4"/>
  <c r="G15" i="4"/>
  <c r="F15" i="4"/>
  <c r="E15" i="4"/>
  <c r="D15" i="4"/>
  <c r="C15" i="4"/>
  <c r="B15" i="4"/>
  <c r="I14" i="4"/>
  <c r="H14" i="4"/>
  <c r="G14" i="4"/>
  <c r="F14" i="4"/>
  <c r="E14" i="4"/>
  <c r="D14" i="4"/>
  <c r="C14" i="4"/>
  <c r="B14" i="4"/>
  <c r="I13" i="4"/>
  <c r="H13" i="4"/>
  <c r="G13" i="4"/>
  <c r="F13" i="4"/>
  <c r="E13" i="4"/>
  <c r="D13" i="4"/>
  <c r="C13" i="4"/>
  <c r="B13" i="4"/>
  <c r="I12" i="4"/>
  <c r="H12" i="4"/>
  <c r="G12" i="4"/>
  <c r="F12" i="4"/>
  <c r="E12" i="4"/>
  <c r="D12" i="4"/>
  <c r="C12" i="4"/>
  <c r="B12" i="4"/>
  <c r="I11" i="4"/>
  <c r="H11" i="4"/>
  <c r="G11" i="4"/>
  <c r="F11" i="4"/>
  <c r="E11" i="4"/>
  <c r="D11" i="4"/>
  <c r="C11" i="4"/>
  <c r="B11" i="4"/>
  <c r="I10" i="4"/>
  <c r="H10" i="4"/>
  <c r="G10" i="4"/>
  <c r="F10" i="4"/>
  <c r="E10" i="4"/>
  <c r="D10" i="4"/>
  <c r="C10" i="4"/>
  <c r="B10" i="4"/>
  <c r="I9" i="4"/>
  <c r="H9" i="4"/>
  <c r="G9" i="4"/>
  <c r="F9" i="4"/>
  <c r="E9" i="4"/>
  <c r="D9" i="4"/>
  <c r="C9" i="4"/>
  <c r="B9" i="4"/>
  <c r="I8" i="4"/>
  <c r="H8" i="4"/>
  <c r="G8" i="4"/>
  <c r="F8" i="4"/>
  <c r="E8" i="4"/>
  <c r="D8" i="4"/>
  <c r="C8" i="4"/>
  <c r="B8" i="4"/>
  <c r="I7" i="4"/>
  <c r="H7" i="4"/>
  <c r="G7" i="4"/>
  <c r="F7" i="4"/>
  <c r="E7" i="4"/>
  <c r="D7" i="4"/>
  <c r="C7" i="4"/>
  <c r="B7" i="4"/>
  <c r="I6" i="4"/>
  <c r="H6" i="4"/>
  <c r="G6" i="4"/>
  <c r="F6" i="4"/>
  <c r="E6" i="4"/>
  <c r="D6" i="4"/>
  <c r="C6" i="4"/>
  <c r="B6" i="4"/>
  <c r="I5" i="4"/>
  <c r="H5" i="4"/>
  <c r="G5" i="4"/>
  <c r="F5" i="4"/>
  <c r="E5" i="4"/>
  <c r="D5" i="4"/>
  <c r="C5" i="4"/>
  <c r="B5" i="4"/>
  <c r="I4" i="4"/>
  <c r="H4" i="4"/>
  <c r="G4" i="4"/>
  <c r="F4" i="4"/>
  <c r="E4" i="4"/>
  <c r="D4" i="4"/>
  <c r="C4" i="4"/>
  <c r="B4" i="4"/>
  <c r="I3" i="4"/>
  <c r="H3" i="4"/>
  <c r="G3" i="4"/>
  <c r="F3" i="4"/>
  <c r="E3" i="4"/>
  <c r="D3" i="4"/>
  <c r="C3" i="4"/>
  <c r="B3" i="4"/>
  <c r="CK1" i="4"/>
  <c r="CJ1" i="4" s="1"/>
  <c r="CI1" i="4" s="1"/>
  <c r="CH1" i="4" s="1"/>
  <c r="CG1" i="4" s="1"/>
  <c r="CF1" i="4" s="1"/>
  <c r="CE1" i="4" s="1"/>
  <c r="CD1" i="4" s="1"/>
  <c r="CC1" i="4" s="1"/>
  <c r="CB1" i="4" s="1"/>
  <c r="CA1" i="4" s="1"/>
  <c r="BZ1" i="4" s="1"/>
  <c r="BY1" i="4" s="1"/>
  <c r="BX1" i="4" s="1"/>
  <c r="BW1" i="4" s="1"/>
  <c r="CK1" i="3"/>
  <c r="CJ1" i="3" s="1"/>
  <c r="CI1" i="3"/>
  <c r="CH1" i="3" s="1"/>
  <c r="CG1" i="3" s="1"/>
  <c r="CF1" i="3" s="1"/>
  <c r="CE1" i="3" s="1"/>
  <c r="CD1" i="3" s="1"/>
  <c r="CC1" i="3" s="1"/>
  <c r="CB1" i="3" s="1"/>
  <c r="CA1" i="3" s="1"/>
  <c r="BZ1" i="3" s="1"/>
  <c r="BY1" i="3" s="1"/>
  <c r="BX1" i="3" s="1"/>
  <c r="BW1" i="3" s="1"/>
  <c r="BU1" i="3"/>
  <c r="BE1" i="3"/>
  <c r="BD1" i="3"/>
  <c r="BC1" i="3" s="1"/>
  <c r="AO1" i="3"/>
  <c r="AN1" i="3"/>
  <c r="AM1" i="3"/>
  <c r="Y1" i="3"/>
  <c r="I66" i="3"/>
  <c r="H66" i="3"/>
  <c r="G66" i="3"/>
  <c r="F66" i="3"/>
  <c r="E66" i="3"/>
  <c r="D66" i="3"/>
  <c r="C66" i="3"/>
  <c r="B66" i="3"/>
  <c r="I65" i="3"/>
  <c r="H65" i="3"/>
  <c r="G65" i="3"/>
  <c r="F65" i="3"/>
  <c r="E65" i="3"/>
  <c r="D65" i="3"/>
  <c r="C65" i="3"/>
  <c r="B65" i="3"/>
  <c r="I64" i="3"/>
  <c r="H64" i="3"/>
  <c r="G64" i="3"/>
  <c r="F64" i="3"/>
  <c r="E64" i="3"/>
  <c r="D64" i="3"/>
  <c r="C64" i="3"/>
  <c r="B64" i="3"/>
  <c r="I63" i="3"/>
  <c r="H63" i="3"/>
  <c r="G63" i="3"/>
  <c r="F63" i="3"/>
  <c r="E63" i="3"/>
  <c r="D63" i="3"/>
  <c r="C63" i="3"/>
  <c r="B63" i="3"/>
  <c r="I62" i="3"/>
  <c r="H62" i="3"/>
  <c r="G62" i="3"/>
  <c r="F62" i="3"/>
  <c r="E62" i="3"/>
  <c r="D62" i="3"/>
  <c r="C62" i="3"/>
  <c r="B62" i="3"/>
  <c r="I61" i="3"/>
  <c r="H61" i="3"/>
  <c r="G61" i="3"/>
  <c r="F61" i="3"/>
  <c r="E61" i="3"/>
  <c r="D61" i="3"/>
  <c r="C61" i="3"/>
  <c r="B61" i="3"/>
  <c r="I60" i="3"/>
  <c r="H60" i="3"/>
  <c r="G60" i="3"/>
  <c r="F60" i="3"/>
  <c r="E60" i="3"/>
  <c r="D60" i="3"/>
  <c r="C60" i="3"/>
  <c r="B60" i="3"/>
  <c r="I59" i="3"/>
  <c r="H59" i="3"/>
  <c r="G59" i="3"/>
  <c r="F59" i="3"/>
  <c r="E59" i="3"/>
  <c r="D59" i="3"/>
  <c r="C59" i="3"/>
  <c r="B59" i="3"/>
  <c r="I58" i="3"/>
  <c r="H58" i="3"/>
  <c r="G58" i="3"/>
  <c r="F58" i="3"/>
  <c r="E58" i="3"/>
  <c r="D58" i="3"/>
  <c r="C58" i="3"/>
  <c r="B58" i="3"/>
  <c r="I57" i="3"/>
  <c r="H57" i="3"/>
  <c r="G57" i="3"/>
  <c r="F57" i="3"/>
  <c r="E57" i="3"/>
  <c r="D57" i="3"/>
  <c r="C57" i="3"/>
  <c r="B57" i="3"/>
  <c r="I56" i="3"/>
  <c r="H56" i="3"/>
  <c r="G56" i="3"/>
  <c r="F56" i="3"/>
  <c r="E56" i="3"/>
  <c r="D56" i="3"/>
  <c r="C56" i="3"/>
  <c r="B56" i="3"/>
  <c r="I55" i="3"/>
  <c r="H55" i="3"/>
  <c r="G55" i="3"/>
  <c r="F55" i="3"/>
  <c r="E55" i="3"/>
  <c r="D55" i="3"/>
  <c r="C55" i="3"/>
  <c r="B55" i="3"/>
  <c r="I54" i="3"/>
  <c r="H54" i="3"/>
  <c r="G54" i="3"/>
  <c r="F54" i="3"/>
  <c r="E54" i="3"/>
  <c r="D54" i="3"/>
  <c r="C54" i="3"/>
  <c r="B54" i="3"/>
  <c r="I53" i="3"/>
  <c r="H53" i="3"/>
  <c r="G53" i="3"/>
  <c r="F53" i="3"/>
  <c r="E53" i="3"/>
  <c r="D53" i="3"/>
  <c r="C53" i="3"/>
  <c r="B53" i="3"/>
  <c r="I52" i="3"/>
  <c r="H52" i="3"/>
  <c r="G52" i="3"/>
  <c r="F52" i="3"/>
  <c r="E52" i="3"/>
  <c r="D52" i="3"/>
  <c r="C52" i="3"/>
  <c r="B52" i="3"/>
  <c r="I51" i="3"/>
  <c r="H51" i="3"/>
  <c r="G51" i="3"/>
  <c r="F51" i="3"/>
  <c r="E51" i="3"/>
  <c r="D51" i="3"/>
  <c r="C51" i="3"/>
  <c r="B51" i="3"/>
  <c r="I50" i="3"/>
  <c r="H50" i="3"/>
  <c r="G50" i="3"/>
  <c r="F50" i="3"/>
  <c r="E50" i="3"/>
  <c r="D50" i="3"/>
  <c r="C50" i="3"/>
  <c r="B50" i="3"/>
  <c r="I49" i="3"/>
  <c r="H49" i="3"/>
  <c r="G49" i="3"/>
  <c r="F49" i="3"/>
  <c r="E49" i="3"/>
  <c r="D49" i="3"/>
  <c r="C49" i="3"/>
  <c r="B49" i="3"/>
  <c r="I48" i="3"/>
  <c r="H48" i="3"/>
  <c r="G48" i="3"/>
  <c r="F48" i="3"/>
  <c r="E48" i="3"/>
  <c r="D48" i="3"/>
  <c r="C48" i="3"/>
  <c r="B48" i="3"/>
  <c r="I47" i="3"/>
  <c r="H47" i="3"/>
  <c r="G47" i="3"/>
  <c r="F47" i="3"/>
  <c r="E47" i="3"/>
  <c r="D47" i="3"/>
  <c r="C47" i="3"/>
  <c r="B47" i="3"/>
  <c r="I46" i="3"/>
  <c r="H46" i="3"/>
  <c r="G46" i="3"/>
  <c r="F46" i="3"/>
  <c r="E46" i="3"/>
  <c r="D46" i="3"/>
  <c r="C46" i="3"/>
  <c r="B46" i="3"/>
  <c r="I45" i="3"/>
  <c r="H45" i="3"/>
  <c r="G45" i="3"/>
  <c r="F45" i="3"/>
  <c r="E45" i="3"/>
  <c r="D45" i="3"/>
  <c r="C45" i="3"/>
  <c r="B45" i="3"/>
  <c r="I44" i="3"/>
  <c r="H44" i="3"/>
  <c r="G44" i="3"/>
  <c r="F44" i="3"/>
  <c r="E44" i="3"/>
  <c r="D44" i="3"/>
  <c r="C44" i="3"/>
  <c r="B44" i="3"/>
  <c r="I43" i="3"/>
  <c r="H43" i="3"/>
  <c r="G43" i="3"/>
  <c r="F43" i="3"/>
  <c r="E43" i="3"/>
  <c r="D43" i="3"/>
  <c r="C43" i="3"/>
  <c r="B43" i="3"/>
  <c r="I42" i="3"/>
  <c r="H42" i="3"/>
  <c r="G42" i="3"/>
  <c r="F42" i="3"/>
  <c r="E42" i="3"/>
  <c r="D42" i="3"/>
  <c r="C42" i="3"/>
  <c r="B42" i="3"/>
  <c r="I41" i="3"/>
  <c r="H41" i="3"/>
  <c r="G41" i="3"/>
  <c r="F41" i="3"/>
  <c r="E41" i="3"/>
  <c r="D41" i="3"/>
  <c r="C41" i="3"/>
  <c r="B41" i="3"/>
  <c r="I40" i="3"/>
  <c r="H40" i="3"/>
  <c r="G40" i="3"/>
  <c r="F40" i="3"/>
  <c r="E40" i="3"/>
  <c r="D40" i="3"/>
  <c r="C40" i="3"/>
  <c r="B40" i="3"/>
  <c r="I39" i="3"/>
  <c r="H39" i="3"/>
  <c r="G39" i="3"/>
  <c r="F39" i="3"/>
  <c r="E39" i="3"/>
  <c r="D39" i="3"/>
  <c r="C39" i="3"/>
  <c r="B39" i="3"/>
  <c r="I38" i="3"/>
  <c r="H38" i="3"/>
  <c r="G38" i="3"/>
  <c r="F38" i="3"/>
  <c r="E38" i="3"/>
  <c r="D38" i="3"/>
  <c r="C38" i="3"/>
  <c r="B38" i="3"/>
  <c r="I37" i="3"/>
  <c r="H37" i="3"/>
  <c r="G37" i="3"/>
  <c r="F37" i="3"/>
  <c r="E37" i="3"/>
  <c r="D37" i="3"/>
  <c r="C37" i="3"/>
  <c r="B37" i="3"/>
  <c r="I36" i="3"/>
  <c r="H36" i="3"/>
  <c r="G36" i="3"/>
  <c r="F36" i="3"/>
  <c r="E36" i="3"/>
  <c r="D36" i="3"/>
  <c r="C36" i="3"/>
  <c r="B36" i="3"/>
  <c r="I35" i="3"/>
  <c r="H35" i="3"/>
  <c r="G35" i="3"/>
  <c r="F35" i="3"/>
  <c r="E35" i="3"/>
  <c r="D35" i="3"/>
  <c r="C35" i="3"/>
  <c r="B35" i="3"/>
  <c r="I34" i="3"/>
  <c r="H34" i="3"/>
  <c r="G34" i="3"/>
  <c r="F34" i="3"/>
  <c r="E34" i="3"/>
  <c r="D34" i="3"/>
  <c r="C34" i="3"/>
  <c r="B34" i="3"/>
  <c r="I33" i="3"/>
  <c r="H33" i="3"/>
  <c r="G33" i="3"/>
  <c r="F33" i="3"/>
  <c r="E33" i="3"/>
  <c r="D33" i="3"/>
  <c r="C33" i="3"/>
  <c r="B33" i="3"/>
  <c r="I32" i="3"/>
  <c r="H32" i="3"/>
  <c r="G32" i="3"/>
  <c r="F32" i="3"/>
  <c r="E32" i="3"/>
  <c r="D32" i="3"/>
  <c r="C32" i="3"/>
  <c r="B32" i="3"/>
  <c r="I31" i="3"/>
  <c r="H31" i="3"/>
  <c r="G31" i="3"/>
  <c r="F31" i="3"/>
  <c r="E31" i="3"/>
  <c r="D31" i="3"/>
  <c r="C31" i="3"/>
  <c r="B31" i="3"/>
  <c r="I30" i="3"/>
  <c r="H30" i="3"/>
  <c r="G30" i="3"/>
  <c r="F30" i="3"/>
  <c r="E30" i="3"/>
  <c r="D30" i="3"/>
  <c r="C30" i="3"/>
  <c r="B30" i="3"/>
  <c r="I29" i="3"/>
  <c r="H29" i="3"/>
  <c r="G29" i="3"/>
  <c r="F29" i="3"/>
  <c r="E29" i="3"/>
  <c r="D29" i="3"/>
  <c r="C29" i="3"/>
  <c r="B29" i="3"/>
  <c r="I28" i="3"/>
  <c r="H28" i="3"/>
  <c r="G28" i="3"/>
  <c r="F28" i="3"/>
  <c r="E28" i="3"/>
  <c r="D28" i="3"/>
  <c r="C28" i="3"/>
  <c r="B28" i="3"/>
  <c r="I27" i="3"/>
  <c r="H27" i="3"/>
  <c r="G27" i="3"/>
  <c r="F27" i="3"/>
  <c r="E27" i="3"/>
  <c r="D27" i="3"/>
  <c r="C27" i="3"/>
  <c r="B27" i="3"/>
  <c r="I26" i="3"/>
  <c r="H26" i="3"/>
  <c r="G26" i="3"/>
  <c r="F26" i="3"/>
  <c r="E26" i="3"/>
  <c r="D26" i="3"/>
  <c r="C26" i="3"/>
  <c r="B26" i="3"/>
  <c r="I25" i="3"/>
  <c r="H25" i="3"/>
  <c r="G25" i="3"/>
  <c r="F25" i="3"/>
  <c r="E25" i="3"/>
  <c r="D25" i="3"/>
  <c r="C25" i="3"/>
  <c r="B25" i="3"/>
  <c r="I24" i="3"/>
  <c r="H24" i="3"/>
  <c r="G24" i="3"/>
  <c r="F24" i="3"/>
  <c r="E24" i="3"/>
  <c r="D24" i="3"/>
  <c r="C24" i="3"/>
  <c r="B24" i="3"/>
  <c r="I23" i="3"/>
  <c r="H23" i="3"/>
  <c r="G23" i="3"/>
  <c r="F23" i="3"/>
  <c r="E23" i="3"/>
  <c r="D23" i="3"/>
  <c r="C23" i="3"/>
  <c r="B23" i="3"/>
  <c r="I22" i="3"/>
  <c r="H22" i="3"/>
  <c r="G22" i="3"/>
  <c r="F22" i="3"/>
  <c r="E22" i="3"/>
  <c r="D22" i="3"/>
  <c r="C22" i="3"/>
  <c r="B22" i="3"/>
  <c r="I21" i="3"/>
  <c r="H21" i="3"/>
  <c r="G21" i="3"/>
  <c r="F21" i="3"/>
  <c r="E21" i="3"/>
  <c r="D21" i="3"/>
  <c r="C21" i="3"/>
  <c r="B21" i="3"/>
  <c r="I20" i="3"/>
  <c r="H20" i="3"/>
  <c r="G20" i="3"/>
  <c r="F20" i="3"/>
  <c r="E20" i="3"/>
  <c r="D20" i="3"/>
  <c r="C20" i="3"/>
  <c r="B20" i="3"/>
  <c r="I19" i="3"/>
  <c r="H19" i="3"/>
  <c r="G19" i="3"/>
  <c r="F19" i="3"/>
  <c r="E19" i="3"/>
  <c r="D19" i="3"/>
  <c r="C19" i="3"/>
  <c r="B19" i="3"/>
  <c r="I18" i="3"/>
  <c r="H18" i="3"/>
  <c r="G18" i="3"/>
  <c r="F18" i="3"/>
  <c r="E18" i="3"/>
  <c r="D18" i="3"/>
  <c r="C18" i="3"/>
  <c r="B18" i="3"/>
  <c r="I17" i="3"/>
  <c r="H17" i="3"/>
  <c r="G17" i="3"/>
  <c r="F17" i="3"/>
  <c r="E17" i="3"/>
  <c r="D17" i="3"/>
  <c r="C17" i="3"/>
  <c r="B17" i="3"/>
  <c r="I16" i="3"/>
  <c r="H16" i="3"/>
  <c r="G16" i="3"/>
  <c r="F16" i="3"/>
  <c r="E16" i="3"/>
  <c r="D16" i="3"/>
  <c r="C16" i="3"/>
  <c r="B16" i="3"/>
  <c r="I15" i="3"/>
  <c r="H15" i="3"/>
  <c r="G15" i="3"/>
  <c r="F15" i="3"/>
  <c r="E15" i="3"/>
  <c r="D15" i="3"/>
  <c r="C15" i="3"/>
  <c r="B15" i="3"/>
  <c r="I14" i="3"/>
  <c r="H14" i="3"/>
  <c r="G14" i="3"/>
  <c r="F14" i="3"/>
  <c r="E14" i="3"/>
  <c r="D14" i="3"/>
  <c r="C14" i="3"/>
  <c r="B14" i="3"/>
  <c r="I13" i="3"/>
  <c r="H13" i="3"/>
  <c r="G13" i="3"/>
  <c r="F13" i="3"/>
  <c r="E13" i="3"/>
  <c r="D13" i="3"/>
  <c r="C13" i="3"/>
  <c r="B13" i="3"/>
  <c r="I12" i="3"/>
  <c r="H12" i="3"/>
  <c r="G12" i="3"/>
  <c r="F12" i="3"/>
  <c r="E12" i="3"/>
  <c r="D12" i="3"/>
  <c r="C12" i="3"/>
  <c r="B12" i="3"/>
  <c r="I11" i="3"/>
  <c r="H11" i="3"/>
  <c r="G11" i="3"/>
  <c r="F11" i="3"/>
  <c r="E11" i="3"/>
  <c r="D11" i="3"/>
  <c r="C11" i="3"/>
  <c r="B11" i="3"/>
  <c r="I10" i="3"/>
  <c r="H10" i="3"/>
  <c r="G10" i="3"/>
  <c r="F10" i="3"/>
  <c r="E10" i="3"/>
  <c r="D10" i="3"/>
  <c r="C10" i="3"/>
  <c r="B10" i="3"/>
  <c r="I9" i="3"/>
  <c r="H9" i="3"/>
  <c r="G9" i="3"/>
  <c r="F9" i="3"/>
  <c r="E9" i="3"/>
  <c r="D9" i="3"/>
  <c r="C9" i="3"/>
  <c r="B9" i="3"/>
  <c r="I8" i="3"/>
  <c r="H8" i="3"/>
  <c r="G8" i="3"/>
  <c r="F8" i="3"/>
  <c r="E8" i="3"/>
  <c r="D8" i="3"/>
  <c r="C8" i="3"/>
  <c r="B8" i="3"/>
  <c r="I7" i="3"/>
  <c r="H7" i="3"/>
  <c r="G7" i="3"/>
  <c r="F7" i="3"/>
  <c r="E7" i="3"/>
  <c r="D7" i="3"/>
  <c r="C7" i="3"/>
  <c r="B7" i="3"/>
  <c r="I6" i="3"/>
  <c r="H6" i="3"/>
  <c r="G6" i="3"/>
  <c r="F6" i="3"/>
  <c r="E6" i="3"/>
  <c r="D6" i="3"/>
  <c r="C6" i="3"/>
  <c r="B6" i="3"/>
  <c r="I5" i="3"/>
  <c r="H5" i="3"/>
  <c r="G5" i="3"/>
  <c r="F5" i="3"/>
  <c r="E5" i="3"/>
  <c r="D5" i="3"/>
  <c r="C5" i="3"/>
  <c r="B5" i="3"/>
  <c r="I4" i="3"/>
  <c r="H4" i="3"/>
  <c r="G4" i="3"/>
  <c r="F4" i="3"/>
  <c r="E4" i="3"/>
  <c r="D4" i="3"/>
  <c r="C4" i="3"/>
  <c r="B4" i="3"/>
  <c r="I3" i="3"/>
  <c r="H3" i="3"/>
  <c r="G3" i="3"/>
  <c r="F3" i="3"/>
  <c r="E3" i="3"/>
  <c r="D3" i="3"/>
  <c r="C3" i="3"/>
  <c r="B3" i="3"/>
  <c r="X1" i="3"/>
  <c r="W1" i="3"/>
  <c r="V1" i="3" s="1"/>
  <c r="U1" i="3" s="1"/>
  <c r="T1" i="3" s="1"/>
  <c r="S1" i="3" s="1"/>
  <c r="R1" i="3" s="1"/>
  <c r="Q1" i="3" s="1"/>
  <c r="P1" i="3" s="1"/>
  <c r="O1" i="3" s="1"/>
  <c r="N1" i="3" s="1"/>
  <c r="M1" i="3"/>
  <c r="L1" i="3" s="1"/>
  <c r="K1" i="3" s="1"/>
  <c r="CM10" i="3"/>
  <c r="DS51" i="3" l="1"/>
  <c r="DS62" i="3"/>
  <c r="DS59" i="3"/>
  <c r="DS53" i="3"/>
  <c r="DS10" i="3"/>
  <c r="DS56" i="3"/>
  <c r="DS13" i="3"/>
  <c r="DS50" i="3"/>
  <c r="DS63" i="3"/>
  <c r="DS58" i="3"/>
  <c r="DS16" i="3"/>
  <c r="BB1" i="3"/>
  <c r="BA1" i="3" s="1"/>
  <c r="AZ1" i="3" s="1"/>
  <c r="AY1" i="3" s="1"/>
  <c r="AX1" i="3" s="1"/>
  <c r="AW1" i="3" s="1"/>
  <c r="AV1" i="3" s="1"/>
  <c r="AU1" i="3" s="1"/>
  <c r="AT1" i="3" s="1"/>
  <c r="AS1" i="3" s="1"/>
  <c r="AR1" i="3" s="1"/>
  <c r="AQ1" i="3" s="1"/>
  <c r="DS12" i="3"/>
  <c r="DS61" i="3"/>
  <c r="DS7" i="3"/>
  <c r="DS9" i="3"/>
  <c r="DS47" i="3"/>
  <c r="DS4" i="3"/>
  <c r="DS6" i="3"/>
  <c r="DS14" i="3"/>
  <c r="DS42" i="3"/>
  <c r="DS55" i="3"/>
  <c r="DS60" i="3"/>
  <c r="DS57" i="3"/>
  <c r="DS52" i="3"/>
  <c r="DS24" i="3"/>
  <c r="BN1" i="5"/>
  <c r="BM1" i="5" s="1"/>
  <c r="BL1" i="5" s="1"/>
  <c r="BK1" i="5" s="1"/>
  <c r="BJ1" i="5" s="1"/>
  <c r="BI1" i="5" s="1"/>
  <c r="BH1" i="5" s="1"/>
  <c r="BG1" i="5" s="1"/>
  <c r="EI66" i="5" s="1"/>
  <c r="CM53" i="3"/>
  <c r="BT1" i="3"/>
  <c r="CM4" i="3"/>
  <c r="BC1" i="4"/>
  <c r="BB1" i="4" s="1"/>
  <c r="BA1" i="4" s="1"/>
  <c r="AZ1" i="4" s="1"/>
  <c r="AY1" i="4" s="1"/>
  <c r="AX1" i="4" s="1"/>
  <c r="AW1" i="4" s="1"/>
  <c r="AV1" i="4" s="1"/>
  <c r="AU1" i="4" s="1"/>
  <c r="AT1" i="4" s="1"/>
  <c r="AS1" i="4" s="1"/>
  <c r="AR1" i="4" s="1"/>
  <c r="AQ1" i="4" s="1"/>
  <c r="DS59" i="4"/>
  <c r="BQ1" i="4"/>
  <c r="CM14" i="3"/>
  <c r="CM12" i="3"/>
  <c r="DS65" i="3"/>
  <c r="CM52" i="3"/>
  <c r="CM49" i="3"/>
  <c r="CM24" i="3"/>
  <c r="CM45" i="3"/>
  <c r="DS54" i="3"/>
  <c r="W1" i="4"/>
  <c r="CM33" i="3"/>
  <c r="CM51" i="3"/>
  <c r="CM62" i="3"/>
  <c r="CM30" i="3"/>
  <c r="CM19" i="3"/>
  <c r="CM5" i="5"/>
  <c r="CM9" i="5"/>
  <c r="CM13" i="5"/>
  <c r="CM17" i="5"/>
  <c r="CM21" i="5"/>
  <c r="CM25" i="5"/>
  <c r="CM29" i="5"/>
  <c r="CM33" i="5"/>
  <c r="CM37" i="5"/>
  <c r="CM41" i="5"/>
  <c r="CM45" i="5"/>
  <c r="CM49" i="5"/>
  <c r="CM53" i="5"/>
  <c r="CM57" i="5"/>
  <c r="CM61" i="5"/>
  <c r="CM65" i="5"/>
  <c r="CM58" i="3"/>
  <c r="CM42" i="3"/>
  <c r="CM55" i="3"/>
  <c r="CM11" i="3"/>
  <c r="CM5" i="3"/>
  <c r="CM50" i="3"/>
  <c r="CM60" i="3"/>
  <c r="DS39" i="3"/>
  <c r="DS27" i="3"/>
  <c r="CM9" i="3"/>
  <c r="DS66" i="5"/>
  <c r="DS65" i="5"/>
  <c r="DS60" i="5"/>
  <c r="DS59" i="5"/>
  <c r="DS58" i="5"/>
  <c r="DS57" i="5"/>
  <c r="DS56" i="5"/>
  <c r="DS55" i="5"/>
  <c r="DS54" i="5"/>
  <c r="DS53" i="5"/>
  <c r="DS48" i="5"/>
  <c r="DS47" i="5"/>
  <c r="DS46" i="5"/>
  <c r="DS45" i="5"/>
  <c r="DS44" i="5"/>
  <c r="DS43" i="5"/>
  <c r="DS42" i="5"/>
  <c r="DS41" i="5"/>
  <c r="DS36" i="5"/>
  <c r="DS35" i="5"/>
  <c r="DS34" i="5"/>
  <c r="DS33" i="5"/>
  <c r="DS32" i="5"/>
  <c r="DS31" i="5"/>
  <c r="DS30" i="5"/>
  <c r="DS29" i="5"/>
  <c r="DS24" i="5"/>
  <c r="DS23" i="5"/>
  <c r="DS22" i="5"/>
  <c r="DS21" i="5"/>
  <c r="DS20" i="5"/>
  <c r="DS19" i="5"/>
  <c r="DS18" i="5"/>
  <c r="DS17" i="5"/>
  <c r="DS12" i="5"/>
  <c r="DS11" i="5"/>
  <c r="DS10" i="5"/>
  <c r="DS9" i="5"/>
  <c r="DS8" i="5"/>
  <c r="DS7" i="5"/>
  <c r="DS6" i="5"/>
  <c r="DS5" i="5"/>
  <c r="BD1" i="5"/>
  <c r="BC1" i="5" s="1"/>
  <c r="BB1" i="5" s="1"/>
  <c r="BA1" i="5" s="1"/>
  <c r="AZ1" i="5" s="1"/>
  <c r="AY1" i="5" s="1"/>
  <c r="AX1" i="5" s="1"/>
  <c r="AW1" i="5" s="1"/>
  <c r="AV1" i="5" s="1"/>
  <c r="AU1" i="5" s="1"/>
  <c r="AT1" i="5" s="1"/>
  <c r="AS1" i="5" s="1"/>
  <c r="AR1" i="5" s="1"/>
  <c r="AQ1" i="5" s="1"/>
  <c r="CM56" i="3"/>
  <c r="CM57" i="3"/>
  <c r="CM61" i="3"/>
  <c r="AL1" i="3"/>
  <c r="AL1" i="4"/>
  <c r="AK1" i="4" s="1"/>
  <c r="AJ1" i="4" s="1"/>
  <c r="AI1" i="4" s="1"/>
  <c r="AH1" i="4" s="1"/>
  <c r="AG1" i="4" s="1"/>
  <c r="AF1" i="4" s="1"/>
  <c r="AE1" i="4" s="1"/>
  <c r="AD1" i="4" s="1"/>
  <c r="AC1" i="4" s="1"/>
  <c r="AB1" i="4" s="1"/>
  <c r="AA1" i="4" s="1"/>
  <c r="DC20" i="4"/>
  <c r="CM39" i="3"/>
  <c r="CM27" i="3"/>
  <c r="CM4" i="5"/>
  <c r="CM8" i="5"/>
  <c r="CM12" i="5"/>
  <c r="CM16" i="5"/>
  <c r="CM20" i="5"/>
  <c r="CM24" i="5"/>
  <c r="CM28" i="5"/>
  <c r="CM32" i="5"/>
  <c r="CM36" i="5"/>
  <c r="CM40" i="5"/>
  <c r="CM44" i="5"/>
  <c r="CM48" i="5"/>
  <c r="CM52" i="5"/>
  <c r="CM56" i="5"/>
  <c r="CM60" i="5"/>
  <c r="CM64" i="5"/>
  <c r="EI59" i="5"/>
  <c r="EI58" i="5"/>
  <c r="EI57" i="5"/>
  <c r="EI56" i="5"/>
  <c r="EI55" i="5"/>
  <c r="EI54" i="5"/>
  <c r="EI53" i="5"/>
  <c r="EI52" i="5"/>
  <c r="EI51" i="5"/>
  <c r="EI50" i="5"/>
  <c r="EI49" i="5"/>
  <c r="EI48" i="5"/>
  <c r="EI47" i="5"/>
  <c r="EI46" i="5"/>
  <c r="EI45" i="5"/>
  <c r="EI44" i="5"/>
  <c r="EI43" i="5"/>
  <c r="EI42" i="5"/>
  <c r="EI41" i="5"/>
  <c r="EI40" i="5"/>
  <c r="EI39" i="5"/>
  <c r="EI38" i="5"/>
  <c r="EI37" i="5"/>
  <c r="EI36" i="5"/>
  <c r="EI35" i="5"/>
  <c r="EI34" i="5"/>
  <c r="EI33" i="5"/>
  <c r="EI32" i="5"/>
  <c r="EI31" i="5"/>
  <c r="EI30" i="5"/>
  <c r="EI29" i="5"/>
  <c r="EI28" i="5"/>
  <c r="EI27" i="5"/>
  <c r="EI26" i="5"/>
  <c r="EI25" i="5"/>
  <c r="EI24" i="5"/>
  <c r="EI23" i="5"/>
  <c r="EI22" i="5"/>
  <c r="EI21" i="5"/>
  <c r="EI20" i="5"/>
  <c r="EI19" i="5"/>
  <c r="EI18" i="5"/>
  <c r="EI17" i="5"/>
  <c r="EI16" i="5"/>
  <c r="EI15" i="5"/>
  <c r="EI14" i="5"/>
  <c r="EI13" i="5"/>
  <c r="EI12" i="5"/>
  <c r="EI11" i="5"/>
  <c r="EI10" i="5"/>
  <c r="EI9" i="5"/>
  <c r="EI8" i="5"/>
  <c r="EI7" i="5"/>
  <c r="EI6" i="5"/>
  <c r="EI5" i="5"/>
  <c r="EI4" i="5"/>
  <c r="EI3" i="5"/>
  <c r="CM63" i="3"/>
  <c r="CM18" i="3"/>
  <c r="CM8" i="3"/>
  <c r="EI65" i="5"/>
  <c r="DS36" i="3"/>
  <c r="CM64" i="3"/>
  <c r="CM66" i="3"/>
  <c r="CM7" i="3"/>
  <c r="AL1" i="5"/>
  <c r="AK1" i="5" s="1"/>
  <c r="AJ1" i="5" s="1"/>
  <c r="AI1" i="5" s="1"/>
  <c r="AH1" i="5" s="1"/>
  <c r="AG1" i="5" s="1"/>
  <c r="AF1" i="5" s="1"/>
  <c r="AE1" i="5" s="1"/>
  <c r="AD1" i="5" s="1"/>
  <c r="AC1" i="5" s="1"/>
  <c r="AB1" i="5" s="1"/>
  <c r="AA1" i="5" s="1"/>
  <c r="DC66" i="5"/>
  <c r="DC65" i="5"/>
  <c r="DC64" i="5"/>
  <c r="DC63" i="5"/>
  <c r="DC62" i="5"/>
  <c r="DC61" i="5"/>
  <c r="DC60" i="5"/>
  <c r="DC59" i="5"/>
  <c r="DC58" i="5"/>
  <c r="DC57" i="5"/>
  <c r="DC56" i="5"/>
  <c r="DC55" i="5"/>
  <c r="DC54" i="5"/>
  <c r="DC53" i="5"/>
  <c r="DC52" i="5"/>
  <c r="DC51" i="5"/>
  <c r="DC50" i="5"/>
  <c r="DC49" i="5"/>
  <c r="DC48" i="5"/>
  <c r="DC47" i="5"/>
  <c r="DC46" i="5"/>
  <c r="DC45" i="5"/>
  <c r="DC44" i="5"/>
  <c r="DC43" i="5"/>
  <c r="DC42" i="5"/>
  <c r="DC41" i="5"/>
  <c r="DC40" i="5"/>
  <c r="DC39" i="5"/>
  <c r="DC38" i="5"/>
  <c r="DC37" i="5"/>
  <c r="DC36" i="5"/>
  <c r="DC35" i="5"/>
  <c r="DC34" i="5"/>
  <c r="DC33" i="5"/>
  <c r="DC32" i="5"/>
  <c r="DC31" i="5"/>
  <c r="DC30" i="5"/>
  <c r="DC29" i="5"/>
  <c r="DC28" i="5"/>
  <c r="DC27" i="5"/>
  <c r="DC26" i="5"/>
  <c r="DC25" i="5"/>
  <c r="DC24" i="5"/>
  <c r="DC23" i="5"/>
  <c r="DC22" i="5"/>
  <c r="DC21" i="5"/>
  <c r="DC20" i="5"/>
  <c r="DC19" i="5"/>
  <c r="DC18" i="5"/>
  <c r="DC17" i="5"/>
  <c r="DC16" i="5"/>
  <c r="DC15" i="5"/>
  <c r="DC14" i="5"/>
  <c r="DC13" i="5"/>
  <c r="DC12" i="5"/>
  <c r="DC11" i="5"/>
  <c r="DC10" i="5"/>
  <c r="DC9" i="5"/>
  <c r="DC8" i="5"/>
  <c r="DC7" i="5"/>
  <c r="DC6" i="5"/>
  <c r="DC5" i="5"/>
  <c r="DC4" i="5"/>
  <c r="DC3" i="5"/>
  <c r="CM36" i="3"/>
  <c r="CM59" i="3"/>
  <c r="CM13" i="3"/>
  <c r="CM22" i="3"/>
  <c r="CM25" i="3"/>
  <c r="CM28" i="3"/>
  <c r="CM31" i="3"/>
  <c r="CM34" i="3"/>
  <c r="CM37" i="3"/>
  <c r="CM40" i="3"/>
  <c r="CM43" i="3"/>
  <c r="CM46" i="3"/>
  <c r="CM23" i="3"/>
  <c r="CM26" i="3"/>
  <c r="CM29" i="3"/>
  <c r="CM32" i="3"/>
  <c r="CM35" i="3"/>
  <c r="CM38" i="3"/>
  <c r="CM41" i="3"/>
  <c r="CM44" i="3"/>
  <c r="CM20" i="3"/>
  <c r="CM15" i="3"/>
  <c r="CM54" i="3"/>
  <c r="CM65" i="3"/>
  <c r="CM3" i="5"/>
  <c r="CM7" i="5"/>
  <c r="CM11" i="5"/>
  <c r="CM15" i="5"/>
  <c r="CM19" i="5"/>
  <c r="CM23" i="5"/>
  <c r="CM27" i="5"/>
  <c r="CM31" i="5"/>
  <c r="CM35" i="5"/>
  <c r="CM43" i="5"/>
  <c r="CM47" i="5"/>
  <c r="CM51" i="5"/>
  <c r="CM55" i="5"/>
  <c r="CM59" i="5"/>
  <c r="CM63" i="5"/>
  <c r="CM6" i="3"/>
  <c r="CM16" i="3"/>
  <c r="CM21" i="3"/>
  <c r="CM17" i="3"/>
  <c r="CM48" i="3"/>
  <c r="CM47" i="3"/>
  <c r="CM3" i="3"/>
  <c r="DS22" i="3"/>
  <c r="DS25" i="3"/>
  <c r="DS28" i="3"/>
  <c r="DS31" i="3"/>
  <c r="DS34" i="3"/>
  <c r="DS37" i="3"/>
  <c r="DS40" i="3"/>
  <c r="DS43" i="3"/>
  <c r="DS46" i="3"/>
  <c r="DS23" i="3"/>
  <c r="DS26" i="3"/>
  <c r="DS29" i="3"/>
  <c r="DS32" i="3"/>
  <c r="DS35" i="3"/>
  <c r="DS38" i="3"/>
  <c r="DS41" i="3"/>
  <c r="DS44" i="3"/>
  <c r="DS45" i="3"/>
  <c r="DS33" i="3"/>
  <c r="DC47" i="4"/>
  <c r="EI60" i="5"/>
  <c r="EI61" i="5"/>
  <c r="EI62" i="5"/>
  <c r="EI63" i="5"/>
  <c r="EI64" i="5"/>
  <c r="J1" i="13"/>
  <c r="DC49" i="4" l="1"/>
  <c r="DC48" i="4"/>
  <c r="DS38" i="4"/>
  <c r="DC38" i="4"/>
  <c r="DC34" i="4"/>
  <c r="DC8" i="4"/>
  <c r="DC24" i="4"/>
  <c r="DC9" i="4"/>
  <c r="DC23" i="4"/>
  <c r="DC19" i="4"/>
  <c r="DC10" i="4"/>
  <c r="DS50" i="4"/>
  <c r="DS48" i="4"/>
  <c r="DC36" i="4"/>
  <c r="DC46" i="4"/>
  <c r="DC37" i="4"/>
  <c r="DS62" i="4"/>
  <c r="DC35" i="4"/>
  <c r="DS17" i="4"/>
  <c r="DS35" i="4"/>
  <c r="DS47" i="4"/>
  <c r="DC27" i="4"/>
  <c r="DC26" i="4"/>
  <c r="DC50" i="4"/>
  <c r="DC25" i="4"/>
  <c r="DS52" i="4"/>
  <c r="DS42" i="4"/>
  <c r="DS44" i="4"/>
  <c r="DS54" i="4"/>
  <c r="DS20" i="4"/>
  <c r="DS8" i="4"/>
  <c r="DS5" i="4"/>
  <c r="DS19" i="4"/>
  <c r="DS4" i="4"/>
  <c r="DS46" i="4"/>
  <c r="DS29" i="4"/>
  <c r="DS14" i="4"/>
  <c r="DS28" i="4"/>
  <c r="DS25" i="4"/>
  <c r="DS40" i="4"/>
  <c r="DS36" i="4"/>
  <c r="DS23" i="4"/>
  <c r="AK1" i="3"/>
  <c r="DC11" i="4"/>
  <c r="DC21" i="4"/>
  <c r="BP1" i="4"/>
  <c r="DS11" i="4"/>
  <c r="DS41" i="4"/>
  <c r="DS39" i="4"/>
  <c r="DS15" i="4"/>
  <c r="DS60" i="4"/>
  <c r="DS49" i="3"/>
  <c r="DC32" i="4"/>
  <c r="DC3" i="4"/>
  <c r="DC13" i="4"/>
  <c r="DS56" i="4"/>
  <c r="DS53" i="4"/>
  <c r="DS51" i="4"/>
  <c r="DS26" i="4"/>
  <c r="DS22" i="4"/>
  <c r="BS1" i="3"/>
  <c r="DS48" i="3"/>
  <c r="DS58" i="4"/>
  <c r="DC33" i="4"/>
  <c r="DC4" i="4"/>
  <c r="DC14" i="4"/>
  <c r="DS31" i="4"/>
  <c r="DS12" i="4"/>
  <c r="DS45" i="4"/>
  <c r="DS37" i="4"/>
  <c r="DS33" i="4"/>
  <c r="DS19" i="3"/>
  <c r="DC12" i="4"/>
  <c r="DC22" i="4"/>
  <c r="DC44" i="4"/>
  <c r="DC43" i="4"/>
  <c r="DC31" i="4"/>
  <c r="DC54" i="4"/>
  <c r="DC42" i="4"/>
  <c r="DC30" i="4"/>
  <c r="DC5" i="4"/>
  <c r="DC15" i="4"/>
  <c r="DS13" i="5"/>
  <c r="DS25" i="5"/>
  <c r="DS37" i="5"/>
  <c r="DS49" i="5"/>
  <c r="DS61" i="5"/>
  <c r="V1" i="4"/>
  <c r="DS55" i="4"/>
  <c r="DS21" i="4"/>
  <c r="DS57" i="4"/>
  <c r="DS49" i="4"/>
  <c r="DS10" i="4"/>
  <c r="DS66" i="3"/>
  <c r="DS11" i="3"/>
  <c r="DS17" i="3"/>
  <c r="DC16" i="4"/>
  <c r="DS14" i="5"/>
  <c r="DS26" i="5"/>
  <c r="DS38" i="5"/>
  <c r="DS50" i="5"/>
  <c r="DS62" i="5"/>
  <c r="DS9" i="4"/>
  <c r="DS43" i="4"/>
  <c r="DS61" i="4"/>
  <c r="DS3" i="4"/>
  <c r="DS64" i="3"/>
  <c r="DS18" i="3"/>
  <c r="DS5" i="3"/>
  <c r="DC53" i="4"/>
  <c r="DC6" i="4"/>
  <c r="DC17" i="4"/>
  <c r="DS3" i="5"/>
  <c r="DS15" i="5"/>
  <c r="DS27" i="5"/>
  <c r="DS39" i="5"/>
  <c r="DS51" i="5"/>
  <c r="DS63" i="5"/>
  <c r="DS7" i="4"/>
  <c r="DS16" i="4"/>
  <c r="DS32" i="4"/>
  <c r="DS13" i="4"/>
  <c r="DS20" i="3"/>
  <c r="DS21" i="3"/>
  <c r="DS8" i="3"/>
  <c r="DS34" i="4"/>
  <c r="DC45" i="4"/>
  <c r="DC41" i="4"/>
  <c r="DC29" i="4"/>
  <c r="DC52" i="4"/>
  <c r="DC40" i="4"/>
  <c r="DC28" i="4"/>
  <c r="DC51" i="4"/>
  <c r="DC39" i="4"/>
  <c r="DC7" i="4"/>
  <c r="DC18" i="4"/>
  <c r="DS4" i="5"/>
  <c r="DS16" i="5"/>
  <c r="DS28" i="5"/>
  <c r="DS40" i="5"/>
  <c r="DS52" i="5"/>
  <c r="DS64" i="5"/>
  <c r="DS30" i="4"/>
  <c r="DS18" i="4"/>
  <c r="DS27" i="4"/>
  <c r="DS6" i="4"/>
  <c r="DS24" i="4"/>
  <c r="DS3" i="3"/>
  <c r="DS15" i="3"/>
  <c r="DS30" i="3"/>
  <c r="K1" i="13"/>
  <c r="BO1" i="4" l="1"/>
  <c r="U1" i="4"/>
  <c r="AJ1" i="3"/>
  <c r="BR1" i="3"/>
  <c r="L1" i="13"/>
  <c r="BQ1" i="3" l="1"/>
  <c r="T1" i="4"/>
  <c r="BN1" i="4"/>
  <c r="AI1" i="3"/>
  <c r="M1" i="13"/>
  <c r="AH1" i="3" l="1"/>
  <c r="BM1" i="4"/>
  <c r="S1" i="4"/>
  <c r="BP1" i="3"/>
  <c r="O114" i="13"/>
  <c r="P114" i="13" s="1"/>
  <c r="N1" i="13"/>
  <c r="O141" i="13" s="1"/>
  <c r="P141" i="13" s="1"/>
  <c r="BL1" i="4" l="1"/>
  <c r="BO1" i="3"/>
  <c r="R1" i="4"/>
  <c r="AG1" i="3"/>
  <c r="O112" i="13"/>
  <c r="P112" i="13" s="1"/>
  <c r="O152" i="13"/>
  <c r="P152" i="13" s="1"/>
  <c r="O74" i="13"/>
  <c r="P74" i="13" s="1"/>
  <c r="O50" i="13"/>
  <c r="P50" i="13" s="1"/>
  <c r="O67" i="13"/>
  <c r="P67" i="13" s="1"/>
  <c r="O135" i="13"/>
  <c r="P135" i="13" s="1"/>
  <c r="O108" i="13"/>
  <c r="P108" i="13" s="1"/>
  <c r="O149" i="13"/>
  <c r="P149" i="13" s="1"/>
  <c r="O65" i="13"/>
  <c r="P65" i="13" s="1"/>
  <c r="O123" i="13"/>
  <c r="P123" i="13" s="1"/>
  <c r="O138" i="13"/>
  <c r="P138" i="13" s="1"/>
  <c r="O137" i="13"/>
  <c r="P137" i="13" s="1"/>
  <c r="O127" i="13"/>
  <c r="P127" i="13" s="1"/>
  <c r="O119" i="13"/>
  <c r="P119" i="13" s="1"/>
  <c r="O148" i="13"/>
  <c r="P148" i="13" s="1"/>
  <c r="O142" i="13"/>
  <c r="P142" i="13" s="1"/>
  <c r="O140" i="13"/>
  <c r="P140" i="13" s="1"/>
  <c r="O143" i="13"/>
  <c r="P143" i="13" s="1"/>
  <c r="O144" i="13"/>
  <c r="P144" i="13" s="1"/>
  <c r="O68" i="13"/>
  <c r="P68" i="13" s="1"/>
  <c r="O136" i="13"/>
  <c r="P136" i="13" s="1"/>
  <c r="O150" i="13"/>
  <c r="P150" i="13" s="1"/>
  <c r="O145" i="13"/>
  <c r="P145" i="13" s="1"/>
  <c r="O139" i="13"/>
  <c r="P139" i="13" s="1"/>
  <c r="O147" i="13"/>
  <c r="P147" i="13" s="1"/>
  <c r="O2" i="13"/>
  <c r="P2" i="13" s="1"/>
  <c r="O151" i="13"/>
  <c r="P151" i="13" s="1"/>
  <c r="O146" i="13"/>
  <c r="P146" i="13" s="1"/>
  <c r="O99" i="13"/>
  <c r="P99" i="13" s="1"/>
  <c r="O64" i="13"/>
  <c r="P64" i="13" s="1"/>
  <c r="O61" i="13"/>
  <c r="P61" i="13" s="1"/>
  <c r="O102" i="13"/>
  <c r="P102" i="13" s="1"/>
  <c r="O62" i="13"/>
  <c r="P62" i="13" s="1"/>
  <c r="O26" i="13"/>
  <c r="P26" i="13" s="1"/>
  <c r="O113" i="13"/>
  <c r="P113" i="13" s="1"/>
  <c r="O12" i="13"/>
  <c r="P12" i="13" s="1"/>
  <c r="O109" i="13"/>
  <c r="P109" i="13" s="1"/>
  <c r="O110" i="13"/>
  <c r="P110" i="13" s="1"/>
  <c r="O70" i="13"/>
  <c r="P70" i="13" s="1"/>
  <c r="O75" i="13"/>
  <c r="P75" i="13" s="1"/>
  <c r="O63" i="13"/>
  <c r="P63" i="13" s="1"/>
  <c r="O59" i="13"/>
  <c r="P59" i="13" s="1"/>
  <c r="O60" i="13"/>
  <c r="P60" i="13" s="1"/>
  <c r="O69" i="13"/>
  <c r="P69" i="13" s="1"/>
  <c r="O76" i="13"/>
  <c r="P76" i="13" s="1"/>
  <c r="O71" i="13"/>
  <c r="P71" i="13" s="1"/>
  <c r="O66" i="13"/>
  <c r="P66" i="13" s="1"/>
  <c r="O73" i="13"/>
  <c r="P73" i="13" s="1"/>
  <c r="O120" i="13"/>
  <c r="P120" i="13" s="1"/>
  <c r="O132" i="13"/>
  <c r="P132" i="13" s="1"/>
  <c r="O133" i="13"/>
  <c r="P133" i="13" s="1"/>
  <c r="O103" i="13"/>
  <c r="P103" i="13" s="1"/>
  <c r="O72" i="13"/>
  <c r="P72" i="13" s="1"/>
  <c r="O57" i="13"/>
  <c r="P57" i="13" s="1"/>
  <c r="O87" i="13"/>
  <c r="P87" i="13" s="1"/>
  <c r="O104" i="13"/>
  <c r="P104" i="13" s="1"/>
  <c r="O98" i="13"/>
  <c r="P98" i="13" s="1"/>
  <c r="O105" i="13"/>
  <c r="P105" i="13" s="1"/>
  <c r="O24" i="13"/>
  <c r="P24" i="13" s="1"/>
  <c r="O101" i="13"/>
  <c r="P101" i="13" s="1"/>
  <c r="O106" i="13"/>
  <c r="P106" i="13" s="1"/>
  <c r="O3" i="13"/>
  <c r="P3" i="13" s="1"/>
  <c r="O35" i="13"/>
  <c r="P35" i="13" s="1"/>
  <c r="O100" i="13"/>
  <c r="P100" i="13" s="1"/>
  <c r="O7" i="13"/>
  <c r="P7" i="13" s="1"/>
  <c r="O23" i="13"/>
  <c r="P23" i="13" s="1"/>
  <c r="O107" i="13"/>
  <c r="P107" i="13" s="1"/>
  <c r="O122" i="13"/>
  <c r="P122" i="13" s="1"/>
  <c r="O97" i="13"/>
  <c r="P97" i="13" s="1"/>
  <c r="O111" i="13"/>
  <c r="P111" i="13" s="1"/>
  <c r="O85" i="13"/>
  <c r="P85" i="13" s="1"/>
  <c r="O14" i="13"/>
  <c r="P14" i="13" s="1"/>
  <c r="O30" i="13"/>
  <c r="P30" i="13" s="1"/>
  <c r="O84" i="13"/>
  <c r="P84" i="13" s="1"/>
  <c r="O9" i="13"/>
  <c r="P9" i="13" s="1"/>
  <c r="O81" i="13"/>
  <c r="P81" i="13" s="1"/>
  <c r="O25" i="13"/>
  <c r="P25" i="13" s="1"/>
  <c r="O88" i="13"/>
  <c r="P88" i="13" s="1"/>
  <c r="O29" i="13"/>
  <c r="P29" i="13" s="1"/>
  <c r="O10" i="13"/>
  <c r="P10" i="13" s="1"/>
  <c r="O33" i="13"/>
  <c r="P33" i="13" s="1"/>
  <c r="O93" i="13"/>
  <c r="P93" i="13" s="1"/>
  <c r="O44" i="13"/>
  <c r="P44" i="13" s="1"/>
  <c r="O128" i="13"/>
  <c r="P128" i="13" s="1"/>
  <c r="O124" i="13"/>
  <c r="P124" i="13" s="1"/>
  <c r="O121" i="13"/>
  <c r="P121" i="13" s="1"/>
  <c r="O47" i="13"/>
  <c r="P47" i="13" s="1"/>
  <c r="O125" i="13"/>
  <c r="P125" i="13" s="1"/>
  <c r="O15" i="13"/>
  <c r="P15" i="13" s="1"/>
  <c r="O8" i="13"/>
  <c r="P8" i="13" s="1"/>
  <c r="O31" i="13"/>
  <c r="P31" i="13" s="1"/>
  <c r="O28" i="13"/>
  <c r="P28" i="13" s="1"/>
  <c r="O78" i="13"/>
  <c r="P78" i="13" s="1"/>
  <c r="O95" i="13"/>
  <c r="P95" i="13" s="1"/>
  <c r="O82" i="13"/>
  <c r="P82" i="13" s="1"/>
  <c r="O91" i="13"/>
  <c r="P91" i="13" s="1"/>
  <c r="O80" i="13"/>
  <c r="P80" i="13" s="1"/>
  <c r="O92" i="13"/>
  <c r="P92" i="13" s="1"/>
  <c r="O83" i="13"/>
  <c r="P83" i="13" s="1"/>
  <c r="O86" i="13"/>
  <c r="P86" i="13" s="1"/>
  <c r="O90" i="13"/>
  <c r="P90" i="13" s="1"/>
  <c r="O89" i="13"/>
  <c r="P89" i="13" s="1"/>
  <c r="O22" i="13"/>
  <c r="P22" i="13" s="1"/>
  <c r="O19" i="13"/>
  <c r="P19" i="13" s="1"/>
  <c r="O5" i="13"/>
  <c r="P5" i="13" s="1"/>
  <c r="O56" i="13"/>
  <c r="P56" i="13" s="1"/>
  <c r="O18" i="13"/>
  <c r="P18" i="13" s="1"/>
  <c r="O36" i="13"/>
  <c r="P36" i="13" s="1"/>
  <c r="O79" i="13"/>
  <c r="P79" i="13" s="1"/>
  <c r="O48" i="13"/>
  <c r="P48" i="13" s="1"/>
  <c r="O54" i="13"/>
  <c r="P54" i="13" s="1"/>
  <c r="O17" i="13"/>
  <c r="P17" i="13" s="1"/>
  <c r="O21" i="13"/>
  <c r="P21" i="13" s="1"/>
  <c r="O94" i="13"/>
  <c r="P94" i="13" s="1"/>
  <c r="O32" i="13"/>
  <c r="P32" i="13" s="1"/>
  <c r="O117" i="13"/>
  <c r="P117" i="13" s="1"/>
  <c r="O27" i="13"/>
  <c r="P27" i="13" s="1"/>
  <c r="O38" i="13"/>
  <c r="P38" i="13" s="1"/>
  <c r="O6" i="13"/>
  <c r="P6" i="13" s="1"/>
  <c r="O49" i="13"/>
  <c r="P49" i="13" s="1"/>
  <c r="O34" i="13"/>
  <c r="P34" i="13" s="1"/>
  <c r="O37" i="13"/>
  <c r="P37" i="13" s="1"/>
  <c r="O41" i="13"/>
  <c r="P41" i="13" s="1"/>
  <c r="O116" i="13"/>
  <c r="P116" i="13" s="1"/>
  <c r="O55" i="13"/>
  <c r="P55" i="13" s="1"/>
  <c r="O4" i="13"/>
  <c r="P4" i="13" s="1"/>
  <c r="O46" i="13"/>
  <c r="P46" i="13" s="1"/>
  <c r="O130" i="13"/>
  <c r="P130" i="13" s="1"/>
  <c r="O118" i="13"/>
  <c r="P118" i="13" s="1"/>
  <c r="O45" i="13"/>
  <c r="P45" i="13" s="1"/>
  <c r="O131" i="13"/>
  <c r="P131" i="13" s="1"/>
  <c r="O16" i="13"/>
  <c r="P16" i="13" s="1"/>
  <c r="O51" i="13"/>
  <c r="P51" i="13" s="1"/>
  <c r="O129" i="13"/>
  <c r="P129" i="13" s="1"/>
  <c r="O40" i="13"/>
  <c r="P40" i="13" s="1"/>
  <c r="O52" i="13"/>
  <c r="P52" i="13" s="1"/>
  <c r="O42" i="13"/>
  <c r="P42" i="13" s="1"/>
  <c r="O13" i="13"/>
  <c r="P13" i="13" s="1"/>
  <c r="O126" i="13"/>
  <c r="P126" i="13" s="1"/>
  <c r="O11" i="13"/>
  <c r="P11" i="13" s="1"/>
  <c r="O43" i="13"/>
  <c r="P43" i="13" s="1"/>
  <c r="O53" i="13"/>
  <c r="P53" i="13" s="1"/>
  <c r="Q1" i="4" l="1"/>
  <c r="AF1" i="3"/>
  <c r="BN1" i="3"/>
  <c r="BK1" i="4"/>
  <c r="Q135" i="13"/>
  <c r="Q59" i="13"/>
  <c r="Q97" i="13"/>
  <c r="Q78" i="13"/>
  <c r="Q21" i="13"/>
  <c r="Q2" i="13"/>
  <c r="Q116" i="13"/>
  <c r="Q40" i="13"/>
  <c r="AE1" i="3" l="1"/>
  <c r="EI29" i="3"/>
  <c r="BJ1" i="4"/>
  <c r="BM1" i="3"/>
  <c r="BL1" i="3" s="1"/>
  <c r="BK1" i="3" s="1"/>
  <c r="BJ1" i="3" s="1"/>
  <c r="BI1" i="3" s="1"/>
  <c r="BH1" i="3" s="1"/>
  <c r="BG1" i="3" s="1"/>
  <c r="EI22" i="3" s="1"/>
  <c r="EI37" i="3"/>
  <c r="EI64" i="3"/>
  <c r="EI50" i="3"/>
  <c r="EI34" i="3"/>
  <c r="EI16" i="3"/>
  <c r="EI60" i="3"/>
  <c r="EI44" i="3"/>
  <c r="EI18" i="3"/>
  <c r="EI66" i="3"/>
  <c r="EI43" i="3"/>
  <c r="EI12" i="3"/>
  <c r="EI61" i="3"/>
  <c r="EI8" i="3"/>
  <c r="P1" i="4"/>
  <c r="EI27" i="3" l="1"/>
  <c r="EI5" i="3"/>
  <c r="EI9" i="3"/>
  <c r="EI32" i="3"/>
  <c r="EI53" i="3"/>
  <c r="EI36" i="3"/>
  <c r="BI1" i="4"/>
  <c r="EI35" i="3"/>
  <c r="AD1" i="3"/>
  <c r="EI30" i="3"/>
  <c r="EI49" i="3"/>
  <c r="EI20" i="3"/>
  <c r="EI11" i="3"/>
  <c r="EI58" i="3"/>
  <c r="EI51" i="3"/>
  <c r="EI3" i="3"/>
  <c r="EI23" i="3"/>
  <c r="EI56" i="3"/>
  <c r="EI47" i="3"/>
  <c r="EI19" i="3"/>
  <c r="EI63" i="3"/>
  <c r="EI52" i="3"/>
  <c r="EI6" i="3"/>
  <c r="EI41" i="3"/>
  <c r="EI57" i="3"/>
  <c r="EI26" i="3"/>
  <c r="EI14" i="3"/>
  <c r="EI21" i="3"/>
  <c r="EI25" i="3"/>
  <c r="EI54" i="3"/>
  <c r="EI39" i="3"/>
  <c r="O1" i="4"/>
  <c r="EI17" i="3"/>
  <c r="EI45" i="3"/>
  <c r="EI38" i="3"/>
  <c r="EI65" i="3"/>
  <c r="EI13" i="3"/>
  <c r="EI10" i="3"/>
  <c r="EI42" i="3"/>
  <c r="EI28" i="3"/>
  <c r="EI31" i="3"/>
  <c r="EI24" i="3"/>
  <c r="EI59" i="3"/>
  <c r="EI4" i="3"/>
  <c r="EI15" i="3"/>
  <c r="EI46" i="3"/>
  <c r="EI40" i="3"/>
  <c r="EI62" i="3"/>
  <c r="EI33" i="3"/>
  <c r="EI7" i="3"/>
  <c r="EI48" i="3"/>
  <c r="EI55" i="3"/>
  <c r="N1" i="4" l="1"/>
  <c r="DC40" i="3"/>
  <c r="DC31" i="3"/>
  <c r="AC1" i="3"/>
  <c r="AB1" i="3" s="1"/>
  <c r="AA1" i="3" s="1"/>
  <c r="DC46" i="3"/>
  <c r="DC61" i="3"/>
  <c r="DC56" i="3"/>
  <c r="DC16" i="3"/>
  <c r="DC37" i="3"/>
  <c r="DC53" i="3"/>
  <c r="DC44" i="3"/>
  <c r="DC47" i="3"/>
  <c r="DC50" i="3"/>
  <c r="DC66" i="3"/>
  <c r="DC32" i="3"/>
  <c r="DC39" i="3"/>
  <c r="DC45" i="3"/>
  <c r="DC38" i="3"/>
  <c r="DC18" i="3"/>
  <c r="DC51" i="3"/>
  <c r="DC57" i="3"/>
  <c r="DC63" i="3"/>
  <c r="DC43" i="3"/>
  <c r="DC62" i="3"/>
  <c r="DC34" i="3"/>
  <c r="DC55" i="3"/>
  <c r="DC3" i="3"/>
  <c r="DC8" i="3"/>
  <c r="DC21" i="3"/>
  <c r="DC42" i="3"/>
  <c r="DC5" i="3"/>
  <c r="DC14" i="3"/>
  <c r="DC35" i="3"/>
  <c r="DC4" i="3"/>
  <c r="DC29" i="3"/>
  <c r="DC64" i="3"/>
  <c r="DC36" i="3"/>
  <c r="DC6" i="3"/>
  <c r="DC49" i="3"/>
  <c r="DC24" i="3"/>
  <c r="DC65" i="3"/>
  <c r="DC19" i="3"/>
  <c r="BH1" i="4"/>
  <c r="DC41" i="3"/>
  <c r="DC7" i="3"/>
  <c r="DC27" i="3" l="1"/>
  <c r="DC54" i="3"/>
  <c r="DC48" i="3"/>
  <c r="DC52" i="3"/>
  <c r="DC25" i="3"/>
  <c r="DC20" i="3"/>
  <c r="EI45" i="4"/>
  <c r="DC60" i="3"/>
  <c r="DC12" i="3"/>
  <c r="DC33" i="3"/>
  <c r="M1" i="4"/>
  <c r="DC15" i="3"/>
  <c r="DC59" i="3"/>
  <c r="DC58" i="3"/>
  <c r="DC22" i="3"/>
  <c r="DC11" i="3"/>
  <c r="BG1" i="4"/>
  <c r="EI55" i="4" s="1"/>
  <c r="EI44" i="4"/>
  <c r="EI56" i="4"/>
  <c r="EI14" i="4"/>
  <c r="EI19" i="4"/>
  <c r="EI7" i="4"/>
  <c r="EI42" i="4"/>
  <c r="EI26" i="4"/>
  <c r="DC30" i="3"/>
  <c r="DC13" i="3"/>
  <c r="DC17" i="3"/>
  <c r="DC10" i="3"/>
  <c r="DC26" i="3"/>
  <c r="DC9" i="3"/>
  <c r="DC28" i="3"/>
  <c r="DC23" i="3"/>
  <c r="EI61" i="4" l="1"/>
  <c r="EI47" i="4"/>
  <c r="EI58" i="4"/>
  <c r="EI25" i="4"/>
  <c r="EI27" i="4"/>
  <c r="EI32" i="4"/>
  <c r="EI41" i="4"/>
  <c r="EI62" i="4"/>
  <c r="EI20" i="4"/>
  <c r="EI11" i="4"/>
  <c r="EI52" i="4"/>
  <c r="EI18" i="4"/>
  <c r="EI48" i="4"/>
  <c r="EI22" i="4"/>
  <c r="EI43" i="4"/>
  <c r="EI3" i="4"/>
  <c r="EI49" i="4"/>
  <c r="EI15" i="4"/>
  <c r="EI9" i="4"/>
  <c r="EI16" i="4"/>
  <c r="EI46" i="4"/>
  <c r="EI4" i="4"/>
  <c r="EI6" i="4"/>
  <c r="EI37" i="4"/>
  <c r="EI21" i="4"/>
  <c r="EI24" i="4"/>
  <c r="EI57" i="4"/>
  <c r="EI50" i="4"/>
  <c r="EI30" i="4"/>
  <c r="EI29" i="4"/>
  <c r="EI36" i="4"/>
  <c r="EI35" i="4"/>
  <c r="EI10" i="4"/>
  <c r="EI12" i="4"/>
  <c r="EI13" i="4"/>
  <c r="EI28" i="4"/>
  <c r="EI59" i="4"/>
  <c r="EI23" i="4"/>
  <c r="EI31" i="4"/>
  <c r="EI38" i="4"/>
  <c r="EI34" i="4"/>
  <c r="EI5" i="4"/>
  <c r="EI60" i="4"/>
  <c r="EI53" i="4"/>
  <c r="EI17" i="4"/>
  <c r="EI33" i="4"/>
  <c r="EI51" i="4"/>
  <c r="L1" i="4"/>
  <c r="EI39" i="4"/>
  <c r="EI54" i="4"/>
  <c r="EI8" i="4"/>
  <c r="EI40" i="4"/>
  <c r="K1" i="4" l="1"/>
  <c r="CM49" i="4" s="1"/>
  <c r="CM3" i="4" l="1"/>
  <c r="CM25" i="4"/>
  <c r="CM8" i="4"/>
  <c r="CM10" i="4"/>
  <c r="CM26" i="4"/>
  <c r="CM46" i="4"/>
  <c r="CM18" i="4"/>
  <c r="CM13" i="4"/>
  <c r="CM14" i="4"/>
  <c r="CM34" i="4"/>
  <c r="CM36" i="4"/>
  <c r="CM19" i="4"/>
  <c r="CM27" i="4"/>
  <c r="CM52" i="4"/>
  <c r="CM54" i="4"/>
  <c r="CM4" i="4"/>
  <c r="CM38" i="4"/>
  <c r="CM21" i="4"/>
  <c r="CM7" i="4"/>
  <c r="CM35" i="4"/>
  <c r="CM47" i="4"/>
  <c r="CM6" i="4"/>
  <c r="CM22" i="4"/>
  <c r="CM45" i="4"/>
  <c r="CM40" i="4"/>
  <c r="CM12" i="4"/>
  <c r="CM48" i="4"/>
  <c r="CM28" i="4"/>
  <c r="CM50" i="4"/>
  <c r="CM32" i="4"/>
  <c r="CM9" i="4"/>
  <c r="CM23" i="4"/>
  <c r="CM11" i="4"/>
  <c r="CM15" i="4"/>
  <c r="CM37" i="4"/>
  <c r="CM5" i="4"/>
  <c r="CM43" i="4"/>
  <c r="CM20" i="4"/>
  <c r="CM39" i="4"/>
  <c r="CM30" i="4"/>
  <c r="CM41" i="4"/>
  <c r="CM51" i="4"/>
  <c r="CM24" i="4"/>
  <c r="CM42" i="4"/>
  <c r="CM31" i="4"/>
  <c r="CM17" i="4"/>
  <c r="CM33" i="4"/>
  <c r="CM29" i="4"/>
  <c r="CM53" i="4"/>
  <c r="CM16" i="4"/>
  <c r="CM44" i="4"/>
</calcChain>
</file>

<file path=xl/sharedStrings.xml><?xml version="1.0" encoding="utf-8"?>
<sst xmlns="http://schemas.openxmlformats.org/spreadsheetml/2006/main" count="3023" uniqueCount="357">
  <si>
    <t>f</t>
  </si>
  <si>
    <t>,</t>
  </si>
  <si>
    <t>C</t>
  </si>
  <si>
    <t>F</t>
  </si>
  <si>
    <t>E</t>
  </si>
  <si>
    <t/>
  </si>
  <si>
    <t>0x0000,0x0000,0x0000,0x0000,0x0000,0x0000,0x0000,0x0000,0x0000,0x0000,//sp</t>
  </si>
  <si>
    <t>0x1000,0x1000,0x1000,0x1000,0x1000,0x1000,0x0000,0x1000,0x0000,0x0000,//!</t>
  </si>
  <si>
    <t>0x2800,0x2800,0x2800,0x0000,0x0000,0x0000,0x0000,0x0000,0x0000,0x0000,//"</t>
  </si>
  <si>
    <t>0x2400,0x2400,0x7C00,0x2400,0x4800,0x7C00,0x4800,0x4800,0x0000,0x0000,//#</t>
  </si>
  <si>
    <t>0x3800,0x5400,0x5000,0x3800,0x1400,0x5400,0x5400,0x3800,0x1000,0x0000,//$</t>
  </si>
  <si>
    <t>0x2000,0x5400,0x5800,0x3000,0x2800,0x5400,0x1400,0x0800,0x0000,0x0000,//%</t>
  </si>
  <si>
    <t>0x1000,0x2800,0x2800,0x1000,0x3400,0x4800,0x4800,0x3400,0x0000,0x0000,//&amp;</t>
  </si>
  <si>
    <t>0x1000,0x1000,0x1000,0x0000,0x0000,0x0000,0x0000,0x0000,0x0000,0x0000,//'</t>
  </si>
  <si>
    <t>0x0800,0x1000,0x2000,0x2000,0x2000,0x2000,0x2000,0x2000,0x1000,0x0800,//(</t>
  </si>
  <si>
    <t>0x2000,0x1000,0x0800,0x0800,0x0800,0x0800,0x0800,0x0800,0x1000,0x2000,//)</t>
  </si>
  <si>
    <t>0x1000,0x3800,0x1000,0x2800,0x0000,0x0000,0x0000,0x0000,0x0000,0x0000,//*</t>
  </si>
  <si>
    <t>0x0000,0x0000,0x1000,0x1000,0x7C00,0x1000,0x1000,0x0000,0x0000,0x0000,//+</t>
  </si>
  <si>
    <t>0x0000,0x0000,0x0000,0x0000,0x0000,0x0000,0x0000,0x1000,0x1000,0x1000,//,</t>
  </si>
  <si>
    <t>0x0000,0x0000,0x0000,0x0000,0x0000,0x3800,0x0000,0x0000,0x0000,0x0000,//-</t>
  </si>
  <si>
    <t>0x0000,0x0000,0x0000,0x0000,0x0000,0x0000,0x0000,0x1000,0x0000,0x0000,//.</t>
  </si>
  <si>
    <t>0x0800,0x0800,0x1000,0x1000,0x1000,0x1000,0x2000,0x2000,0x0000,0x0000,///</t>
  </si>
  <si>
    <t>0x3800,0x4400,0x4400,0x5400,0x4400,0x4400,0x4400,0x3800,0x0000,0x0000,//0</t>
  </si>
  <si>
    <t>0x1000,0x3000,0x5000,0x1000,0x1000,0x1000,0x1000,0x1000,0x0000,0x0000,//1</t>
  </si>
  <si>
    <t>0x3800,0x4400,0x4400,0x0400,0x0800,0x1000,0x2000,0x7C00,0x0000,0x0000,//2</t>
  </si>
  <si>
    <t>0x3800,0x4400,0x0400,0x1800,0x0400,0x0400,0x4400,0x3800,0x0000,0x0000,//3</t>
  </si>
  <si>
    <t>0x0800,0x1800,0x2800,0x2800,0x4800,0x7C00,0x0800,0x0800,0x0000,0x0000,//4</t>
  </si>
  <si>
    <t>0x7C00,0x4000,0x4000,0x7800,0x0400,0x0400,0x4400,0x3800,0x0000,0x0000,//5</t>
  </si>
  <si>
    <t>0x3800,0x4400,0x4000,0x7800,0x4400,0x4400,0x4400,0x3800,0x0000,0x0000,//6</t>
  </si>
  <si>
    <t>0x7C00,0x0400,0x0800,0x1000,0x1000,0x2000,0x2000,0x2000,0x0000,0x0000,//7</t>
  </si>
  <si>
    <t>0x3800,0x4400,0x4400,0x3800,0x4400,0x4400,0x4400,0x3800,0x0000,0x0000,//8</t>
  </si>
  <si>
    <t>0x3800,0x4400,0x4400,0x4400,0x3C00,0x0400,0x4400,0x3800,0x0000,0x0000,//9</t>
  </si>
  <si>
    <t>0x0000,0x0000,0x1000,0x0000,0x0000,0x0000,0x0000,0x1000,0x0000,0x0000,//:</t>
  </si>
  <si>
    <t>0x0000,0x0000,0x0000,0x1000,0x0000,0x0000,0x0000,0x1000,0x1000,0x1000,//;</t>
  </si>
  <si>
    <t>0x0000,0x0000,0x0C00,0x3000,0x4000,0x3000,0x0C00,0x0000,0x0000,0x0000,//&lt;</t>
  </si>
  <si>
    <t>0x0000,0x0000,0x0000,0x7C00,0x0000,0x7C00,0x0000,0x0000,0x0000,0x0000,//=</t>
  </si>
  <si>
    <t>0x0000,0x0000,0x6000,0x1800,0x0400,0x1800,0x6000,0x0000,0x0000,0x0000,//&gt;</t>
  </si>
  <si>
    <t>0x3800,0x4400,0x0400,0x0800,0x1000,0x1000,0x0000,0x1000,0x0000,0x0000,//?</t>
  </si>
  <si>
    <t>0x3800,0x4400,0x4C00,0x5400,0x5C00,0x4000,0x4000,0x3800,0x0000,0x0000,//@</t>
  </si>
  <si>
    <t>0x1000,0x2800,0x2800,0x2800,0x2800,0x7C00,0x4400,0x4400,0x0000,0x0000,//A</t>
  </si>
  <si>
    <t>0x7800,0x4400,0x4400,0x7800,0x4400,0x4400,0x4400,0x7800,0x0000,0x0000,//B</t>
  </si>
  <si>
    <t>0x3800,0x4400,0x4000,0x4000,0x4000,0x4000,0x4400,0x3800,0x0000,0x0000,//C</t>
  </si>
  <si>
    <t>0x7000,0x4800,0x4400,0x4400,0x4400,0x4400,0x4800,0x7000,0x0000,0x0000,//D</t>
  </si>
  <si>
    <t>0x7C00,0x4000,0x4000,0x7C00,0x4000,0x4000,0x4000,0x7C00,0x0000,0x0000,//E</t>
  </si>
  <si>
    <t>0x7C00,0x4000,0x4000,0x7800,0x4000,0x4000,0x4000,0x4000,0x0000,0x0000,//F</t>
  </si>
  <si>
    <t>0x3800,0x4400,0x4000,0x4000,0x5C00,0x4400,0x4400,0x3800,0x0000,0x0000,//G</t>
  </si>
  <si>
    <t>0x4400,0x4400,0x4400,0x7C00,0x4400,0x4400,0x4400,0x4400,0x0000,0x0000,//H</t>
  </si>
  <si>
    <t>0x3800,0x1000,0x1000,0x1000,0x1000,0x1000,0x1000,0x3800,0x0000,0x0000,//I</t>
  </si>
  <si>
    <t>0x0400,0x0400,0x0400,0x0400,0x0400,0x0400,0x4400,0x3800,0x0000,0x0000,//J</t>
  </si>
  <si>
    <t>0x4400,0x4800,0x5000,0x6000,0x5000,0x4800,0x4800,0x4400,0x0000,0x0000,//K</t>
  </si>
  <si>
    <t>0x4000,0x4000,0x4000,0x4000,0x4000,0x4000,0x4000,0x7C00,0x0000,0x0000,//L</t>
  </si>
  <si>
    <t>0x4400,0x6C00,0x6C00,0x5400,0x4400,0x4400,0x4400,0x4400,0x0000,0x0000,//M</t>
  </si>
  <si>
    <t>0x4400,0x6400,0x6400,0x5400,0x5400,0x4C00,0x4C00,0x4400,0x0000,0x0000,//N</t>
  </si>
  <si>
    <t>0x3800,0x4400,0x4400,0x4400,0x4400,0x4400,0x4400,0x3800,0x0000,0x0000,//O</t>
  </si>
  <si>
    <t>0x7800,0x4400,0x4400,0x4400,0x7800,0x4000,0x4000,0x4000,0x0000,0x0000,//P</t>
  </si>
  <si>
    <t>0x3800,0x4400,0x4400,0x4400,0x4400,0x4400,0x5400,0x3800,0x0400,0x0000,//Q</t>
  </si>
  <si>
    <t>0x7800,0x4400,0x4400,0x4400,0x7800,0x4800,0x4800,0x4400,0x0000,0x0000,//R</t>
  </si>
  <si>
    <t>0x3800,0x4400,0x4000,0x3000,0x0800,0x0400,0x4400,0x3800,0x0000,0x0000,//S</t>
  </si>
  <si>
    <t>0x7C00,0x1000,0x1000,0x1000,0x1000,0x1000,0x1000,0x1000,0x0000,0x0000,//T</t>
  </si>
  <si>
    <t>0x4400,0x4400,0x4400,0x4400,0x4400,0x4400,0x4400,0x3800,0x0000,0x0000,//U</t>
  </si>
  <si>
    <t>0x4400,0x4400,0x4400,0x2800,0x2800,0x2800,0x1000,0x1000,0x0000,0x0000,//V</t>
  </si>
  <si>
    <t>0x4400,0x4400,0x5400,0x5400,0x5400,0x6C00,0x2800,0x2800,0x0000,0x0000,//W</t>
  </si>
  <si>
    <t>0x4400,0x2800,0x2800,0x1000,0x1000,0x2800,0x2800,0x4400,0x0000,0x0000,//X</t>
  </si>
  <si>
    <t>0x4400,0x4400,0x2800,0x2800,0x1000,0x1000,0x1000,0x1000,0x0000,0x0000,//Y</t>
  </si>
  <si>
    <t>0x7C00,0x0400,0x0800,0x1000,0x1000,0x2000,0x4000,0x7C00,0x0000,0x0000,//Z</t>
  </si>
  <si>
    <t>0x1800,0x1000,0x1000,0x1000,0x1000,0x1000,0x1000,0x1000,0x1000,0x1800,//[</t>
  </si>
  <si>
    <t>0x2000,0x2000,0x1000,0x1000,0x1000,0x1000,0x0800,0x0800,0x0000,0x0000,/*\*/</t>
  </si>
  <si>
    <t>0x3000,0x1000,0x1000,0x1000,0x1000,0x1000,0x1000,0x1000,0x1000,0x3000,//]</t>
  </si>
  <si>
    <t>0x1000,0x2800,0x2800,0x4400,0x0000,0x0000,0x0000,0x0000,0x0000,0x0000,//^</t>
  </si>
  <si>
    <t>0x0000,0x0000,0x0000,0x0000,0x0000,0x0000,0x0000,0x0000,0x0000,0xFE00,//_</t>
  </si>
  <si>
    <t>0x2000,0x1000,0x0000,0x0000,0x0000,0x0000,0x0000,0x0000,0x0000,0x0000,//`</t>
  </si>
  <si>
    <t>0x0000,0x0000,0x3800,0x4400,0x3C00,0x4400,0x4C00,0x3400,0x0000,0x0000,//a</t>
  </si>
  <si>
    <t>0x4000,0x4000,0x5800,0x6400,0x4400,0x4400,0x6400,0x5800,0x0000,0x0000,//b</t>
  </si>
  <si>
    <t>0x0000,0x0000,0x3800,0x4400,0x4000,0x4000,0x4400,0x3800,0x0000,0x0000,//c</t>
  </si>
  <si>
    <t>0x0400,0x0400,0x3400,0x4C00,0x4400,0x4400,0x4C00,0x3400,0x0000,0x0000,//d</t>
  </si>
  <si>
    <t>0x0000,0x0000,0x3800,0x4400,0x7C00,0x4000,0x4400,0x3800,0x0000,0x0000,//e</t>
  </si>
  <si>
    <t>0x0C00,0x1000,0x7C00,0x1000,0x1000,0x1000,0x1000,0x1000,0x0000,0x0000,//f</t>
  </si>
  <si>
    <t>0x0000,0x0000,0x3400,0x4C00,0x4400,0x4400,0x4C00,0x3400,0x0400,0x7800,//g</t>
  </si>
  <si>
    <t>0x4000,0x4000,0x5800,0x6400,0x4400,0x4400,0x4400,0x4400,0x0000,0x0000,//h</t>
  </si>
  <si>
    <t>0x1000,0x0000,0x7000,0x1000,0x1000,0x1000,0x1000,0x1000,0x0000,0x0000,//i</t>
  </si>
  <si>
    <t>0x1000,0x0000,0x7000,0x1000,0x1000,0x1000,0x1000,0x1000,0x1000,0xE000,//j</t>
  </si>
  <si>
    <t>0x4000,0x4000,0x4800,0x5000,0x6000,0x5000,0x4800,0x4400,0x0000,0x0000,//k</t>
  </si>
  <si>
    <t>0x7000,0x1000,0x1000,0x1000,0x1000,0x1000,0x1000,0x1000,0x0000,0x0000,//l</t>
  </si>
  <si>
    <t>0x0000,0x0000,0x7800,0x5400,0x5400,0x5400,0x5400,0x5400,0x0000,0x0000,//m</t>
  </si>
  <si>
    <t>0x0000,0x0000,0x5800,0x6400,0x4400,0x4400,0x4400,0x4400,0x0000,0x0000,//n</t>
  </si>
  <si>
    <t>0x0000,0x0000,0x3800,0x4400,0x4400,0x4400,0x4400,0x3800,0x0000,0x0000,//o</t>
  </si>
  <si>
    <t>0x0000,0x0000,0x5800,0x6400,0x4400,0x4400,0x6400,0x5800,0x4000,0x4000,//p</t>
  </si>
  <si>
    <t>0x0000,0x0000,0x3400,0x4C00,0x4400,0x4400,0x4C00,0x3400,0x0400,0x0400,//q</t>
  </si>
  <si>
    <t>0x0000,0x0000,0x5800,0x6400,0x4000,0x4000,0x4000,0x4000,0x0000,0x0000,//r</t>
  </si>
  <si>
    <t>0x0000,0x0000,0x3800,0x4400,0x3000,0x0800,0x4400,0x3800,0x0000,0x0000,//s</t>
  </si>
  <si>
    <t>0x2000,0x2000,0x7800,0x2000,0x2000,0x2000,0x2000,0x1800,0x0000,0x0000,//t</t>
  </si>
  <si>
    <t>0x0000,0x0000,0x4400,0x4400,0x4400,0x4400,0x4C00,0x3400,0x0000,0x0000,//u</t>
  </si>
  <si>
    <t>0x0000,0x0000,0x4400,0x4400,0x2800,0x2800,0x2800,0x1000,0x0000,0x0000,//v</t>
  </si>
  <si>
    <t>0x0000,0x0000,0x5400,0x5400,0x5400,0x6C00,0x2800,0x2800,0x0000,0x0000,//w</t>
  </si>
  <si>
    <t>0x0000,0x0000,0x4400,0x2800,0x1000,0x1000,0x2800,0x4400,0x0000,0x0000,//x</t>
  </si>
  <si>
    <t>0x0000,0x0000,0x4400,0x4400,0x2800,0x2800,0x1000,0x1000,0x1000,0x6000,//y</t>
  </si>
  <si>
    <t>0x0000,0x0000,0x7C00,0x0800,0x1000,0x2000,0x4000,0x7C00,0x0000,0x0000,//z</t>
  </si>
  <si>
    <t>0x1800,0x1000,0x1000,0x1000,0x2000,0x2000,0x1000,0x1000,0x1000,0x1800,//{</t>
  </si>
  <si>
    <t>0x1000,0x1000,0x1000,0x1000,0x1000,0x1000,0x1000,0x1000,0x1000,0x1000,//|</t>
  </si>
  <si>
    <t>0x3000,0x1000,0x1000,0x1000,0x0800,0x0800,0x1000,0x1000,0x1000,0x3000,//}</t>
  </si>
  <si>
    <t>0x0000,0x0000,0x0000,0x7400,0x4C00,0x0000,0x0000,0x0000,0x0000,0x0000,//~</t>
  </si>
  <si>
    <t>!</t>
  </si>
  <si>
    <t>"</t>
  </si>
  <si>
    <t>#</t>
  </si>
  <si>
    <t>$</t>
  </si>
  <si>
    <t>%</t>
  </si>
  <si>
    <t>&amp;</t>
  </si>
  <si>
    <t>(</t>
  </si>
  <si>
    <t>)</t>
  </si>
  <si>
    <t>*</t>
  </si>
  <si>
    <t>+</t>
  </si>
  <si>
    <t>-</t>
  </si>
  <si>
    <t>.</t>
  </si>
  <si>
    <t>/</t>
  </si>
  <si>
    <t>:</t>
  </si>
  <si>
    <t>;</t>
  </si>
  <si>
    <t>&lt;</t>
  </si>
  <si>
    <t>=</t>
  </si>
  <si>
    <t>&gt;</t>
  </si>
  <si>
    <t>?</t>
  </si>
  <si>
    <t>@</t>
  </si>
  <si>
    <t>A</t>
  </si>
  <si>
    <t>B</t>
  </si>
  <si>
    <t>D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</si>
  <si>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</si>
  <si>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</si>
  <si>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</si>
  <si>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</si>
  <si>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</si>
  <si>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</si>
  <si>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</si>
  <si>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</si>
  <si>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</si>
  <si>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</si>
  <si>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</si>
  <si>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</si>
  <si>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</si>
  <si>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</si>
  <si>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</si>
  <si>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</si>
  <si>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</si>
  <si>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</si>
  <si>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</si>
  <si>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</si>
  <si>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[</t>
  </si>
  <si>
    <t>\*/</t>
  </si>
  <si>
    <t>]</t>
  </si>
  <si>
    <t>^</t>
  </si>
  <si>
    <t>_</t>
  </si>
  <si>
    <t>`</t>
  </si>
  <si>
    <t>a</t>
  </si>
  <si>
    <t>b</t>
  </si>
  <si>
    <t>c</t>
  </si>
  <si>
    <t>d</t>
  </si>
  <si>
    <t>e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</si>
  <si>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</si>
  <si>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</si>
  <si>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</si>
  <si>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</si>
  <si>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</si>
  <si>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</si>
  <si>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</si>
  <si>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</si>
  <si>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</si>
  <si>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</si>
  <si>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</si>
  <si>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</si>
  <si>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</si>
  <si>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</si>
  <si>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</si>
  <si>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</si>
  <si>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</si>
  <si>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</si>
  <si>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</si>
  <si>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</si>
  <si>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{</t>
  </si>
  <si>
    <t>|</t>
  </si>
  <si>
    <t>}</t>
  </si>
  <si>
    <t>~</t>
  </si>
  <si>
    <t>11111110</t>
  </si>
  <si>
    <t>11100000</t>
  </si>
  <si>
    <t>00000000</t>
  </si>
  <si>
    <t>00010000</t>
  </si>
  <si>
    <t>00101000</t>
  </si>
  <si>
    <t>00100100</t>
  </si>
  <si>
    <t>01111100</t>
  </si>
  <si>
    <t>01001000</t>
  </si>
  <si>
    <t>00111000</t>
  </si>
  <si>
    <t>01010100</t>
  </si>
  <si>
    <t>01010000</t>
  </si>
  <si>
    <t>00010100</t>
  </si>
  <si>
    <t>00100000</t>
  </si>
  <si>
    <t>01011000</t>
  </si>
  <si>
    <t>00110000</t>
  </si>
  <si>
    <t>00001000</t>
  </si>
  <si>
    <t>00110100</t>
  </si>
  <si>
    <t>01000100</t>
  </si>
  <si>
    <t>00000100</t>
  </si>
  <si>
    <t>00011000</t>
  </si>
  <si>
    <t>01000000</t>
  </si>
  <si>
    <t>01111000</t>
  </si>
  <si>
    <t>00111100</t>
  </si>
  <si>
    <t>00001100</t>
  </si>
  <si>
    <t>01100000</t>
  </si>
  <si>
    <t>01001100</t>
  </si>
  <si>
    <t>01011100</t>
  </si>
  <si>
    <t>01110000</t>
  </si>
  <si>
    <t>01101100</t>
  </si>
  <si>
    <t>01100100</t>
  </si>
  <si>
    <t>01110100</t>
  </si>
  <si>
    <t>Initialize</t>
  </si>
  <si>
    <t>Manual</t>
  </si>
  <si>
    <t>Auto</t>
  </si>
  <si>
    <t>Settings</t>
  </si>
  <si>
    <t>Maintenance</t>
  </si>
  <si>
    <t>sp</t>
  </si>
  <si>
    <t>abcdefghijklmnopqrstuvwxyz</t>
  </si>
  <si>
    <t xml:space="preserve"> </t>
  </si>
  <si>
    <t>0x00,0x00,0x2E,0x00,0x00,//char'!'(0x21/33)</t>
  </si>
  <si>
    <t>0x06,0x00,0x06,0x00,0x00,//char'"'(0x22/34)</t>
  </si>
  <si>
    <t>0x14,0x7F,0x14,0x7F,0x14,//char'#'(0x23/35)</t>
  </si>
  <si>
    <t>0x06,0x49,0x7F,0x49,0x30,//char'$'(0x24/36)</t>
  </si>
  <si>
    <t>0x24,0x10,0x08,0x24,0x00,//char'%'(0x25/37)</t>
  </si>
  <si>
    <t>0x36,0x49,0x36,0x50,0x00,//char'&amp;'(0x26/38)</t>
  </si>
  <si>
    <t>0x00,0x00,0x00,0x06,0x00,//char'''(0x27/39)</t>
  </si>
  <si>
    <t>0x00,0x41,0x36,0x00,0x00,//char'('(0x28/40)</t>
  </si>
  <si>
    <t>0x00,0x36,0x41,0x00,0x00,//char')'(0x29/41)</t>
  </si>
  <si>
    <t>0x00,0x08,0x00,0x00,0x00,//char'*'(0x2A/42)</t>
  </si>
  <si>
    <t>0x00,0x08,0x1C,0x08,0x00,//char'+'(0x2B/43)</t>
  </si>
  <si>
    <t>0x40,0x20,0x00,0x00,0x00,//char','(0x2C/44)</t>
  </si>
  <si>
    <t>0x00,0x08,0x08,0x00,0x00,//char'-'(0x2D/45)</t>
  </si>
  <si>
    <t>0x20,0x00,0x00,0x00,0x00,//char'.'(0x2E/46)</t>
  </si>
  <si>
    <t>0x00,0x30,0x06,0x00,0x00,//char'/'(0x2F/47)</t>
  </si>
  <si>
    <t>0x36,0x41,0x41,0x36,0x00,//char'0'(0x30/48)</t>
  </si>
  <si>
    <t>0x00,0x00,0x00,0x36,0x00,//char'1'(0x31/49)</t>
  </si>
  <si>
    <t>0x30,0x49,0x49,0x06,0x00,//char'2'(0x32/50)</t>
  </si>
  <si>
    <t>0x00,0x49,0x49,0x36,0x00,//char'3'(0x33/51)</t>
  </si>
  <si>
    <t>0x06,0x08,0x08,0x36,0x00,//char'4'(0x34/52)</t>
  </si>
  <si>
    <t>0x06,0x49,0x49,0x30,0x00,//char'5'(0x35/53)</t>
  </si>
  <si>
    <t>0x36,0x49,0x49,0x30,0x00,//char'6'(0x36/54)</t>
  </si>
  <si>
    <t>0x00,0x01,0x01,0x36,0x00,//char'7'(0x37/55)</t>
  </si>
  <si>
    <t>0x36,0x49,0x49,0x36,0x00,//char'8'(0x38/56)</t>
  </si>
  <si>
    <t>0x06,0x49,0x49,0x36,0x00,//char'9'(0x39/57)</t>
  </si>
  <si>
    <t>0x00,0x14,0x00,0x00,0x00,//char':'(0x3A/58)</t>
  </si>
  <si>
    <t>0x20,0x14,0x00,0x00,0x00,//char';'(0x3B/59)</t>
  </si>
  <si>
    <t>0x00,0x08,0x14,0x22,0x00,//char'&lt;'(0x3C/60)</t>
  </si>
  <si>
    <t>0x00,0x14,0x14,0x14,0x00,//char'='(0x3D/61)</t>
  </si>
  <si>
    <t>0x00,0x22,0x14,0x08,0x00,//char'&gt;'(0x3E/62)</t>
  </si>
  <si>
    <t>0x00,0x01,0x31,0x06,0x00,//char'?'(0x3F/63)</t>
  </si>
  <si>
    <t>0x36,0x49,0x55,0x59,0x2E,//char'@'(0x40/64)</t>
  </si>
  <si>
    <t>0x36,0x09,0x09,0x36,0x00,//char'A'(0x41/65)</t>
  </si>
  <si>
    <t>0x77,0x49,0x49,0x36,0x00,//char'B'(0x42/66)</t>
  </si>
  <si>
    <t>0x36,0x41,0x41,0x00,0x00,//char'C'(0x43/67)</t>
  </si>
  <si>
    <t>0x77,0x41,0x41,0x36,0x00,//char'D'(0x44/68)</t>
  </si>
  <si>
    <t>0x36,0x49,0x49,0x00,0x00,//char'E'(0x45/69)</t>
  </si>
  <si>
    <t>0x36,0x09,0x09,0x00,0x00,//char'F'(0x46/70)</t>
  </si>
  <si>
    <t>0x36,0x41,0x51,0x30,0x00,//char'G'(0x47/71)</t>
  </si>
  <si>
    <t>0x36,0x08,0x08,0x36,0x00,//char'H'(0x48/72)</t>
  </si>
  <si>
    <t>0x00,0x00,0x36,0x00,0x00,//char'I'(0x49/73)</t>
  </si>
  <si>
    <t>0x00,0x40,0x40,0x36,0x00,//char'J'(0x4A/74)</t>
  </si>
  <si>
    <t>0x36,0x08,0x14,0x22,0x00,//char'K'(0x4B/75)</t>
  </si>
  <si>
    <t>0x36,0x40,0x40,0x00,0x00,//char'L'(0x4C/76)</t>
  </si>
  <si>
    <t>0x36,0x01,0x06,0x01,0x36,//char'M'(0x4D/77)</t>
  </si>
  <si>
    <t>0x36,0x04,0x10,0x36,0x00,//char'N'(0x4E/78)</t>
  </si>
  <si>
    <t>0x36,0x41,0x41,0x36,0x00,//char'O'(0x4F/79)</t>
  </si>
  <si>
    <t>0x36,0x09,0x09,0x06,0x00,//char'P'(0x50/80)</t>
  </si>
  <si>
    <t>0x36,0x41,0x21,0x56,0x00,//char'Q'(0x51/81)</t>
  </si>
  <si>
    <t>0x36,0x09,0x19,0x26,0x00,//char'R'(0x52/82)</t>
  </si>
  <si>
    <t>0x06,0x49,0x49,0x30,0x00,//char'S'(0x53/83)</t>
  </si>
  <si>
    <t>0x00,0x01,0x37,0x01,0x00,//char'T'(0x54/84)</t>
  </si>
  <si>
    <t>0x36,0x40,0x40,0x36,0x00,//char'U'(0x55/85)</t>
  </si>
  <si>
    <t>0x36,0x40,0x36,0x00,0x00,//char'V'(0x56/86)</t>
  </si>
  <si>
    <t>0x36,0x40,0x30,0x40,0x36,//char'W'(0x57/87)</t>
  </si>
  <si>
    <t>0x36,0x08,0x08,0x36,0x00,//char'X'(0x58/88)</t>
  </si>
  <si>
    <t>0x06,0x48,0x48,0x36,0x00,//char'Y'(0x59/89)</t>
  </si>
  <si>
    <t>0x20,0x51,0x49,0x45,0x02,//char'Z'(0x5A/90)</t>
  </si>
  <si>
    <t>0x77,0x41,0x41,0x00,0x00,//char'['(0x5B/91)</t>
  </si>
  <si>
    <t>0x00,0x06,0x30,0x00,0x00,//char'\'(0x5C/92)</t>
  </si>
  <si>
    <t>0x00,0x41,0x41,0x77,0x00,//char']'(0x5D/93)</t>
  </si>
  <si>
    <t>0x00,0x02,0x01,0x02,0x00,//char'^'(0x5E/94)</t>
  </si>
  <si>
    <t>0x00,0x40,0x40,0x00,0x00,//char'_'(0x5F/95)</t>
  </si>
  <si>
    <t>0x00,0x01,0x02,0x00,0x00,//char'`'(0x60/96)</t>
  </si>
  <si>
    <t>0x20,0x54,0x54,0x38,0x40,//char'a'(0x61/97)</t>
  </si>
  <si>
    <t>0x00,0x36,0x48,0x30,0x00,//char'b'(0x62/98)</t>
  </si>
  <si>
    <t>0x30,0x48,0x48,0x00,0x00,//char'c'(0x63/99)</t>
  </si>
  <si>
    <t>0x30,0x48,0x48,0x76,0x00,//char'd'(0x64/100)</t>
  </si>
  <si>
    <t>0x38,0x54,0x54,0x08,0x00,//char'e'(0x65/101)</t>
  </si>
  <si>
    <t>0x08,0x6C,0x0A,0x00,0x00,//char'f'(0x66/102)</t>
  </si>
  <si>
    <t>0x08,0x54,0x54,0x38,0x00,//char'g'(0x67/103)</t>
  </si>
  <si>
    <t>0x36,0x08,0x08,0x30,0x00,//char'h'(0x68/104)</t>
  </si>
  <si>
    <t>0x00,0x34,0x00,0x00,0x00,//char'i'(0x69/105)</t>
  </si>
  <si>
    <t>0x00,0x40,0x34,0x00,0x00,//char'j'(0x6A/106)</t>
  </si>
  <si>
    <t>0x36,0x10,0x28,0x00,0x00,//char'k'(0x6B/107)</t>
  </si>
  <si>
    <t>0x36,0x00,0x00,0x00,0x00,//char'l'(0x6C/108)</t>
  </si>
  <si>
    <t>0x30,0x08,0x10,0x08,0x30,//char'm'(0x6D/109)</t>
  </si>
  <si>
    <t>0x30,0x08,0x08,0x30,0x00,//char'n'(0x6E/110)</t>
  </si>
  <si>
    <t>0x30,0x48,0x48,0x30,0x00,//char'o'(0x6F/111)</t>
  </si>
  <si>
    <t>0x78,0x14,0x14,0x08,0x00,//char'p'(0x70/112)</t>
  </si>
  <si>
    <t>0x08,0x14,0x14,0x68,0x00,//char'q'(0x71/113)</t>
  </si>
  <si>
    <t>0x30,0x08,0x08,0x00,0x00,//char'r'(0x72/114)</t>
  </si>
  <si>
    <t>0x08,0x54,0x54,0x20,0x00,//char's'(0x73/115)</t>
  </si>
  <si>
    <t>0x08,0x2C,0x48,0x00,0x00,//char't'(0x74/116)</t>
  </si>
  <si>
    <t>0x30,0x40,0x40,0x30,0x00,//char'u'(0x75/117)</t>
  </si>
  <si>
    <t>0x30,0x40,0x30,0x00,0x00,//char'v'(0x76/118)</t>
  </si>
  <si>
    <t>0x30,0x40,0x20,0x40,0x30,//char'w'(0x77/119)</t>
  </si>
  <si>
    <t>0x28,0x10,0x10,0x28,0x00,//char'x'(0x78/120)</t>
  </si>
  <si>
    <t>0x08,0x50,0x50,0x38,0x00,//char'y'(0x79/121)</t>
  </si>
  <si>
    <t>0x24,0x34,0x2C,0x24,0x00,//char'z'(0x7A/122)</t>
  </si>
  <si>
    <t>0x08,0x36,0x41,0x00,0x00,//char'{'(0x7B/123)</t>
  </si>
  <si>
    <t>0x00,0x36,0x00,0x00,0x00,//char'|'(0x7C/124)</t>
  </si>
  <si>
    <t>0x00,0x41,0x36,0x08,0x00,//char'}'(0x7D/125)</t>
  </si>
  <si>
    <t>0x08,0x08,0x10,0x10,0x00,//char'~'(0x7E/126)</t>
  </si>
  <si>
    <t>0x00,0x00,0x00,0x00,0x00,//char' '(0x20/32)</t>
  </si>
  <si>
    <t>0000000</t>
  </si>
  <si>
    <t>0101110</t>
  </si>
  <si>
    <t>0000110</t>
  </si>
  <si>
    <t>0010100</t>
  </si>
  <si>
    <t>1111111</t>
  </si>
  <si>
    <t>1001001</t>
  </si>
  <si>
    <t>0110000</t>
  </si>
  <si>
    <t>0100100</t>
  </si>
  <si>
    <t>0010000</t>
  </si>
  <si>
    <t>0001000</t>
  </si>
  <si>
    <t>0110110</t>
  </si>
  <si>
    <t>1010000</t>
  </si>
  <si>
    <t>1000001</t>
  </si>
  <si>
    <t>0011100</t>
  </si>
  <si>
    <t>1000000</t>
  </si>
  <si>
    <t>0100000</t>
  </si>
  <si>
    <t>0000001</t>
  </si>
  <si>
    <t>0100010</t>
  </si>
  <si>
    <t>0110001</t>
  </si>
  <si>
    <t>1010101</t>
  </si>
  <si>
    <t>1011001</t>
  </si>
  <si>
    <t>0001001</t>
  </si>
  <si>
    <t>1110111</t>
  </si>
  <si>
    <t>1010001</t>
  </si>
  <si>
    <t>0000100</t>
  </si>
  <si>
    <t>0100001</t>
  </si>
  <si>
    <t>1010110</t>
  </si>
  <si>
    <t>0011001</t>
  </si>
  <si>
    <t>0100110</t>
  </si>
  <si>
    <t>0110111</t>
  </si>
  <si>
    <t>1001000</t>
  </si>
  <si>
    <t>1000101</t>
  </si>
  <si>
    <t>0000010</t>
  </si>
  <si>
    <t>1010100</t>
  </si>
  <si>
    <t>0111000</t>
  </si>
  <si>
    <t>1110110</t>
  </si>
  <si>
    <t>1101100</t>
  </si>
  <si>
    <t>0001010</t>
  </si>
  <si>
    <t>0110100</t>
  </si>
  <si>
    <t>0101000</t>
  </si>
  <si>
    <t>1111000</t>
  </si>
  <si>
    <t>1101000</t>
  </si>
  <si>
    <t>0101100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</si>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</sst>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color theme="1"/>
      <name val="Verdana"/>
      <family val="2"/>
    </font>
    <font>
      <sz val="10"/>
      <color theme="0"/>
      <name val="LCDDot"/>
    </font>
    <font>
      <sz val="100"/>
      <color theme="1"/>
      <name val="Verdana"/>
      <family val="2"/>
    </font>
    <font>
      <sz val="120"/>
      <name val="LCDDot"/>
    </font>
    <font>
      <sz val="12"/>
      <color rgb="FF000000"/>
      <name val="Courier New"/>
      <family val="3"/>
    </font>
    <font>
      <sz val="8"/>
      <name val="Verdana"/>
      <family val="2"/>
    </font>
    <font>
      <sz val="50"/>
      <color theme="1"/>
      <name val="Verdana"/>
      <family val="2"/>
    </font>
    <font>
      <sz val="36"/>
      <color theme="1"/>
      <name val="Verdana"/>
      <family val="2"/>
    </font>
    <font>
      <sz val="8"/>
      <color theme="1"/>
      <name val="Century Gothic"/>
      <family val="2"/>
    </font>
    <font>
      <sz val="48"/>
      <color rgb="FF000000"/>
      <name val="Century Gothic"/>
      <family val="2"/>
    </font>
    <font>
      <sz val="16"/>
      <color rgb="FF0000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49">
    <xf numFmtId="0" fontId="0" fillId="0" borderId="0" xfId="0"/>
    <xf numFmtId="0" fontId="0" fillId="0" borderId="0" xfId="0" quotePrefix="1"/>
    <xf numFmtId="0" fontId="0" fillId="0" borderId="0" xfId="0" applyAlignment="1">
      <alignment textRotation="90"/>
    </xf>
    <xf numFmtId="0" fontId="0" fillId="2" borderId="0" xfId="0" applyFill="1"/>
    <xf numFmtId="0" fontId="0" fillId="0" borderId="1" xfId="0" applyBorder="1"/>
    <xf numFmtId="0" fontId="0" fillId="0" borderId="0" xfId="0" applyBorder="1"/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Border="1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3" borderId="0" xfId="0" applyFill="1"/>
    <xf numFmtId="0" fontId="0" fillId="0" borderId="0" xfId="0" quotePrefix="1" applyFill="1"/>
    <xf numFmtId="0" fontId="0" fillId="3" borderId="0" xfId="0" quotePrefix="1" applyFill="1"/>
    <xf numFmtId="0" fontId="0" fillId="2" borderId="0" xfId="0" quotePrefix="1" applyFill="1"/>
    <xf numFmtId="0" fontId="0" fillId="4" borderId="0" xfId="0" applyFill="1"/>
    <xf numFmtId="0" fontId="0" fillId="2" borderId="0" xfId="0" applyFill="1" applyAlignment="1">
      <alignment textRotation="90"/>
    </xf>
    <xf numFmtId="0" fontId="1" fillId="6" borderId="0" xfId="0" applyFont="1" applyFill="1"/>
    <xf numFmtId="0" fontId="2" fillId="0" borderId="0" xfId="0" applyFont="1"/>
    <xf numFmtId="0" fontId="3" fillId="5" borderId="0" xfId="0" applyFont="1" applyFill="1"/>
    <xf numFmtId="0" fontId="4" fillId="0" borderId="0" xfId="0" applyFont="1" applyAlignment="1">
      <alignment horizontal="left" vertical="center" indent="1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 textRotation="90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textRotation="90"/>
    </xf>
    <xf numFmtId="0" fontId="8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 textRotation="90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8" fillId="0" borderId="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6" fillId="0" borderId="0" xfId="0" quotePrefix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591"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ill>
        <patternFill patternType="solid">
          <bgColor theme="1" tint="0.34998626667073579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rgb="FF000000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  <dxf>
      <font>
        <color theme="1"/>
      </font>
      <fill>
        <patternFill>
          <bgColor theme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885825</xdr:colOff>
      <xdr:row>19</xdr:row>
      <xdr:rowOff>95250</xdr:rowOff>
    </xdr:from>
    <xdr:to>
      <xdr:col>1</xdr:col>
      <xdr:colOff>1095349</xdr:colOff>
      <xdr:row>21</xdr:row>
      <xdr:rowOff>66648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5925" y="2447925"/>
          <a:ext cx="209524" cy="219048"/>
        </a:xfrm>
        <a:prstGeom prst="rect">
          <a:avLst/>
        </a:prstGeom>
      </xdr:spPr>
    </xdr:pic>
    <xdr:clientData/>
  </xdr:twoCellAnchor>
  <xdr:twoCellAnchor editAs="oneCell">
    <xdr:from>
      <xdr:col>1</xdr:col>
      <xdr:colOff>887016</xdr:colOff>
      <xdr:row>27</xdr:row>
      <xdr:rowOff>86916</xdr:rowOff>
    </xdr:from>
    <xdr:to>
      <xdr:col>1</xdr:col>
      <xdr:colOff>1096540</xdr:colOff>
      <xdr:row>29</xdr:row>
      <xdr:rowOff>46409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116" y="3430191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890588</xdr:colOff>
      <xdr:row>35</xdr:row>
      <xdr:rowOff>61913</xdr:rowOff>
    </xdr:from>
    <xdr:to>
      <xdr:col>1</xdr:col>
      <xdr:colOff>1100112</xdr:colOff>
      <xdr:row>37</xdr:row>
      <xdr:rowOff>21406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90688" y="4395788"/>
          <a:ext cx="209524" cy="207143"/>
        </a:xfrm>
        <a:prstGeom prst="rect">
          <a:avLst/>
        </a:prstGeom>
      </xdr:spPr>
    </xdr:pic>
    <xdr:clientData/>
  </xdr:twoCellAnchor>
  <xdr:twoCellAnchor editAs="oneCell">
    <xdr:from>
      <xdr:col>1</xdr:col>
      <xdr:colOff>965937</xdr:colOff>
      <xdr:row>52</xdr:row>
      <xdr:rowOff>3572</xdr:rowOff>
    </xdr:from>
    <xdr:to>
      <xdr:col>1</xdr:col>
      <xdr:colOff>1146889</xdr:colOff>
      <xdr:row>53</xdr:row>
      <xdr:rowOff>58318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66037" y="6442472"/>
          <a:ext cx="180952" cy="178571"/>
        </a:xfrm>
        <a:prstGeom prst="rect">
          <a:avLst/>
        </a:prstGeom>
      </xdr:spPr>
    </xdr:pic>
    <xdr:clientData/>
  </xdr:twoCellAnchor>
  <xdr:twoCellAnchor editAs="oneCell">
    <xdr:from>
      <xdr:col>1</xdr:col>
      <xdr:colOff>876299</xdr:colOff>
      <xdr:row>59</xdr:row>
      <xdr:rowOff>45536</xdr:rowOff>
    </xdr:from>
    <xdr:to>
      <xdr:col>1</xdr:col>
      <xdr:colOff>1156554</xdr:colOff>
      <xdr:row>61</xdr:row>
      <xdr:rowOff>93154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76399" y="7351211"/>
          <a:ext cx="280255" cy="2952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381000</xdr:colOff>
          <xdr:row>0</xdr:row>
          <xdr:rowOff>104775</xdr:rowOff>
        </xdr:from>
        <xdr:to>
          <xdr:col>1</xdr:col>
          <xdr:colOff>1771650</xdr:colOff>
          <xdr:row>0</xdr:row>
          <xdr:rowOff>723900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6.emf"/><Relationship Id="rId4" Type="http://schemas.openxmlformats.org/officeDocument/2006/relationships/control" Target="../activeX/activeX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7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1CA45-6E8A-4575-9223-337E5C7F87DB}">
  <sheetPr codeName="Sheet2"/>
  <dimension ref="A1:EX66"/>
  <sheetViews>
    <sheetView showGridLines="0" zoomScale="40" zoomScaleNormal="40" workbookViewId="0">
      <selection activeCell="BO15" sqref="BO15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>
        <v>1</v>
      </c>
      <c r="Z3" s="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>
        <v>1</v>
      </c>
      <c r="AK3">
        <v>1</v>
      </c>
      <c r="AL3">
        <v>1</v>
      </c>
      <c r="AM3">
        <v>1</v>
      </c>
      <c r="AN3">
        <v>1</v>
      </c>
      <c r="AO3">
        <v>1</v>
      </c>
      <c r="AP3">
        <v>1</v>
      </c>
      <c r="AQ3">
        <v>1</v>
      </c>
      <c r="AR3">
        <v>1</v>
      </c>
      <c r="AS3">
        <v>1</v>
      </c>
      <c r="AT3">
        <v>1</v>
      </c>
      <c r="AU3">
        <v>1</v>
      </c>
      <c r="AV3">
        <v>1</v>
      </c>
      <c r="AW3">
        <v>1</v>
      </c>
      <c r="AX3">
        <v>1</v>
      </c>
      <c r="CM3" t="str">
        <f>CONCATENATE("0x",DEC2HEX(Z3*Z$1+Y3*Y$1+X3*X$1+W3*W$1+V3*V$1+U3*U$1+T3*T$1+S3*S$1+R3*R$1+Q3*Q$1+P3*P$1+O3*O$1+N3*N$1+M3*M$1+L3*L$1+K3*K$1,4))</f>
        <v>0x0003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0xFFFF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0xFF00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Y4">
        <v>1</v>
      </c>
      <c r="AA4">
        <v>1</v>
      </c>
      <c r="AC4">
        <v>1</v>
      </c>
      <c r="AE4">
        <v>1</v>
      </c>
      <c r="AG4">
        <v>1</v>
      </c>
      <c r="AI4">
        <v>1</v>
      </c>
      <c r="AK4">
        <v>1</v>
      </c>
      <c r="AM4">
        <v>1</v>
      </c>
      <c r="AO4">
        <v>1</v>
      </c>
      <c r="AQ4">
        <v>1</v>
      </c>
      <c r="AS4">
        <v>1</v>
      </c>
      <c r="AU4">
        <v>1</v>
      </c>
      <c r="AW4">
        <v>1</v>
      </c>
      <c r="AX4">
        <v>1</v>
      </c>
      <c r="CM4" t="str">
        <f t="shared" ref="CM4:CM66" si="5">CONCATENATE("0x",DEC2HEX(Z4*Z$1+Y4*Y$1+X4*X$1+W4*W$1+V4*V$1+U4*U$1+T4*T$1+S4*S$1+R4*R$1+Q4*Q$1+P4*P$1+O4*O$1+N4*N$1+M4*M$1+L4*L$1+K4*K$1,4))</f>
        <v>0x0002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66" si="6">CONCATENATE("0x",DEC2HEX(AP4*AP$1+AO4*AO$1+AN4*AN$1+AM4*AM$1+AL4*AL$1+AK4*AK$1+AJ4*AJ$1+AI4*AI$1+AH4*AH$1+AG4*AG$1+AF4*AF$1+AE4*AE$1+AD4*AD$1+AC4*AC$1+AB4*AB$1+AA4*AA$1,4))</f>
        <v>0xAAAA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6" si="7">CONCATENATE("0x",DEC2HEX(BF4*BF$1+BE4*BE$1+BD4*BD$1+BC4*BC$1+BB4*BB$1+BA4*BA$1+AZ4*AZ$1+AY4*AY$1+AX4*AX$1+AW4*AW$1+AV4*AV$1+AU4*AU$1+AT4*AT$1+AS4*AS$1+AR4*AR$1+AQ4*AQ$1,4))</f>
        <v>0xAB00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6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Y5">
        <v>1</v>
      </c>
      <c r="Z5">
        <v>1</v>
      </c>
      <c r="AB5">
        <v>1</v>
      </c>
      <c r="AD5">
        <v>1</v>
      </c>
      <c r="AF5">
        <v>1</v>
      </c>
      <c r="AH5">
        <v>1</v>
      </c>
      <c r="AJ5">
        <v>1</v>
      </c>
      <c r="AL5">
        <v>1</v>
      </c>
      <c r="AN5">
        <v>1</v>
      </c>
      <c r="AP5">
        <v>1</v>
      </c>
      <c r="AR5">
        <v>1</v>
      </c>
      <c r="AT5">
        <v>1</v>
      </c>
      <c r="AV5">
        <v>1</v>
      </c>
      <c r="AX5">
        <v>1</v>
      </c>
      <c r="CM5" t="str">
        <f t="shared" si="5"/>
        <v>0x0003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0x5555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0x5500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Y6">
        <v>1</v>
      </c>
      <c r="AA6">
        <v>1</v>
      </c>
      <c r="AC6">
        <v>1</v>
      </c>
      <c r="AE6">
        <v>1</v>
      </c>
      <c r="AG6">
        <v>1</v>
      </c>
      <c r="AI6">
        <v>1</v>
      </c>
      <c r="AJ6">
        <v>1</v>
      </c>
      <c r="AK6">
        <v>1</v>
      </c>
      <c r="AL6">
        <v>1</v>
      </c>
      <c r="AM6">
        <v>1</v>
      </c>
      <c r="AN6">
        <v>1</v>
      </c>
      <c r="AO6">
        <v>1</v>
      </c>
      <c r="AP6">
        <v>1</v>
      </c>
      <c r="AQ6">
        <v>1</v>
      </c>
      <c r="AS6">
        <v>1</v>
      </c>
      <c r="AU6">
        <v>1</v>
      </c>
      <c r="AW6">
        <v>1</v>
      </c>
      <c r="AX6">
        <v>1</v>
      </c>
      <c r="CM6" t="str">
        <f t="shared" si="5"/>
        <v>0x0002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0xAAFF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0xAB00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Y7">
        <v>1</v>
      </c>
      <c r="Z7">
        <v>1</v>
      </c>
      <c r="AB7">
        <v>1</v>
      </c>
      <c r="AD7">
        <v>1</v>
      </c>
      <c r="AF7">
        <v>1</v>
      </c>
      <c r="AH7">
        <v>1</v>
      </c>
      <c r="AI7">
        <v>1</v>
      </c>
      <c r="AP7">
        <v>1</v>
      </c>
      <c r="AR7">
        <v>1</v>
      </c>
      <c r="AT7">
        <v>1</v>
      </c>
      <c r="AV7">
        <v>1</v>
      </c>
      <c r="AX7">
        <v>1</v>
      </c>
      <c r="CM7" t="str">
        <f t="shared" si="5"/>
        <v>0x0003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0x5581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0x5500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Y8">
        <v>1</v>
      </c>
      <c r="AA8">
        <v>1</v>
      </c>
      <c r="AC8">
        <v>1</v>
      </c>
      <c r="AE8">
        <v>1</v>
      </c>
      <c r="AG8">
        <v>1</v>
      </c>
      <c r="AI8">
        <v>1</v>
      </c>
      <c r="AK8">
        <v>1</v>
      </c>
      <c r="AL8">
        <v>1</v>
      </c>
      <c r="AM8">
        <v>1</v>
      </c>
      <c r="AN8">
        <v>1</v>
      </c>
      <c r="AP8">
        <v>1</v>
      </c>
      <c r="AQ8">
        <v>1</v>
      </c>
      <c r="AS8">
        <v>1</v>
      </c>
      <c r="AU8">
        <v>1</v>
      </c>
      <c r="AW8">
        <v>1</v>
      </c>
      <c r="AX8">
        <v>1</v>
      </c>
      <c r="CM8" t="str">
        <f t="shared" si="5"/>
        <v>0x0002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0xAABD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0xAB00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Y9">
        <v>1</v>
      </c>
      <c r="Z9">
        <v>1</v>
      </c>
      <c r="AB9">
        <v>1</v>
      </c>
      <c r="AD9">
        <v>1</v>
      </c>
      <c r="AF9">
        <v>1</v>
      </c>
      <c r="AH9">
        <v>1</v>
      </c>
      <c r="AI9">
        <v>1</v>
      </c>
      <c r="AK9">
        <v>1</v>
      </c>
      <c r="AL9">
        <v>1</v>
      </c>
      <c r="AM9">
        <v>1</v>
      </c>
      <c r="AN9">
        <v>1</v>
      </c>
      <c r="AP9">
        <v>1</v>
      </c>
      <c r="AR9">
        <v>1</v>
      </c>
      <c r="AT9">
        <v>1</v>
      </c>
      <c r="AV9">
        <v>1</v>
      </c>
      <c r="AX9">
        <v>1</v>
      </c>
      <c r="CM9" t="str">
        <f t="shared" si="5"/>
        <v>0x0003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0x55BD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0x5500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Y10">
        <v>1</v>
      </c>
      <c r="AA10">
        <v>1</v>
      </c>
      <c r="AC10">
        <v>1</v>
      </c>
      <c r="AE10">
        <v>1</v>
      </c>
      <c r="AG10">
        <v>1</v>
      </c>
      <c r="AI10">
        <v>1</v>
      </c>
      <c r="AK10">
        <v>1</v>
      </c>
      <c r="AL10">
        <v>1</v>
      </c>
      <c r="AM10">
        <v>1</v>
      </c>
      <c r="AN10">
        <v>1</v>
      </c>
      <c r="AP10">
        <v>1</v>
      </c>
      <c r="AQ10">
        <v>1</v>
      </c>
      <c r="AS10">
        <v>1</v>
      </c>
      <c r="AU10">
        <v>1</v>
      </c>
      <c r="AW10">
        <v>1</v>
      </c>
      <c r="AX10">
        <v>1</v>
      </c>
      <c r="CM10" t="str">
        <f t="shared" si="5"/>
        <v>0x0002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0xAABD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0xAB00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Y11">
        <v>1</v>
      </c>
      <c r="Z11">
        <v>1</v>
      </c>
      <c r="AB11">
        <v>1</v>
      </c>
      <c r="AD11">
        <v>1</v>
      </c>
      <c r="AF11">
        <v>1</v>
      </c>
      <c r="AH11">
        <v>1</v>
      </c>
      <c r="AI11">
        <v>1</v>
      </c>
      <c r="AK11">
        <v>1</v>
      </c>
      <c r="AL11">
        <v>1</v>
      </c>
      <c r="AM11">
        <v>1</v>
      </c>
      <c r="AN11">
        <v>1</v>
      </c>
      <c r="AP11">
        <v>1</v>
      </c>
      <c r="AR11">
        <v>1</v>
      </c>
      <c r="AT11">
        <v>1</v>
      </c>
      <c r="AV11">
        <v>1</v>
      </c>
      <c r="AX11">
        <v>1</v>
      </c>
      <c r="CM11" t="str">
        <f t="shared" si="5"/>
        <v>0x0003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0x55BD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0x5500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Y12">
        <v>1</v>
      </c>
      <c r="AA12">
        <v>1</v>
      </c>
      <c r="AC12">
        <v>1</v>
      </c>
      <c r="AE12">
        <v>1</v>
      </c>
      <c r="AG12">
        <v>1</v>
      </c>
      <c r="AI12">
        <v>1</v>
      </c>
      <c r="AK12">
        <v>1</v>
      </c>
      <c r="AL12">
        <v>1</v>
      </c>
      <c r="AM12">
        <v>1</v>
      </c>
      <c r="AN12">
        <v>1</v>
      </c>
      <c r="AP12">
        <v>1</v>
      </c>
      <c r="AQ12">
        <v>1</v>
      </c>
      <c r="AS12">
        <v>1</v>
      </c>
      <c r="AU12">
        <v>1</v>
      </c>
      <c r="AW12">
        <v>1</v>
      </c>
      <c r="AX12">
        <v>1</v>
      </c>
      <c r="CM12" t="str">
        <f t="shared" si="5"/>
        <v>0x0002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0xAABD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0xAB00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>
        <v>1</v>
      </c>
      <c r="L13">
        <v>1</v>
      </c>
      <c r="M13">
        <v>1</v>
      </c>
      <c r="N13">
        <v>1</v>
      </c>
      <c r="O13">
        <v>1</v>
      </c>
      <c r="P13">
        <v>1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Y13">
        <v>1</v>
      </c>
      <c r="Z13">
        <v>1</v>
      </c>
      <c r="AB13">
        <v>1</v>
      </c>
      <c r="AD13">
        <v>1</v>
      </c>
      <c r="AF13">
        <v>1</v>
      </c>
      <c r="AH13">
        <v>1</v>
      </c>
      <c r="AI13">
        <v>1</v>
      </c>
      <c r="AK13">
        <v>1</v>
      </c>
      <c r="AL13">
        <v>1</v>
      </c>
      <c r="AM13">
        <v>1</v>
      </c>
      <c r="AN13">
        <v>1</v>
      </c>
      <c r="AP13">
        <v>1</v>
      </c>
      <c r="AR13">
        <v>1</v>
      </c>
      <c r="AT13">
        <v>1</v>
      </c>
      <c r="AV13">
        <v>1</v>
      </c>
      <c r="AX13">
        <v>1</v>
      </c>
      <c r="CM13" t="str">
        <f t="shared" si="5"/>
        <v>0xFFFB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0x55BD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0x5500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>
        <v>1</v>
      </c>
      <c r="L14">
        <v>1</v>
      </c>
      <c r="M14">
        <v>1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Y14">
        <v>1</v>
      </c>
      <c r="AA14">
        <v>1</v>
      </c>
      <c r="AC14">
        <v>1</v>
      </c>
      <c r="AE14">
        <v>1</v>
      </c>
      <c r="AG14">
        <v>1</v>
      </c>
      <c r="AI14">
        <v>1</v>
      </c>
      <c r="AK14">
        <v>1</v>
      </c>
      <c r="AL14">
        <v>1</v>
      </c>
      <c r="AM14">
        <v>1</v>
      </c>
      <c r="AN14">
        <v>1</v>
      </c>
      <c r="AP14">
        <v>1</v>
      </c>
      <c r="AQ14">
        <v>1</v>
      </c>
      <c r="AS14">
        <v>1</v>
      </c>
      <c r="AU14">
        <v>1</v>
      </c>
      <c r="AW14">
        <v>1</v>
      </c>
      <c r="AX14">
        <v>1</v>
      </c>
      <c r="CM14" t="str">
        <f t="shared" si="5"/>
        <v>0xFFFA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0xAABD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0xAB00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>
        <v>1</v>
      </c>
      <c r="L15">
        <v>1</v>
      </c>
      <c r="N15">
        <v>1</v>
      </c>
      <c r="O15">
        <v>1</v>
      </c>
      <c r="P15">
        <v>1</v>
      </c>
      <c r="R15">
        <v>1</v>
      </c>
      <c r="S15">
        <v>1</v>
      </c>
      <c r="T15">
        <v>1</v>
      </c>
      <c r="V15">
        <v>1</v>
      </c>
      <c r="W15">
        <v>1</v>
      </c>
      <c r="Y15">
        <v>1</v>
      </c>
      <c r="Z15">
        <v>1</v>
      </c>
      <c r="AB15">
        <v>1</v>
      </c>
      <c r="AD15">
        <v>1</v>
      </c>
      <c r="AF15">
        <v>1</v>
      </c>
      <c r="AH15">
        <v>1</v>
      </c>
      <c r="AI15">
        <v>1</v>
      </c>
      <c r="AK15">
        <v>1</v>
      </c>
      <c r="AL15">
        <v>1</v>
      </c>
      <c r="AM15">
        <v>1</v>
      </c>
      <c r="AN15">
        <v>1</v>
      </c>
      <c r="AP15">
        <v>1</v>
      </c>
      <c r="AR15">
        <v>1</v>
      </c>
      <c r="AT15">
        <v>1</v>
      </c>
      <c r="AV15">
        <v>1</v>
      </c>
      <c r="AX15">
        <v>1</v>
      </c>
      <c r="CM15" t="str">
        <f t="shared" si="5"/>
        <v>0xDDDB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0x55BD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0x5500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>
        <v>1</v>
      </c>
      <c r="L16">
        <v>1</v>
      </c>
      <c r="M16">
        <v>1</v>
      </c>
      <c r="N16">
        <v>1</v>
      </c>
      <c r="O16">
        <v>1</v>
      </c>
      <c r="P16">
        <v>1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I16">
        <v>1</v>
      </c>
      <c r="AK16">
        <v>1</v>
      </c>
      <c r="AL16">
        <v>1</v>
      </c>
      <c r="AM16">
        <v>1</v>
      </c>
      <c r="AN16">
        <v>1</v>
      </c>
      <c r="AP16">
        <v>1</v>
      </c>
      <c r="AQ16">
        <v>1</v>
      </c>
      <c r="AS16">
        <v>1</v>
      </c>
      <c r="AU16">
        <v>1</v>
      </c>
      <c r="AW16">
        <v>1</v>
      </c>
      <c r="AX16">
        <v>1</v>
      </c>
      <c r="CM16" t="str">
        <f t="shared" si="5"/>
        <v>0xFFFF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0xFEBD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0xAB00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>
        <v>1</v>
      </c>
      <c r="L17">
        <v>1</v>
      </c>
      <c r="M17">
        <v>1</v>
      </c>
      <c r="N17">
        <v>1</v>
      </c>
      <c r="P17">
        <v>1</v>
      </c>
      <c r="Q17">
        <v>1</v>
      </c>
      <c r="R17">
        <v>1</v>
      </c>
      <c r="AF17">
        <v>1</v>
      </c>
      <c r="AH17">
        <v>1</v>
      </c>
      <c r="AI17">
        <v>1</v>
      </c>
      <c r="AK17">
        <v>1</v>
      </c>
      <c r="AL17">
        <v>1</v>
      </c>
      <c r="AM17">
        <v>1</v>
      </c>
      <c r="AN17">
        <v>1</v>
      </c>
      <c r="AP17">
        <v>1</v>
      </c>
      <c r="AR17">
        <v>1</v>
      </c>
      <c r="AT17">
        <v>1</v>
      </c>
      <c r="AV17">
        <v>1</v>
      </c>
      <c r="AX17">
        <v>1</v>
      </c>
      <c r="CM17" t="str">
        <f t="shared" si="5"/>
        <v>0xF700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0x05BD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0x5500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>
        <v>1</v>
      </c>
      <c r="L18">
        <v>1</v>
      </c>
      <c r="M18">
        <v>1</v>
      </c>
      <c r="N18">
        <v>1</v>
      </c>
      <c r="O18">
        <v>1</v>
      </c>
      <c r="P18">
        <v>1</v>
      </c>
      <c r="Q18">
        <v>1</v>
      </c>
      <c r="R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F18">
        <v>1</v>
      </c>
      <c r="AG18">
        <v>1</v>
      </c>
      <c r="AI18">
        <v>1</v>
      </c>
      <c r="AL18">
        <v>1</v>
      </c>
      <c r="AM18">
        <v>1</v>
      </c>
      <c r="AP18">
        <v>1</v>
      </c>
      <c r="AQ18">
        <v>1</v>
      </c>
      <c r="AS18">
        <v>1</v>
      </c>
      <c r="AU18">
        <v>1</v>
      </c>
      <c r="AW18">
        <v>1</v>
      </c>
      <c r="AX18">
        <v>1</v>
      </c>
      <c r="CM18" t="str">
        <f t="shared" si="5"/>
        <v>0xFF3F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0xE699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0xAB00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N19">
        <v>1</v>
      </c>
      <c r="O19">
        <v>1</v>
      </c>
      <c r="P19">
        <v>1</v>
      </c>
      <c r="R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F19">
        <v>1</v>
      </c>
      <c r="AH19">
        <v>1</v>
      </c>
      <c r="AI19">
        <v>1</v>
      </c>
      <c r="AJ19">
        <v>1</v>
      </c>
      <c r="AL19">
        <v>1</v>
      </c>
      <c r="AM19">
        <v>1</v>
      </c>
      <c r="AO19">
        <v>1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CM19" t="str">
        <f t="shared" si="5"/>
        <v>0xDD3F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0xE5DB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0xFF00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1</v>
      </c>
      <c r="AC20">
        <v>1</v>
      </c>
      <c r="AE20">
        <v>1</v>
      </c>
      <c r="AF20">
        <v>1</v>
      </c>
      <c r="AG20">
        <v>1</v>
      </c>
      <c r="AI20">
        <v>1</v>
      </c>
      <c r="AJ20">
        <v>1</v>
      </c>
      <c r="AL20">
        <v>1</v>
      </c>
      <c r="AM20">
        <v>1</v>
      </c>
      <c r="AO20">
        <v>1</v>
      </c>
      <c r="CM20" t="str">
        <f t="shared" si="5"/>
        <v>0xFFBF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0xEEDA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M21">
        <v>1</v>
      </c>
      <c r="N21">
        <v>1</v>
      </c>
      <c r="P21">
        <v>1</v>
      </c>
      <c r="Q21">
        <v>1</v>
      </c>
      <c r="R21">
        <v>1</v>
      </c>
      <c r="S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1</v>
      </c>
      <c r="AE21">
        <v>1</v>
      </c>
      <c r="AF21">
        <v>1</v>
      </c>
      <c r="AH21">
        <v>1</v>
      </c>
      <c r="AJ21">
        <v>1</v>
      </c>
      <c r="AL21">
        <v>1</v>
      </c>
      <c r="AM21">
        <v>1</v>
      </c>
      <c r="AO21">
        <v>1</v>
      </c>
      <c r="AP21">
        <v>1</v>
      </c>
      <c r="AQ21">
        <v>1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1</v>
      </c>
      <c r="AY21">
        <v>1</v>
      </c>
      <c r="AZ21">
        <v>1</v>
      </c>
      <c r="BA21">
        <v>1</v>
      </c>
      <c r="BB21">
        <v>1</v>
      </c>
      <c r="BC21">
        <v>1</v>
      </c>
      <c r="BD21">
        <v>1</v>
      </c>
      <c r="BE21">
        <v>1</v>
      </c>
      <c r="BF21">
        <v>1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1</v>
      </c>
      <c r="CM21" t="str">
        <f t="shared" si="5"/>
        <v>0xF7BF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0xED5B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0xFFFF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0xFE00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L22">
        <v>1</v>
      </c>
      <c r="M22">
        <v>1</v>
      </c>
      <c r="N22">
        <v>1</v>
      </c>
      <c r="O22">
        <v>1</v>
      </c>
      <c r="P22">
        <v>1</v>
      </c>
      <c r="Q22">
        <v>1</v>
      </c>
      <c r="R22">
        <v>1</v>
      </c>
      <c r="S22">
        <v>1</v>
      </c>
      <c r="U22">
        <v>1</v>
      </c>
      <c r="V22">
        <v>1</v>
      </c>
      <c r="W22">
        <v>1</v>
      </c>
      <c r="X22">
        <v>1</v>
      </c>
      <c r="Y22">
        <v>1</v>
      </c>
      <c r="Z22">
        <v>1</v>
      </c>
      <c r="AA22">
        <v>1</v>
      </c>
      <c r="AB22">
        <v>1</v>
      </c>
      <c r="AC22">
        <v>1</v>
      </c>
      <c r="AE22">
        <v>1</v>
      </c>
      <c r="AG22">
        <v>1</v>
      </c>
      <c r="AI22">
        <v>1</v>
      </c>
      <c r="AJ22">
        <v>1</v>
      </c>
      <c r="AL22">
        <v>1</v>
      </c>
      <c r="AM22">
        <v>1</v>
      </c>
      <c r="AO22">
        <v>1</v>
      </c>
      <c r="AP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J22">
        <v>1</v>
      </c>
      <c r="BK22">
        <v>1</v>
      </c>
      <c r="BL22">
        <v>1</v>
      </c>
      <c r="BM22">
        <v>1</v>
      </c>
      <c r="CM22" t="str">
        <f t="shared" si="5"/>
        <v>0xFFBF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0xEADB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0x7DF7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0xDE00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P23">
        <v>1</v>
      </c>
      <c r="R23">
        <v>1</v>
      </c>
      <c r="S23">
        <v>1</v>
      </c>
      <c r="U23">
        <v>1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E23">
        <v>1</v>
      </c>
      <c r="AF23">
        <v>1</v>
      </c>
      <c r="AH23">
        <v>1</v>
      </c>
      <c r="AJ23">
        <v>1</v>
      </c>
      <c r="AL23">
        <v>1</v>
      </c>
      <c r="AM23">
        <v>1</v>
      </c>
      <c r="AO23">
        <v>1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1</v>
      </c>
      <c r="BC23">
        <v>1</v>
      </c>
      <c r="BD23">
        <v>1</v>
      </c>
      <c r="BE23">
        <v>1</v>
      </c>
      <c r="BF23">
        <v>1</v>
      </c>
      <c r="BG23">
        <v>1</v>
      </c>
      <c r="BH23">
        <v>1</v>
      </c>
      <c r="BI23">
        <v>1</v>
      </c>
      <c r="BJ23">
        <v>1</v>
      </c>
      <c r="BK23">
        <v>1</v>
      </c>
      <c r="BL23">
        <v>1</v>
      </c>
      <c r="BM23">
        <v>1</v>
      </c>
      <c r="CM23" t="str">
        <f t="shared" si="5"/>
        <v>0xDDBF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6"/>
        <v>0xED5B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0xFFFF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0xFE00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L24">
        <v>1</v>
      </c>
      <c r="M24">
        <v>1</v>
      </c>
      <c r="N24">
        <v>1</v>
      </c>
      <c r="O24">
        <v>1</v>
      </c>
      <c r="P24">
        <v>1</v>
      </c>
      <c r="Q24">
        <v>1</v>
      </c>
      <c r="R24">
        <v>1</v>
      </c>
      <c r="S24">
        <v>1</v>
      </c>
      <c r="U24">
        <v>1</v>
      </c>
      <c r="V24">
        <v>1</v>
      </c>
      <c r="W24">
        <v>1</v>
      </c>
      <c r="X24">
        <v>1</v>
      </c>
      <c r="Y24">
        <v>1</v>
      </c>
      <c r="Z24">
        <v>1</v>
      </c>
      <c r="AA24">
        <v>1</v>
      </c>
      <c r="AB24">
        <v>1</v>
      </c>
      <c r="AC24">
        <v>1</v>
      </c>
      <c r="AE24">
        <v>1</v>
      </c>
      <c r="AG24">
        <v>1</v>
      </c>
      <c r="AI24">
        <v>1</v>
      </c>
      <c r="AJ24">
        <v>1</v>
      </c>
      <c r="AL24">
        <v>1</v>
      </c>
      <c r="AM24">
        <v>1</v>
      </c>
      <c r="AO24">
        <v>1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1</v>
      </c>
      <c r="AV24">
        <v>1</v>
      </c>
      <c r="AW24">
        <v>1</v>
      </c>
      <c r="AX24">
        <v>1</v>
      </c>
      <c r="AY24">
        <v>1</v>
      </c>
      <c r="AZ24">
        <v>1</v>
      </c>
      <c r="BA24">
        <v>1</v>
      </c>
      <c r="BB24">
        <v>1</v>
      </c>
      <c r="BC24">
        <v>1</v>
      </c>
      <c r="BD24">
        <v>1</v>
      </c>
      <c r="BE24">
        <v>1</v>
      </c>
      <c r="BF24">
        <v>1</v>
      </c>
      <c r="BG24">
        <v>1</v>
      </c>
      <c r="BH24">
        <v>1</v>
      </c>
      <c r="BI24">
        <v>1</v>
      </c>
      <c r="BJ24">
        <v>1</v>
      </c>
      <c r="BK24">
        <v>1</v>
      </c>
      <c r="BL24">
        <v>1</v>
      </c>
      <c r="BM24">
        <v>1</v>
      </c>
      <c r="CM24" t="str">
        <f t="shared" si="5"/>
        <v>0xFFBF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6"/>
        <v>0xEADB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0xFFFF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0xFE00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M25">
        <v>1</v>
      </c>
      <c r="N25">
        <v>1</v>
      </c>
      <c r="P25">
        <v>1</v>
      </c>
      <c r="Q25">
        <v>1</v>
      </c>
      <c r="R25">
        <v>1</v>
      </c>
      <c r="S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E25">
        <v>1</v>
      </c>
      <c r="AF25">
        <v>1</v>
      </c>
      <c r="AH25">
        <v>1</v>
      </c>
      <c r="AJ25">
        <v>1</v>
      </c>
      <c r="AL25">
        <v>1</v>
      </c>
      <c r="AM25">
        <v>1</v>
      </c>
      <c r="AO25">
        <v>1</v>
      </c>
      <c r="AP25">
        <v>1</v>
      </c>
      <c r="AQ25">
        <v>1</v>
      </c>
      <c r="AR25">
        <v>1</v>
      </c>
      <c r="AS25">
        <v>1</v>
      </c>
      <c r="AT25">
        <v>1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G25">
        <v>1</v>
      </c>
      <c r="BH25">
        <v>1</v>
      </c>
      <c r="BI25">
        <v>1</v>
      </c>
      <c r="BJ25">
        <v>1</v>
      </c>
      <c r="BK25">
        <v>1</v>
      </c>
      <c r="BM25">
        <v>1</v>
      </c>
      <c r="CM25" t="str">
        <f t="shared" si="5"/>
        <v>0xF7BF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6"/>
        <v>0xED5B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0xFFFE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0xFA00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L26">
        <v>1</v>
      </c>
      <c r="M26">
        <v>1</v>
      </c>
      <c r="N26">
        <v>1</v>
      </c>
      <c r="O26">
        <v>1</v>
      </c>
      <c r="P26">
        <v>1</v>
      </c>
      <c r="Q26">
        <v>1</v>
      </c>
      <c r="R26">
        <v>1</v>
      </c>
      <c r="S26">
        <v>1</v>
      </c>
      <c r="U26">
        <v>1</v>
      </c>
      <c r="V26">
        <v>1</v>
      </c>
      <c r="W26">
        <v>1</v>
      </c>
      <c r="X26">
        <v>1</v>
      </c>
      <c r="Y26">
        <v>1</v>
      </c>
      <c r="Z26">
        <v>1</v>
      </c>
      <c r="AA26">
        <v>1</v>
      </c>
      <c r="AB26">
        <v>1</v>
      </c>
      <c r="AC26">
        <v>1</v>
      </c>
      <c r="AE26">
        <v>1</v>
      </c>
      <c r="AG26">
        <v>1</v>
      </c>
      <c r="AI26">
        <v>1</v>
      </c>
      <c r="AJ26">
        <v>1</v>
      </c>
      <c r="AL26">
        <v>1</v>
      </c>
      <c r="AM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BE26">
        <v>1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1</v>
      </c>
      <c r="CM26" t="str">
        <f t="shared" si="5"/>
        <v>0xFFBF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6"/>
        <v>0xEADB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0xF003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0xFE00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P27">
        <v>1</v>
      </c>
      <c r="R27">
        <v>1</v>
      </c>
      <c r="S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E27">
        <v>1</v>
      </c>
      <c r="AF27">
        <v>1</v>
      </c>
      <c r="AH27">
        <v>1</v>
      </c>
      <c r="AI27">
        <v>1</v>
      </c>
      <c r="AL27">
        <v>1</v>
      </c>
      <c r="AM27">
        <v>1</v>
      </c>
      <c r="AP27">
        <v>1</v>
      </c>
      <c r="AQ27">
        <v>1</v>
      </c>
      <c r="AR27">
        <v>1</v>
      </c>
      <c r="AS27">
        <v>1</v>
      </c>
      <c r="AT27">
        <v>1</v>
      </c>
      <c r="AV27">
        <v>1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1</v>
      </c>
      <c r="BL27">
        <v>1</v>
      </c>
      <c r="BM27">
        <v>1</v>
      </c>
      <c r="CM27" t="str">
        <f t="shared" si="5"/>
        <v>0xDD9F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6"/>
        <v>0xCD99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0xF7FB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0xFE00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L28">
        <v>1</v>
      </c>
      <c r="M28">
        <v>1</v>
      </c>
      <c r="N28">
        <v>1</v>
      </c>
      <c r="O28">
        <v>1</v>
      </c>
      <c r="P28">
        <v>1</v>
      </c>
      <c r="Q28">
        <v>1</v>
      </c>
      <c r="R28">
        <v>1</v>
      </c>
      <c r="S28">
        <v>1</v>
      </c>
      <c r="T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D28">
        <v>1</v>
      </c>
      <c r="AE28">
        <v>1</v>
      </c>
      <c r="AG28">
        <v>1</v>
      </c>
      <c r="AI28">
        <v>1</v>
      </c>
      <c r="AK28">
        <v>1</v>
      </c>
      <c r="AL28">
        <v>1</v>
      </c>
      <c r="AM28">
        <v>1</v>
      </c>
      <c r="AN28">
        <v>1</v>
      </c>
      <c r="AP28">
        <v>1</v>
      </c>
      <c r="AR28">
        <v>1</v>
      </c>
      <c r="AS28">
        <v>1</v>
      </c>
      <c r="AT28">
        <v>1</v>
      </c>
      <c r="AV28">
        <v>1</v>
      </c>
      <c r="AW28">
        <v>1</v>
      </c>
      <c r="AX28">
        <v>1</v>
      </c>
      <c r="AY28">
        <v>1</v>
      </c>
      <c r="AZ28">
        <v>1</v>
      </c>
      <c r="BA28">
        <v>1</v>
      </c>
      <c r="BB28">
        <v>1</v>
      </c>
      <c r="BC28">
        <v>1</v>
      </c>
      <c r="BE28">
        <v>1</v>
      </c>
      <c r="BF28">
        <v>1</v>
      </c>
      <c r="BG28">
        <v>1</v>
      </c>
      <c r="BH28">
        <v>1</v>
      </c>
      <c r="BJ28">
        <v>1</v>
      </c>
      <c r="BK28">
        <v>1</v>
      </c>
      <c r="BL28">
        <v>1</v>
      </c>
      <c r="BM28">
        <v>1</v>
      </c>
      <c r="CM28" t="str">
        <f t="shared" si="5"/>
        <v>0xFFDF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6"/>
        <v>0xDABD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0x77FB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0xDE00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M29">
        <v>1</v>
      </c>
      <c r="N29">
        <v>1</v>
      </c>
      <c r="P29">
        <v>1</v>
      </c>
      <c r="Q29">
        <v>1</v>
      </c>
      <c r="R29">
        <v>1</v>
      </c>
      <c r="T29">
        <v>1</v>
      </c>
      <c r="V29">
        <v>1</v>
      </c>
      <c r="W29">
        <v>1</v>
      </c>
      <c r="X29">
        <v>1</v>
      </c>
      <c r="Y29">
        <v>1</v>
      </c>
      <c r="Z29">
        <v>1</v>
      </c>
      <c r="AA29">
        <v>1</v>
      </c>
      <c r="AB29">
        <v>1</v>
      </c>
      <c r="AD29">
        <v>1</v>
      </c>
      <c r="AF29">
        <v>1</v>
      </c>
      <c r="AH29">
        <v>1</v>
      </c>
      <c r="AI29">
        <v>1</v>
      </c>
      <c r="AK29">
        <v>1</v>
      </c>
      <c r="AL29">
        <v>1</v>
      </c>
      <c r="AM29">
        <v>1</v>
      </c>
      <c r="AN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V29">
        <v>1</v>
      </c>
      <c r="AW29">
        <v>1</v>
      </c>
      <c r="AX29">
        <v>1</v>
      </c>
      <c r="AY29">
        <v>1</v>
      </c>
      <c r="AZ29">
        <v>1</v>
      </c>
      <c r="BA29">
        <v>1</v>
      </c>
      <c r="BB29">
        <v>1</v>
      </c>
      <c r="BC29">
        <v>1</v>
      </c>
      <c r="BE29">
        <v>1</v>
      </c>
      <c r="BF29">
        <v>1</v>
      </c>
      <c r="BG29">
        <v>1</v>
      </c>
      <c r="BH29">
        <v>1</v>
      </c>
      <c r="BI29">
        <v>1</v>
      </c>
      <c r="BJ29">
        <v>1</v>
      </c>
      <c r="BK29">
        <v>1</v>
      </c>
      <c r="BL29">
        <v>1</v>
      </c>
      <c r="BM29">
        <v>1</v>
      </c>
      <c r="CM29" t="str">
        <f t="shared" si="5"/>
        <v>0xF75F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6"/>
        <v>0xD5BD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0xF7FB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0xFE00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L30">
        <v>1</v>
      </c>
      <c r="M30">
        <v>1</v>
      </c>
      <c r="N30">
        <v>1</v>
      </c>
      <c r="O30">
        <v>1</v>
      </c>
      <c r="P30">
        <v>1</v>
      </c>
      <c r="Q30">
        <v>1</v>
      </c>
      <c r="R30">
        <v>1</v>
      </c>
      <c r="S30">
        <v>1</v>
      </c>
      <c r="T30">
        <v>1</v>
      </c>
      <c r="V30">
        <v>1</v>
      </c>
      <c r="W30">
        <v>1</v>
      </c>
      <c r="X30">
        <v>1</v>
      </c>
      <c r="Y30">
        <v>1</v>
      </c>
      <c r="Z30">
        <v>1</v>
      </c>
      <c r="AA30">
        <v>1</v>
      </c>
      <c r="AB30">
        <v>1</v>
      </c>
      <c r="AD30">
        <v>1</v>
      </c>
      <c r="AE30">
        <v>1</v>
      </c>
      <c r="AG30">
        <v>1</v>
      </c>
      <c r="AI30">
        <v>1</v>
      </c>
      <c r="AK30">
        <v>1</v>
      </c>
      <c r="AL30">
        <v>1</v>
      </c>
      <c r="AM30">
        <v>1</v>
      </c>
      <c r="AN30">
        <v>1</v>
      </c>
      <c r="AP30">
        <v>1</v>
      </c>
      <c r="AQ30">
        <v>1</v>
      </c>
      <c r="AR30">
        <v>1</v>
      </c>
      <c r="AS30">
        <v>1</v>
      </c>
      <c r="AT30">
        <v>1</v>
      </c>
      <c r="AV30">
        <v>1</v>
      </c>
      <c r="AW30">
        <v>1</v>
      </c>
      <c r="AX30">
        <v>1</v>
      </c>
      <c r="AY30">
        <v>1</v>
      </c>
      <c r="AZ30">
        <v>1</v>
      </c>
      <c r="BA30">
        <v>1</v>
      </c>
      <c r="BB30">
        <v>1</v>
      </c>
      <c r="BC30">
        <v>1</v>
      </c>
      <c r="BE30">
        <v>1</v>
      </c>
      <c r="BF30">
        <v>1</v>
      </c>
      <c r="BG30">
        <v>1</v>
      </c>
      <c r="BH30">
        <v>1</v>
      </c>
      <c r="BI30">
        <v>1</v>
      </c>
      <c r="BJ30">
        <v>1</v>
      </c>
      <c r="BK30">
        <v>1</v>
      </c>
      <c r="BL30">
        <v>1</v>
      </c>
      <c r="BM30">
        <v>1</v>
      </c>
      <c r="CM30" t="str">
        <f t="shared" si="5"/>
        <v>0xFFDF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6"/>
        <v>0xDABD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0xF7FB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0xFE00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O31">
        <v>1</v>
      </c>
      <c r="P31">
        <v>1</v>
      </c>
      <c r="R31">
        <v>1</v>
      </c>
      <c r="S31">
        <v>1</v>
      </c>
      <c r="T31">
        <v>1</v>
      </c>
      <c r="V31">
        <v>1</v>
      </c>
      <c r="W31">
        <v>1</v>
      </c>
      <c r="X31">
        <v>1</v>
      </c>
      <c r="Y31">
        <v>1</v>
      </c>
      <c r="Z31">
        <v>1</v>
      </c>
      <c r="AA31">
        <v>1</v>
      </c>
      <c r="AB31">
        <v>1</v>
      </c>
      <c r="AD31">
        <v>1</v>
      </c>
      <c r="AF31">
        <v>1</v>
      </c>
      <c r="AH31">
        <v>1</v>
      </c>
      <c r="AI31">
        <v>1</v>
      </c>
      <c r="AK31">
        <v>1</v>
      </c>
      <c r="AL31">
        <v>1</v>
      </c>
      <c r="AM31">
        <v>1</v>
      </c>
      <c r="AN31">
        <v>1</v>
      </c>
      <c r="AP31">
        <v>1</v>
      </c>
      <c r="AQ31">
        <v>1</v>
      </c>
      <c r="AR31">
        <v>1</v>
      </c>
      <c r="AS31">
        <v>1</v>
      </c>
      <c r="AT31">
        <v>1</v>
      </c>
      <c r="AV31">
        <v>1</v>
      </c>
      <c r="AW31">
        <v>1</v>
      </c>
      <c r="AX31">
        <v>1</v>
      </c>
      <c r="AY31">
        <v>1</v>
      </c>
      <c r="AZ31">
        <v>1</v>
      </c>
      <c r="BA31">
        <v>1</v>
      </c>
      <c r="BB31">
        <v>1</v>
      </c>
      <c r="BC31">
        <v>1</v>
      </c>
      <c r="BE31">
        <v>1</v>
      </c>
      <c r="BG31">
        <v>1</v>
      </c>
      <c r="BH31">
        <v>1</v>
      </c>
      <c r="BI31">
        <v>1</v>
      </c>
      <c r="BJ31">
        <v>1</v>
      </c>
      <c r="BK31">
        <v>1</v>
      </c>
      <c r="BM31">
        <v>1</v>
      </c>
      <c r="CM31" t="str">
        <f t="shared" si="5"/>
        <v>0xDDDF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6"/>
        <v>0xD5BD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0xF7FA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0xFA00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L32">
        <v>1</v>
      </c>
      <c r="M32">
        <v>1</v>
      </c>
      <c r="N32">
        <v>1</v>
      </c>
      <c r="O32">
        <v>1</v>
      </c>
      <c r="P32">
        <v>1</v>
      </c>
      <c r="Q32">
        <v>1</v>
      </c>
      <c r="R32">
        <v>1</v>
      </c>
      <c r="S32">
        <v>1</v>
      </c>
      <c r="T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D32">
        <v>1</v>
      </c>
      <c r="AE32">
        <v>1</v>
      </c>
      <c r="AG32">
        <v>1</v>
      </c>
      <c r="AI32">
        <v>1</v>
      </c>
      <c r="AK32">
        <v>1</v>
      </c>
      <c r="AL32">
        <v>1</v>
      </c>
      <c r="AM32">
        <v>1</v>
      </c>
      <c r="AN32">
        <v>1</v>
      </c>
      <c r="AP32">
        <v>1</v>
      </c>
      <c r="AQ32">
        <v>1</v>
      </c>
      <c r="AR32">
        <v>1</v>
      </c>
      <c r="AS32">
        <v>1</v>
      </c>
      <c r="AT32">
        <v>1</v>
      </c>
      <c r="AV32">
        <v>1</v>
      </c>
      <c r="AW32">
        <v>1</v>
      </c>
      <c r="AX32">
        <v>1</v>
      </c>
      <c r="AY32">
        <v>1</v>
      </c>
      <c r="AZ32">
        <v>1</v>
      </c>
      <c r="BA32">
        <v>1</v>
      </c>
      <c r="BB32">
        <v>1</v>
      </c>
      <c r="BC32">
        <v>1</v>
      </c>
      <c r="BE32">
        <v>1</v>
      </c>
      <c r="BF32">
        <v>1</v>
      </c>
      <c r="BG32">
        <v>1</v>
      </c>
      <c r="BH32">
        <v>1</v>
      </c>
      <c r="BI32">
        <v>1</v>
      </c>
      <c r="BJ32">
        <v>1</v>
      </c>
      <c r="BK32">
        <v>1</v>
      </c>
      <c r="BL32">
        <v>1</v>
      </c>
      <c r="BM32">
        <v>1</v>
      </c>
      <c r="CM32" t="str">
        <f t="shared" si="5"/>
        <v>0xFFDF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6"/>
        <v>0xDABD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0xF7FB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0xFE00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M33">
        <v>1</v>
      </c>
      <c r="N33">
        <v>1</v>
      </c>
      <c r="P33">
        <v>1</v>
      </c>
      <c r="Q33">
        <v>1</v>
      </c>
      <c r="R33">
        <v>1</v>
      </c>
      <c r="T33">
        <v>1</v>
      </c>
      <c r="V33">
        <v>1</v>
      </c>
      <c r="W33">
        <v>1</v>
      </c>
      <c r="X33">
        <v>1</v>
      </c>
      <c r="Y33">
        <v>1</v>
      </c>
      <c r="Z33">
        <v>1</v>
      </c>
      <c r="AA33">
        <v>1</v>
      </c>
      <c r="AB33">
        <v>1</v>
      </c>
      <c r="AD33">
        <v>1</v>
      </c>
      <c r="AF33">
        <v>1</v>
      </c>
      <c r="AH33">
        <v>1</v>
      </c>
      <c r="AI33">
        <v>1</v>
      </c>
      <c r="AK33">
        <v>1</v>
      </c>
      <c r="AL33">
        <v>1</v>
      </c>
      <c r="AM33">
        <v>1</v>
      </c>
      <c r="AN33">
        <v>1</v>
      </c>
      <c r="AP33">
        <v>1</v>
      </c>
      <c r="AQ33">
        <v>1</v>
      </c>
      <c r="AR33">
        <v>1</v>
      </c>
      <c r="AS33">
        <v>1</v>
      </c>
      <c r="AT33">
        <v>1</v>
      </c>
      <c r="AW33">
        <v>1</v>
      </c>
      <c r="AX33">
        <v>1</v>
      </c>
      <c r="AY33">
        <v>1</v>
      </c>
      <c r="AZ33">
        <v>1</v>
      </c>
      <c r="BA33">
        <v>1</v>
      </c>
      <c r="BB33">
        <v>1</v>
      </c>
      <c r="BE33">
        <v>1</v>
      </c>
      <c r="BF33">
        <v>1</v>
      </c>
      <c r="BG33">
        <v>1</v>
      </c>
      <c r="BH33">
        <v>1</v>
      </c>
      <c r="BI33">
        <v>1</v>
      </c>
      <c r="BJ33">
        <v>1</v>
      </c>
      <c r="BK33">
        <v>1</v>
      </c>
      <c r="BL33">
        <v>1</v>
      </c>
      <c r="BM33">
        <v>1</v>
      </c>
      <c r="CM33" t="str">
        <f t="shared" si="5"/>
        <v>0xF75F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6"/>
        <v>0xD5BD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0xF3F3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0xFE00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L34">
        <v>1</v>
      </c>
      <c r="M34">
        <v>1</v>
      </c>
      <c r="N34">
        <v>1</v>
      </c>
      <c r="O34">
        <v>1</v>
      </c>
      <c r="P34">
        <v>1</v>
      </c>
      <c r="Q34">
        <v>1</v>
      </c>
      <c r="R34">
        <v>1</v>
      </c>
      <c r="S34">
        <v>1</v>
      </c>
      <c r="T34">
        <v>1</v>
      </c>
      <c r="V34">
        <v>1</v>
      </c>
      <c r="W34">
        <v>1</v>
      </c>
      <c r="X34">
        <v>1</v>
      </c>
      <c r="Y34">
        <v>1</v>
      </c>
      <c r="Z34">
        <v>1</v>
      </c>
      <c r="AA34">
        <v>1</v>
      </c>
      <c r="AB34">
        <v>1</v>
      </c>
      <c r="AD34">
        <v>1</v>
      </c>
      <c r="AE34">
        <v>1</v>
      </c>
      <c r="AG34">
        <v>1</v>
      </c>
      <c r="AI34">
        <v>1</v>
      </c>
      <c r="AK34">
        <v>1</v>
      </c>
      <c r="AL34">
        <v>1</v>
      </c>
      <c r="AM34">
        <v>1</v>
      </c>
      <c r="AN34">
        <v>1</v>
      </c>
      <c r="AP34">
        <v>1</v>
      </c>
      <c r="AR34">
        <v>1</v>
      </c>
      <c r="AS34">
        <v>1</v>
      </c>
      <c r="AT34">
        <v>1</v>
      </c>
      <c r="AU34">
        <v>1</v>
      </c>
      <c r="AW34">
        <v>1</v>
      </c>
      <c r="AX34">
        <v>1</v>
      </c>
      <c r="AY34">
        <v>1</v>
      </c>
      <c r="AZ34">
        <v>1</v>
      </c>
      <c r="BA34">
        <v>1</v>
      </c>
      <c r="BB34">
        <v>1</v>
      </c>
      <c r="BD34">
        <v>1</v>
      </c>
      <c r="BE34">
        <v>1</v>
      </c>
      <c r="BF34">
        <v>1</v>
      </c>
      <c r="BG34">
        <v>1</v>
      </c>
      <c r="BH34">
        <v>1</v>
      </c>
      <c r="BJ34">
        <v>1</v>
      </c>
      <c r="BK34">
        <v>1</v>
      </c>
      <c r="BL34">
        <v>1</v>
      </c>
      <c r="BM34">
        <v>1</v>
      </c>
      <c r="CM34" t="str">
        <f t="shared" si="5"/>
        <v>0xFFDF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6"/>
        <v>0xDABD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0x7BF7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0xDE00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O35">
        <v>1</v>
      </c>
      <c r="P35">
        <v>1</v>
      </c>
      <c r="R35">
        <v>1</v>
      </c>
      <c r="S35">
        <v>1</v>
      </c>
      <c r="T35">
        <v>1</v>
      </c>
      <c r="W35">
        <v>1</v>
      </c>
      <c r="X35">
        <v>1</v>
      </c>
      <c r="Y35">
        <v>1</v>
      </c>
      <c r="Z35">
        <v>1</v>
      </c>
      <c r="AA35">
        <v>1</v>
      </c>
      <c r="AD35">
        <v>1</v>
      </c>
      <c r="AF35">
        <v>1</v>
      </c>
      <c r="AH35">
        <v>1</v>
      </c>
      <c r="AI35">
        <v>1</v>
      </c>
      <c r="AK35">
        <v>1</v>
      </c>
      <c r="AL35">
        <v>1</v>
      </c>
      <c r="AM35">
        <v>1</v>
      </c>
      <c r="AN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W35">
        <v>1</v>
      </c>
      <c r="AX35">
        <v>1</v>
      </c>
      <c r="AY35">
        <v>1</v>
      </c>
      <c r="AZ35">
        <v>1</v>
      </c>
      <c r="BA35">
        <v>1</v>
      </c>
      <c r="BB35">
        <v>1</v>
      </c>
      <c r="BD35">
        <v>1</v>
      </c>
      <c r="BE35">
        <v>1</v>
      </c>
      <c r="BF35">
        <v>1</v>
      </c>
      <c r="BG35">
        <v>1</v>
      </c>
      <c r="BH35">
        <v>1</v>
      </c>
      <c r="BI35">
        <v>1</v>
      </c>
      <c r="BJ35">
        <v>1</v>
      </c>
      <c r="BK35">
        <v>1</v>
      </c>
      <c r="BL35">
        <v>1</v>
      </c>
      <c r="BM35">
        <v>1</v>
      </c>
      <c r="CM35" t="str">
        <f t="shared" si="5"/>
        <v>0xDDCF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6"/>
        <v>0x95BD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0xFBF7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0xFE00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L36">
        <v>1</v>
      </c>
      <c r="M36">
        <v>1</v>
      </c>
      <c r="N36">
        <v>1</v>
      </c>
      <c r="O36">
        <v>1</v>
      </c>
      <c r="P36">
        <v>1</v>
      </c>
      <c r="Q36">
        <v>1</v>
      </c>
      <c r="R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I36">
        <v>1</v>
      </c>
      <c r="AK36">
        <v>1</v>
      </c>
      <c r="AL36">
        <v>1</v>
      </c>
      <c r="AM36">
        <v>1</v>
      </c>
      <c r="AN36">
        <v>1</v>
      </c>
      <c r="AP36">
        <v>1</v>
      </c>
      <c r="AQ36">
        <v>1</v>
      </c>
      <c r="AR36">
        <v>1</v>
      </c>
      <c r="AS36">
        <v>1</v>
      </c>
      <c r="AT36">
        <v>1</v>
      </c>
      <c r="AU36">
        <v>1</v>
      </c>
      <c r="AW36">
        <v>1</v>
      </c>
      <c r="AX36">
        <v>1</v>
      </c>
      <c r="AY36">
        <v>1</v>
      </c>
      <c r="AZ36">
        <v>1</v>
      </c>
      <c r="BA36">
        <v>1</v>
      </c>
      <c r="BB36">
        <v>1</v>
      </c>
      <c r="BD36">
        <v>1</v>
      </c>
      <c r="BE36">
        <v>1</v>
      </c>
      <c r="BF36">
        <v>1</v>
      </c>
      <c r="BG36">
        <v>1</v>
      </c>
      <c r="BH36">
        <v>1</v>
      </c>
      <c r="BI36">
        <v>1</v>
      </c>
      <c r="BJ36">
        <v>1</v>
      </c>
      <c r="BK36">
        <v>1</v>
      </c>
      <c r="BL36">
        <v>1</v>
      </c>
      <c r="BM36">
        <v>1</v>
      </c>
      <c r="CM36" t="str">
        <f t="shared" si="5"/>
        <v>0xFFEF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6"/>
        <v>0xBABD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0xFBF7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0xFE00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M37">
        <v>1</v>
      </c>
      <c r="N37">
        <v>1</v>
      </c>
      <c r="P37">
        <v>1</v>
      </c>
      <c r="Q37">
        <v>1</v>
      </c>
      <c r="R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F37">
        <v>1</v>
      </c>
      <c r="AH37">
        <v>1</v>
      </c>
      <c r="AI37">
        <v>1</v>
      </c>
      <c r="AK37">
        <v>1</v>
      </c>
      <c r="AL37">
        <v>1</v>
      </c>
      <c r="AM37">
        <v>1</v>
      </c>
      <c r="AN37">
        <v>1</v>
      </c>
      <c r="AP37">
        <v>1</v>
      </c>
      <c r="AQ37">
        <v>1</v>
      </c>
      <c r="AR37">
        <v>1</v>
      </c>
      <c r="AS37">
        <v>1</v>
      </c>
      <c r="AT37">
        <v>1</v>
      </c>
      <c r="AU37">
        <v>1</v>
      </c>
      <c r="AW37">
        <v>1</v>
      </c>
      <c r="AX37">
        <v>1</v>
      </c>
      <c r="AY37">
        <v>1</v>
      </c>
      <c r="AZ37">
        <v>1</v>
      </c>
      <c r="BA37">
        <v>1</v>
      </c>
      <c r="BB37">
        <v>1</v>
      </c>
      <c r="BD37">
        <v>1</v>
      </c>
      <c r="BE37">
        <v>1</v>
      </c>
      <c r="BG37">
        <v>1</v>
      </c>
      <c r="BH37">
        <v>1</v>
      </c>
      <c r="BI37">
        <v>1</v>
      </c>
      <c r="BJ37">
        <v>1</v>
      </c>
      <c r="BK37">
        <v>1</v>
      </c>
      <c r="BM37">
        <v>1</v>
      </c>
      <c r="CM37" t="str">
        <f t="shared" si="5"/>
        <v>0xF76F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6"/>
        <v>0xB5BD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0xFBF6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0xFA00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E38">
        <v>1</v>
      </c>
      <c r="AG38">
        <v>1</v>
      </c>
      <c r="AI38">
        <v>1</v>
      </c>
      <c r="AK38">
        <v>1</v>
      </c>
      <c r="AL38">
        <v>1</v>
      </c>
      <c r="AM38">
        <v>1</v>
      </c>
      <c r="AN38">
        <v>1</v>
      </c>
      <c r="AP38">
        <v>1</v>
      </c>
      <c r="AQ38">
        <v>1</v>
      </c>
      <c r="AR38">
        <v>1</v>
      </c>
      <c r="AS38">
        <v>1</v>
      </c>
      <c r="AT38">
        <v>1</v>
      </c>
      <c r="AU38">
        <v>1</v>
      </c>
      <c r="AW38">
        <v>1</v>
      </c>
      <c r="AX38">
        <v>1</v>
      </c>
      <c r="AY38">
        <v>1</v>
      </c>
      <c r="AZ38">
        <v>1</v>
      </c>
      <c r="BA38">
        <v>1</v>
      </c>
      <c r="BB38">
        <v>1</v>
      </c>
      <c r="BD38">
        <v>1</v>
      </c>
      <c r="BE38">
        <v>1</v>
      </c>
      <c r="BF38">
        <v>1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1</v>
      </c>
      <c r="CM38" t="str">
        <f t="shared" si="5"/>
        <v>0xFFEF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6"/>
        <v>0xAABD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0xFBF7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0xFE00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O39">
        <v>1</v>
      </c>
      <c r="P39">
        <v>1</v>
      </c>
      <c r="R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F39">
        <v>1</v>
      </c>
      <c r="AH39">
        <v>1</v>
      </c>
      <c r="AI39">
        <v>1</v>
      </c>
      <c r="AK39">
        <v>1</v>
      </c>
      <c r="AL39">
        <v>1</v>
      </c>
      <c r="AM39">
        <v>1</v>
      </c>
      <c r="AN39">
        <v>1</v>
      </c>
      <c r="AP39">
        <v>1</v>
      </c>
      <c r="AQ39">
        <v>1</v>
      </c>
      <c r="AR39">
        <v>1</v>
      </c>
      <c r="AS39">
        <v>1</v>
      </c>
      <c r="AT39">
        <v>1</v>
      </c>
      <c r="AU39">
        <v>1</v>
      </c>
      <c r="AW39">
        <v>1</v>
      </c>
      <c r="AX39">
        <v>1</v>
      </c>
      <c r="AY39">
        <v>1</v>
      </c>
      <c r="AZ39">
        <v>1</v>
      </c>
      <c r="BA39">
        <v>1</v>
      </c>
      <c r="BB39">
        <v>1</v>
      </c>
      <c r="BD39">
        <v>1</v>
      </c>
      <c r="BE39">
        <v>1</v>
      </c>
      <c r="BF39">
        <v>1</v>
      </c>
      <c r="BG39">
        <v>1</v>
      </c>
      <c r="BH39">
        <v>1</v>
      </c>
      <c r="BI39">
        <v>1</v>
      </c>
      <c r="BJ39">
        <v>1</v>
      </c>
      <c r="BK39">
        <v>1</v>
      </c>
      <c r="BL39">
        <v>1</v>
      </c>
      <c r="BM39">
        <v>1</v>
      </c>
      <c r="CM39" t="str">
        <f t="shared" si="5"/>
        <v>0xDDEF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6"/>
        <v>0xB5BD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0xFBF7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0xFE00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L40">
        <v>1</v>
      </c>
      <c r="M40">
        <v>1</v>
      </c>
      <c r="N40">
        <v>1</v>
      </c>
      <c r="O40">
        <v>1</v>
      </c>
      <c r="P40">
        <v>1</v>
      </c>
      <c r="Q40">
        <v>1</v>
      </c>
      <c r="R40">
        <v>1</v>
      </c>
      <c r="S40">
        <v>1</v>
      </c>
      <c r="T40">
        <v>1</v>
      </c>
      <c r="U40">
        <v>1</v>
      </c>
      <c r="W40">
        <v>1</v>
      </c>
      <c r="X40">
        <v>1</v>
      </c>
      <c r="Y40">
        <v>1</v>
      </c>
      <c r="Z40">
        <v>1</v>
      </c>
      <c r="AA40">
        <v>1</v>
      </c>
      <c r="AC40">
        <v>1</v>
      </c>
      <c r="AE40">
        <v>1</v>
      </c>
      <c r="AG40">
        <v>1</v>
      </c>
      <c r="AI40">
        <v>1</v>
      </c>
      <c r="AK40">
        <v>1</v>
      </c>
      <c r="AL40">
        <v>1</v>
      </c>
      <c r="AM40">
        <v>1</v>
      </c>
      <c r="AN40">
        <v>1</v>
      </c>
      <c r="AP40">
        <v>1</v>
      </c>
      <c r="AR40">
        <v>1</v>
      </c>
      <c r="AS40">
        <v>1</v>
      </c>
      <c r="AT40">
        <v>1</v>
      </c>
      <c r="AU40">
        <v>1</v>
      </c>
      <c r="AW40">
        <v>1</v>
      </c>
      <c r="AX40">
        <v>1</v>
      </c>
      <c r="AY40">
        <v>1</v>
      </c>
      <c r="AZ40">
        <v>1</v>
      </c>
      <c r="BA40">
        <v>1</v>
      </c>
      <c r="BB40">
        <v>1</v>
      </c>
      <c r="BD40">
        <v>1</v>
      </c>
      <c r="BE40">
        <v>1</v>
      </c>
      <c r="BF40">
        <v>1</v>
      </c>
      <c r="BG40">
        <v>1</v>
      </c>
      <c r="BH40">
        <v>1</v>
      </c>
      <c r="BJ40">
        <v>1</v>
      </c>
      <c r="BK40">
        <v>1</v>
      </c>
      <c r="BL40">
        <v>1</v>
      </c>
      <c r="BM40">
        <v>1</v>
      </c>
      <c r="CM40" t="str">
        <f t="shared" si="5"/>
        <v>0xFFEF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6"/>
        <v>0xAABD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0x7BF7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0xDE00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M41">
        <v>1</v>
      </c>
      <c r="N41">
        <v>1</v>
      </c>
      <c r="P41">
        <v>1</v>
      </c>
      <c r="Q41">
        <v>1</v>
      </c>
      <c r="R41">
        <v>1</v>
      </c>
      <c r="T41">
        <v>1</v>
      </c>
      <c r="U41">
        <v>1</v>
      </c>
      <c r="W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F41">
        <v>1</v>
      </c>
      <c r="AH41">
        <v>1</v>
      </c>
      <c r="AI41">
        <v>1</v>
      </c>
      <c r="AK41">
        <v>1</v>
      </c>
      <c r="AL41">
        <v>1</v>
      </c>
      <c r="AM41">
        <v>1</v>
      </c>
      <c r="AN41">
        <v>1</v>
      </c>
      <c r="AP41">
        <v>1</v>
      </c>
      <c r="AQ41">
        <v>1</v>
      </c>
      <c r="AR41">
        <v>1</v>
      </c>
      <c r="AS41">
        <v>1</v>
      </c>
      <c r="AT41">
        <v>1</v>
      </c>
      <c r="AU41">
        <v>1</v>
      </c>
      <c r="AW41">
        <v>1</v>
      </c>
      <c r="AX41">
        <v>1</v>
      </c>
      <c r="AY41">
        <v>1</v>
      </c>
      <c r="AZ41">
        <v>1</v>
      </c>
      <c r="BA41">
        <v>1</v>
      </c>
      <c r="BB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CM41" t="str">
        <f t="shared" si="5"/>
        <v>0xF76F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6"/>
        <v>0xB5BD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0xFBF7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0xFE00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1</v>
      </c>
      <c r="S42">
        <v>1</v>
      </c>
      <c r="T42">
        <v>1</v>
      </c>
      <c r="U42">
        <v>1</v>
      </c>
      <c r="W42">
        <v>1</v>
      </c>
      <c r="X42">
        <v>1</v>
      </c>
      <c r="Y42">
        <v>1</v>
      </c>
      <c r="Z42">
        <v>1</v>
      </c>
      <c r="AA42">
        <v>1</v>
      </c>
      <c r="AC42">
        <v>1</v>
      </c>
      <c r="AE42">
        <v>1</v>
      </c>
      <c r="AG42">
        <v>1</v>
      </c>
      <c r="AI42">
        <v>1</v>
      </c>
      <c r="AK42">
        <v>1</v>
      </c>
      <c r="AL42">
        <v>1</v>
      </c>
      <c r="AM42">
        <v>1</v>
      </c>
      <c r="AN42">
        <v>1</v>
      </c>
      <c r="AP42">
        <v>1</v>
      </c>
      <c r="AQ42">
        <v>1</v>
      </c>
      <c r="AR42">
        <v>1</v>
      </c>
      <c r="AS42">
        <v>1</v>
      </c>
      <c r="AT42">
        <v>1</v>
      </c>
      <c r="AU42">
        <v>1</v>
      </c>
      <c r="AW42">
        <v>1</v>
      </c>
      <c r="AX42">
        <v>1</v>
      </c>
      <c r="AY42">
        <v>1</v>
      </c>
      <c r="AZ42">
        <v>1</v>
      </c>
      <c r="BA42">
        <v>1</v>
      </c>
      <c r="BB42">
        <v>1</v>
      </c>
      <c r="BD42">
        <v>1</v>
      </c>
      <c r="BE42">
        <v>1</v>
      </c>
      <c r="BF42">
        <v>1</v>
      </c>
      <c r="BG42">
        <v>1</v>
      </c>
      <c r="BH42">
        <v>1</v>
      </c>
      <c r="BI42">
        <v>1</v>
      </c>
      <c r="BJ42">
        <v>1</v>
      </c>
      <c r="BK42">
        <v>1</v>
      </c>
      <c r="BL42">
        <v>1</v>
      </c>
      <c r="BM42">
        <v>1</v>
      </c>
      <c r="CM42" t="str">
        <f t="shared" si="5"/>
        <v>0xFFEF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6"/>
        <v>0xAABD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0xFBF7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0xFE00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O43">
        <v>1</v>
      </c>
      <c r="P43">
        <v>1</v>
      </c>
      <c r="R43">
        <v>1</v>
      </c>
      <c r="S43">
        <v>1</v>
      </c>
      <c r="T43">
        <v>1</v>
      </c>
      <c r="U43">
        <v>1</v>
      </c>
      <c r="W43">
        <v>1</v>
      </c>
      <c r="X43">
        <v>1</v>
      </c>
      <c r="Y43">
        <v>1</v>
      </c>
      <c r="Z43">
        <v>1</v>
      </c>
      <c r="AA43">
        <v>1</v>
      </c>
      <c r="AC43">
        <v>1</v>
      </c>
      <c r="AD43">
        <v>1</v>
      </c>
      <c r="AF43">
        <v>1</v>
      </c>
      <c r="AH43">
        <v>1</v>
      </c>
      <c r="AI43">
        <v>1</v>
      </c>
      <c r="AK43">
        <v>1</v>
      </c>
      <c r="AL43">
        <v>1</v>
      </c>
      <c r="AM43">
        <v>1</v>
      </c>
      <c r="AN43">
        <v>1</v>
      </c>
      <c r="AP43">
        <v>1</v>
      </c>
      <c r="AQ43">
        <v>1</v>
      </c>
      <c r="AR43">
        <v>1</v>
      </c>
      <c r="AS43">
        <v>1</v>
      </c>
      <c r="AU43">
        <v>1</v>
      </c>
      <c r="AW43">
        <v>1</v>
      </c>
      <c r="AX43">
        <v>1</v>
      </c>
      <c r="AY43">
        <v>1</v>
      </c>
      <c r="AZ43">
        <v>1</v>
      </c>
      <c r="BA43">
        <v>1</v>
      </c>
      <c r="BB43">
        <v>1</v>
      </c>
      <c r="BD43">
        <v>1</v>
      </c>
      <c r="BE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M43">
        <v>1</v>
      </c>
      <c r="CM43" t="str">
        <f t="shared" si="5"/>
        <v>0xDDEF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6"/>
        <v>0xB5BD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0xEBF6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0xFA00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L44">
        <v>1</v>
      </c>
      <c r="M44">
        <v>1</v>
      </c>
      <c r="N44">
        <v>1</v>
      </c>
      <c r="O44">
        <v>1</v>
      </c>
      <c r="P44">
        <v>1</v>
      </c>
      <c r="Q44">
        <v>1</v>
      </c>
      <c r="R44">
        <v>1</v>
      </c>
      <c r="S44">
        <v>1</v>
      </c>
      <c r="T44">
        <v>1</v>
      </c>
      <c r="W44">
        <v>1</v>
      </c>
      <c r="X44">
        <v>1</v>
      </c>
      <c r="Y44">
        <v>1</v>
      </c>
      <c r="Z44">
        <v>1</v>
      </c>
      <c r="AA44">
        <v>1</v>
      </c>
      <c r="AD44">
        <v>1</v>
      </c>
      <c r="AE44">
        <v>1</v>
      </c>
      <c r="AG44">
        <v>1</v>
      </c>
      <c r="AI44">
        <v>1</v>
      </c>
      <c r="AK44">
        <v>1</v>
      </c>
      <c r="AL44">
        <v>1</v>
      </c>
      <c r="AM44">
        <v>1</v>
      </c>
      <c r="AN44">
        <v>1</v>
      </c>
      <c r="AP44">
        <v>1</v>
      </c>
      <c r="AQ44">
        <v>1</v>
      </c>
      <c r="AR44">
        <v>1</v>
      </c>
      <c r="AS44">
        <v>1</v>
      </c>
      <c r="AT44">
        <v>1</v>
      </c>
      <c r="AU44">
        <v>1</v>
      </c>
      <c r="AX44">
        <v>1</v>
      </c>
      <c r="AY44">
        <v>1</v>
      </c>
      <c r="AZ44">
        <v>1</v>
      </c>
      <c r="BA44">
        <v>1</v>
      </c>
      <c r="BD44">
        <v>1</v>
      </c>
      <c r="BE44">
        <v>1</v>
      </c>
      <c r="BF44">
        <v>1</v>
      </c>
      <c r="BG44">
        <v>1</v>
      </c>
      <c r="BH44">
        <v>1</v>
      </c>
      <c r="BI44">
        <v>1</v>
      </c>
      <c r="BJ44">
        <v>1</v>
      </c>
      <c r="BK44">
        <v>1</v>
      </c>
      <c r="BL44">
        <v>1</v>
      </c>
      <c r="BM44">
        <v>1</v>
      </c>
      <c r="CM44" t="str">
        <f t="shared" si="5"/>
        <v>0xFFCF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6"/>
        <v>0x9ABD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0xF9E7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0xFE00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M45">
        <v>1</v>
      </c>
      <c r="N45">
        <v>1</v>
      </c>
      <c r="P45">
        <v>1</v>
      </c>
      <c r="Q45">
        <v>1</v>
      </c>
      <c r="R45">
        <v>1</v>
      </c>
      <c r="T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F45">
        <v>1</v>
      </c>
      <c r="AH45">
        <v>1</v>
      </c>
      <c r="AI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X45">
        <v>1</v>
      </c>
      <c r="AY45">
        <v>1</v>
      </c>
      <c r="AZ45">
        <v>1</v>
      </c>
      <c r="BA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CM45" t="str">
        <f t="shared" si="5"/>
        <v>0xF75F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6"/>
        <v>0xD581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0xFDEF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0xFE00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L46">
        <v>1</v>
      </c>
      <c r="M46">
        <v>1</v>
      </c>
      <c r="N46">
        <v>1</v>
      </c>
      <c r="O46">
        <v>1</v>
      </c>
      <c r="P46">
        <v>1</v>
      </c>
      <c r="Q46">
        <v>1</v>
      </c>
      <c r="R46">
        <v>1</v>
      </c>
      <c r="S46">
        <v>1</v>
      </c>
      <c r="T46">
        <v>1</v>
      </c>
      <c r="V46">
        <v>1</v>
      </c>
      <c r="W46">
        <v>1</v>
      </c>
      <c r="X46">
        <v>1</v>
      </c>
      <c r="Y46">
        <v>1</v>
      </c>
      <c r="Z46">
        <v>1</v>
      </c>
      <c r="AA46">
        <v>1</v>
      </c>
      <c r="AB46">
        <v>1</v>
      </c>
      <c r="AD46">
        <v>1</v>
      </c>
      <c r="AE46">
        <v>1</v>
      </c>
      <c r="AG46">
        <v>1</v>
      </c>
      <c r="AI46">
        <v>1</v>
      </c>
      <c r="AJ46">
        <v>1</v>
      </c>
      <c r="AL46">
        <v>1</v>
      </c>
      <c r="AM46">
        <v>1</v>
      </c>
      <c r="AN46">
        <v>1</v>
      </c>
      <c r="AO46">
        <v>1</v>
      </c>
      <c r="AP46">
        <v>1</v>
      </c>
      <c r="AR46">
        <v>1</v>
      </c>
      <c r="AS46">
        <v>1</v>
      </c>
      <c r="AT46">
        <v>1</v>
      </c>
      <c r="AU46">
        <v>1</v>
      </c>
      <c r="AV46">
        <v>1</v>
      </c>
      <c r="AX46">
        <v>1</v>
      </c>
      <c r="AY46">
        <v>1</v>
      </c>
      <c r="AZ46">
        <v>1</v>
      </c>
      <c r="BA46">
        <v>1</v>
      </c>
      <c r="BC46">
        <v>1</v>
      </c>
      <c r="BD46">
        <v>1</v>
      </c>
      <c r="BE46">
        <v>1</v>
      </c>
      <c r="BF46">
        <v>1</v>
      </c>
      <c r="BG46">
        <v>1</v>
      </c>
      <c r="BH46">
        <v>1</v>
      </c>
      <c r="BJ46">
        <v>1</v>
      </c>
      <c r="BK46">
        <v>1</v>
      </c>
      <c r="BL46">
        <v>1</v>
      </c>
      <c r="BM46">
        <v>1</v>
      </c>
      <c r="CM46" t="str">
        <f t="shared" si="5"/>
        <v>0xFFDF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6"/>
        <v>0xDADF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0x7DEF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0xDE00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O47">
        <v>1</v>
      </c>
      <c r="P47">
        <v>1</v>
      </c>
      <c r="R47">
        <v>1</v>
      </c>
      <c r="S47">
        <v>1</v>
      </c>
      <c r="T47">
        <v>1</v>
      </c>
      <c r="V47">
        <v>1</v>
      </c>
      <c r="W47">
        <v>1</v>
      </c>
      <c r="X47">
        <v>1</v>
      </c>
      <c r="Y47">
        <v>1</v>
      </c>
      <c r="Z47">
        <v>1</v>
      </c>
      <c r="AA47">
        <v>1</v>
      </c>
      <c r="AB47">
        <v>1</v>
      </c>
      <c r="AD47">
        <v>1</v>
      </c>
      <c r="AE47">
        <v>1</v>
      </c>
      <c r="AF47">
        <v>1</v>
      </c>
      <c r="AG47">
        <v>1</v>
      </c>
      <c r="AH47">
        <v>1</v>
      </c>
      <c r="AI47">
        <v>1</v>
      </c>
      <c r="AJ47">
        <v>1</v>
      </c>
      <c r="AL47">
        <v>1</v>
      </c>
      <c r="AM47">
        <v>1</v>
      </c>
      <c r="AN47">
        <v>1</v>
      </c>
      <c r="AO47">
        <v>1</v>
      </c>
      <c r="AP47">
        <v>1</v>
      </c>
      <c r="AQ47">
        <v>1</v>
      </c>
      <c r="AR47">
        <v>1</v>
      </c>
      <c r="AS47">
        <v>1</v>
      </c>
      <c r="AT47">
        <v>1</v>
      </c>
      <c r="AU47">
        <v>1</v>
      </c>
      <c r="AV47">
        <v>1</v>
      </c>
      <c r="AX47">
        <v>1</v>
      </c>
      <c r="AY47">
        <v>1</v>
      </c>
      <c r="AZ47">
        <v>1</v>
      </c>
      <c r="BA47">
        <v>1</v>
      </c>
      <c r="BC47">
        <v>1</v>
      </c>
      <c r="BD47">
        <v>1</v>
      </c>
      <c r="BE47">
        <v>1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CM47" t="str">
        <f t="shared" si="5"/>
        <v>0xDDDF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6"/>
        <v>0xDFDF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0xFDEF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0xFE00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L48">
        <v>1</v>
      </c>
      <c r="M48">
        <v>1</v>
      </c>
      <c r="N48">
        <v>1</v>
      </c>
      <c r="O48">
        <v>1</v>
      </c>
      <c r="P48">
        <v>1</v>
      </c>
      <c r="Q48">
        <v>1</v>
      </c>
      <c r="R48">
        <v>1</v>
      </c>
      <c r="S48">
        <v>1</v>
      </c>
      <c r="T48">
        <v>1</v>
      </c>
      <c r="W48">
        <v>1</v>
      </c>
      <c r="X48">
        <v>1</v>
      </c>
      <c r="Y48">
        <v>1</v>
      </c>
      <c r="Z48">
        <v>1</v>
      </c>
      <c r="AA48">
        <v>1</v>
      </c>
      <c r="AD48">
        <v>1</v>
      </c>
      <c r="AL48">
        <v>1</v>
      </c>
      <c r="AM48">
        <v>1</v>
      </c>
      <c r="AN48">
        <v>1</v>
      </c>
      <c r="AO48">
        <v>1</v>
      </c>
      <c r="AP48">
        <v>1</v>
      </c>
      <c r="AQ48">
        <v>1</v>
      </c>
      <c r="AR48">
        <v>1</v>
      </c>
      <c r="AS48">
        <v>1</v>
      </c>
      <c r="AT48">
        <v>1</v>
      </c>
      <c r="AU48">
        <v>1</v>
      </c>
      <c r="AV48">
        <v>1</v>
      </c>
      <c r="AX48">
        <v>1</v>
      </c>
      <c r="AY48">
        <v>1</v>
      </c>
      <c r="AZ48">
        <v>1</v>
      </c>
      <c r="BA48">
        <v>1</v>
      </c>
      <c r="BC48">
        <v>1</v>
      </c>
      <c r="BD48">
        <v>1</v>
      </c>
      <c r="BE48">
        <v>1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1</v>
      </c>
      <c r="BL48">
        <v>1</v>
      </c>
      <c r="BM48">
        <v>1</v>
      </c>
      <c r="CM48" t="str">
        <f t="shared" si="5"/>
        <v>0xFFCF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6"/>
        <v>0x901F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0xFDEF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0xFE00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M49">
        <v>1</v>
      </c>
      <c r="N49">
        <v>1</v>
      </c>
      <c r="P49">
        <v>1</v>
      </c>
      <c r="Q49">
        <v>1</v>
      </c>
      <c r="R49">
        <v>1</v>
      </c>
      <c r="T49">
        <v>1</v>
      </c>
      <c r="U49">
        <v>1</v>
      </c>
      <c r="W49">
        <v>1</v>
      </c>
      <c r="X49">
        <v>1</v>
      </c>
      <c r="Y49">
        <v>1</v>
      </c>
      <c r="Z49">
        <v>1</v>
      </c>
      <c r="AA49">
        <v>1</v>
      </c>
      <c r="AC49">
        <v>1</v>
      </c>
      <c r="AD49">
        <v>1</v>
      </c>
      <c r="AE49">
        <v>1</v>
      </c>
      <c r="AF49">
        <v>1</v>
      </c>
      <c r="AG49">
        <v>1</v>
      </c>
      <c r="AH49">
        <v>1</v>
      </c>
      <c r="AI49">
        <v>1</v>
      </c>
      <c r="AJ49">
        <v>1</v>
      </c>
      <c r="AL49">
        <v>1</v>
      </c>
      <c r="AM49">
        <v>1</v>
      </c>
      <c r="AO49">
        <v>1</v>
      </c>
      <c r="AP49">
        <v>1</v>
      </c>
      <c r="AQ49">
        <v>1</v>
      </c>
      <c r="AR49">
        <v>1</v>
      </c>
      <c r="AS49">
        <v>1</v>
      </c>
      <c r="AU49">
        <v>1</v>
      </c>
      <c r="AV49">
        <v>1</v>
      </c>
      <c r="AX49">
        <v>1</v>
      </c>
      <c r="AY49">
        <v>1</v>
      </c>
      <c r="AZ49">
        <v>1</v>
      </c>
      <c r="BA49">
        <v>1</v>
      </c>
      <c r="BC49">
        <v>1</v>
      </c>
      <c r="BD49">
        <v>1</v>
      </c>
      <c r="BE49">
        <v>1</v>
      </c>
      <c r="BG49">
        <v>1</v>
      </c>
      <c r="BH49">
        <v>1</v>
      </c>
      <c r="BI49">
        <v>1</v>
      </c>
      <c r="BJ49">
        <v>1</v>
      </c>
      <c r="BK49">
        <v>1</v>
      </c>
      <c r="BM49">
        <v>1</v>
      </c>
      <c r="CM49" t="str">
        <f t="shared" si="5"/>
        <v>0xF76F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6"/>
        <v>0xBFDB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0xEDEE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0xFA00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L50">
        <v>1</v>
      </c>
      <c r="M50">
        <v>1</v>
      </c>
      <c r="N50">
        <v>1</v>
      </c>
      <c r="O50">
        <v>1</v>
      </c>
      <c r="P50">
        <v>1</v>
      </c>
      <c r="Q50">
        <v>1</v>
      </c>
      <c r="R50">
        <v>1</v>
      </c>
      <c r="S50">
        <v>1</v>
      </c>
      <c r="T50">
        <v>1</v>
      </c>
      <c r="U50">
        <v>1</v>
      </c>
      <c r="W50">
        <v>1</v>
      </c>
      <c r="X50">
        <v>1</v>
      </c>
      <c r="Y50">
        <v>1</v>
      </c>
      <c r="Z50">
        <v>1</v>
      </c>
      <c r="AA50">
        <v>1</v>
      </c>
      <c r="AC50">
        <v>1</v>
      </c>
      <c r="AD50">
        <v>1</v>
      </c>
      <c r="AE50">
        <v>1</v>
      </c>
      <c r="AF50">
        <v>1</v>
      </c>
      <c r="AG50">
        <v>1</v>
      </c>
      <c r="AH50">
        <v>1</v>
      </c>
      <c r="AI50">
        <v>1</v>
      </c>
      <c r="AJ50">
        <v>1</v>
      </c>
      <c r="AL50">
        <v>1</v>
      </c>
      <c r="AM50">
        <v>1</v>
      </c>
      <c r="AN50">
        <v>1</v>
      </c>
      <c r="AO50">
        <v>1</v>
      </c>
      <c r="AP50">
        <v>1</v>
      </c>
      <c r="AQ50">
        <v>1</v>
      </c>
      <c r="AR50">
        <v>1</v>
      </c>
      <c r="AS50">
        <v>1</v>
      </c>
      <c r="AT50">
        <v>1</v>
      </c>
      <c r="AU50">
        <v>1</v>
      </c>
      <c r="AV50">
        <v>1</v>
      </c>
      <c r="AX50">
        <v>1</v>
      </c>
      <c r="AY50">
        <v>1</v>
      </c>
      <c r="AZ50">
        <v>1</v>
      </c>
      <c r="BA50">
        <v>1</v>
      </c>
      <c r="BC50">
        <v>1</v>
      </c>
      <c r="BD50">
        <v>1</v>
      </c>
      <c r="BE50">
        <v>1</v>
      </c>
      <c r="BF50">
        <v>1</v>
      </c>
      <c r="BG50">
        <v>1</v>
      </c>
      <c r="BH50">
        <v>1</v>
      </c>
      <c r="BI50">
        <v>1</v>
      </c>
      <c r="BJ50">
        <v>1</v>
      </c>
      <c r="BK50">
        <v>1</v>
      </c>
      <c r="BL50">
        <v>1</v>
      </c>
      <c r="BM50">
        <v>1</v>
      </c>
      <c r="CM50" t="str">
        <f t="shared" si="5"/>
        <v>0xFFEF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6"/>
        <v>0xBFDF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0xFDEF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0xFE00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N51">
        <v>1</v>
      </c>
      <c r="O51">
        <v>1</v>
      </c>
      <c r="P51">
        <v>1</v>
      </c>
      <c r="R51">
        <v>1</v>
      </c>
      <c r="S51">
        <v>1</v>
      </c>
      <c r="T51">
        <v>1</v>
      </c>
      <c r="U51">
        <v>1</v>
      </c>
      <c r="AC51">
        <v>1</v>
      </c>
      <c r="AD51">
        <v>1</v>
      </c>
      <c r="AE51">
        <v>1</v>
      </c>
      <c r="AF51">
        <v>1</v>
      </c>
      <c r="AH51">
        <v>1</v>
      </c>
      <c r="AI51">
        <v>1</v>
      </c>
      <c r="AJ51">
        <v>1</v>
      </c>
      <c r="AL51">
        <v>1</v>
      </c>
      <c r="AM51">
        <v>1</v>
      </c>
      <c r="AN51">
        <v>1</v>
      </c>
      <c r="AO51">
        <v>1</v>
      </c>
      <c r="AP51">
        <v>1</v>
      </c>
      <c r="AQ51">
        <v>1</v>
      </c>
      <c r="AR51">
        <v>1</v>
      </c>
      <c r="AS51">
        <v>1</v>
      </c>
      <c r="AT51">
        <v>1</v>
      </c>
      <c r="AU51">
        <v>1</v>
      </c>
      <c r="AV51">
        <v>1</v>
      </c>
      <c r="AX51">
        <v>1</v>
      </c>
      <c r="AY51">
        <v>1</v>
      </c>
      <c r="AZ51">
        <v>1</v>
      </c>
      <c r="BA51">
        <v>1</v>
      </c>
      <c r="BC51">
        <v>1</v>
      </c>
      <c r="BD51">
        <v>1</v>
      </c>
      <c r="BE51">
        <v>1</v>
      </c>
      <c r="BF51">
        <v>1</v>
      </c>
      <c r="BG51">
        <v>1</v>
      </c>
      <c r="BH51">
        <v>1</v>
      </c>
      <c r="BI51">
        <v>1</v>
      </c>
      <c r="BJ51">
        <v>1</v>
      </c>
      <c r="BK51">
        <v>1</v>
      </c>
      <c r="BL51">
        <v>1</v>
      </c>
      <c r="BM51">
        <v>1</v>
      </c>
      <c r="CM51" t="str">
        <f t="shared" si="5"/>
        <v>0xDDE0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6"/>
        <v>0x3DDF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0xFDEF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0xFE00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1</v>
      </c>
      <c r="W52">
        <v>1</v>
      </c>
      <c r="X52">
        <v>1</v>
      </c>
      <c r="Y52">
        <v>1</v>
      </c>
      <c r="Z52">
        <v>1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>
        <v>1</v>
      </c>
      <c r="AH52">
        <v>1</v>
      </c>
      <c r="AI52">
        <v>1</v>
      </c>
      <c r="AJ52">
        <v>1</v>
      </c>
      <c r="AL52">
        <v>1</v>
      </c>
      <c r="AM52">
        <v>1</v>
      </c>
      <c r="AN52">
        <v>1</v>
      </c>
      <c r="AO52">
        <v>1</v>
      </c>
      <c r="AP52">
        <v>1</v>
      </c>
      <c r="AR52">
        <v>1</v>
      </c>
      <c r="AS52">
        <v>1</v>
      </c>
      <c r="AT52">
        <v>1</v>
      </c>
      <c r="AU52">
        <v>1</v>
      </c>
      <c r="AV52">
        <v>1</v>
      </c>
      <c r="AX52">
        <v>1</v>
      </c>
      <c r="AY52">
        <v>1</v>
      </c>
      <c r="AZ52">
        <v>1</v>
      </c>
      <c r="BA52">
        <v>1</v>
      </c>
      <c r="BC52">
        <v>1</v>
      </c>
      <c r="BD52">
        <v>1</v>
      </c>
      <c r="BE52">
        <v>1</v>
      </c>
      <c r="BF52">
        <v>1</v>
      </c>
      <c r="BG52">
        <v>1</v>
      </c>
      <c r="BH52">
        <v>1</v>
      </c>
      <c r="BJ52">
        <v>1</v>
      </c>
      <c r="BK52">
        <v>1</v>
      </c>
      <c r="BL52">
        <v>1</v>
      </c>
      <c r="BM52">
        <v>1</v>
      </c>
      <c r="CM52" t="str">
        <f t="shared" si="5"/>
        <v>0xFFFF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6"/>
        <v>0xFFDF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0x7DEF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0xDE00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>
        <v>1</v>
      </c>
      <c r="L53">
        <v>1</v>
      </c>
      <c r="M53">
        <v>1</v>
      </c>
      <c r="N53">
        <v>1</v>
      </c>
      <c r="P53">
        <v>1</v>
      </c>
      <c r="Q53">
        <v>1</v>
      </c>
      <c r="R53">
        <v>1</v>
      </c>
      <c r="T53">
        <v>1</v>
      </c>
      <c r="U53">
        <v>1</v>
      </c>
      <c r="V53">
        <v>1</v>
      </c>
      <c r="X53">
        <v>1</v>
      </c>
      <c r="Y53">
        <v>1</v>
      </c>
      <c r="Z53">
        <v>1</v>
      </c>
      <c r="AB53">
        <v>1</v>
      </c>
      <c r="AC53">
        <v>1</v>
      </c>
      <c r="AD53">
        <v>1</v>
      </c>
      <c r="AF53">
        <v>1</v>
      </c>
      <c r="AG53">
        <v>1</v>
      </c>
      <c r="AH53">
        <v>1</v>
      </c>
      <c r="AJ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X53">
        <v>1</v>
      </c>
      <c r="AY53">
        <v>1</v>
      </c>
      <c r="AZ53">
        <v>1</v>
      </c>
      <c r="BA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CM53" t="str">
        <f t="shared" si="5"/>
        <v>0xF777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6"/>
        <v>0x775F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0xFDEF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0xFE00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>
        <v>1</v>
      </c>
      <c r="L54">
        <v>1</v>
      </c>
      <c r="M54">
        <v>1</v>
      </c>
      <c r="N54">
        <v>1</v>
      </c>
      <c r="O54">
        <v>1</v>
      </c>
      <c r="P54">
        <v>1</v>
      </c>
      <c r="Q54">
        <v>1</v>
      </c>
      <c r="R54">
        <v>1</v>
      </c>
      <c r="S54">
        <v>1</v>
      </c>
      <c r="T54">
        <v>1</v>
      </c>
      <c r="U54">
        <v>1</v>
      </c>
      <c r="V54">
        <v>1</v>
      </c>
      <c r="W54">
        <v>1</v>
      </c>
      <c r="X54">
        <v>1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>
        <v>1</v>
      </c>
      <c r="AH54">
        <v>1</v>
      </c>
      <c r="AI54">
        <v>1</v>
      </c>
      <c r="AJ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X54">
        <v>1</v>
      </c>
      <c r="AY54">
        <v>1</v>
      </c>
      <c r="AZ54">
        <v>1</v>
      </c>
      <c r="BA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CM54" t="str">
        <f t="shared" si="5"/>
        <v>0xFFFF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6"/>
        <v>0xFFDF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0xFDEF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0xFE00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>
        <v>1</v>
      </c>
      <c r="L55">
        <v>1</v>
      </c>
      <c r="N55">
        <v>1</v>
      </c>
      <c r="O55">
        <v>1</v>
      </c>
      <c r="P55">
        <v>1</v>
      </c>
      <c r="R55">
        <v>1</v>
      </c>
      <c r="S55">
        <v>1</v>
      </c>
      <c r="T55">
        <v>1</v>
      </c>
      <c r="V55">
        <v>1</v>
      </c>
      <c r="W55">
        <v>1</v>
      </c>
      <c r="X55">
        <v>1</v>
      </c>
      <c r="Z55">
        <v>1</v>
      </c>
      <c r="AA55">
        <v>1</v>
      </c>
      <c r="AB55">
        <v>1</v>
      </c>
      <c r="AD55">
        <v>1</v>
      </c>
      <c r="AE55">
        <v>1</v>
      </c>
      <c r="AF55">
        <v>1</v>
      </c>
      <c r="AH55">
        <v>1</v>
      </c>
      <c r="AI55">
        <v>1</v>
      </c>
      <c r="AJ55">
        <v>1</v>
      </c>
      <c r="AL55">
        <v>1</v>
      </c>
      <c r="AM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U55">
        <v>1</v>
      </c>
      <c r="AV55">
        <v>1</v>
      </c>
      <c r="AX55">
        <v>1</v>
      </c>
      <c r="AY55">
        <v>1</v>
      </c>
      <c r="AZ55">
        <v>1</v>
      </c>
      <c r="BA55">
        <v>1</v>
      </c>
      <c r="BC55">
        <v>1</v>
      </c>
      <c r="BD55">
        <v>1</v>
      </c>
      <c r="BE55">
        <v>1</v>
      </c>
      <c r="BG55">
        <v>1</v>
      </c>
      <c r="BH55">
        <v>1</v>
      </c>
      <c r="BI55">
        <v>1</v>
      </c>
      <c r="BJ55">
        <v>1</v>
      </c>
      <c r="BK55">
        <v>1</v>
      </c>
      <c r="BM55">
        <v>1</v>
      </c>
      <c r="CM55" t="str">
        <f t="shared" si="5"/>
        <v>0xDDDD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6"/>
        <v>0xDDDB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0xEDEE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0xFA00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>
        <v>1</v>
      </c>
      <c r="L56">
        <v>1</v>
      </c>
      <c r="M56">
        <v>1</v>
      </c>
      <c r="N56">
        <v>1</v>
      </c>
      <c r="O56">
        <v>1</v>
      </c>
      <c r="P56">
        <v>1</v>
      </c>
      <c r="Q56">
        <v>1</v>
      </c>
      <c r="R56">
        <v>1</v>
      </c>
      <c r="S56">
        <v>1</v>
      </c>
      <c r="T56">
        <v>1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>
        <v>1</v>
      </c>
      <c r="AH56">
        <v>1</v>
      </c>
      <c r="AI56">
        <v>1</v>
      </c>
      <c r="AJ56">
        <v>1</v>
      </c>
      <c r="AL56">
        <v>1</v>
      </c>
      <c r="AM56">
        <v>1</v>
      </c>
      <c r="AN56">
        <v>1</v>
      </c>
      <c r="AO56">
        <v>1</v>
      </c>
      <c r="AP56">
        <v>1</v>
      </c>
      <c r="AQ56">
        <v>1</v>
      </c>
      <c r="AR56">
        <v>1</v>
      </c>
      <c r="AS56">
        <v>1</v>
      </c>
      <c r="AT56">
        <v>1</v>
      </c>
      <c r="AU56">
        <v>1</v>
      </c>
      <c r="AV56">
        <v>1</v>
      </c>
      <c r="AX56">
        <v>1</v>
      </c>
      <c r="AY56">
        <v>1</v>
      </c>
      <c r="AZ56">
        <v>1</v>
      </c>
      <c r="BA56">
        <v>1</v>
      </c>
      <c r="BC56">
        <v>1</v>
      </c>
      <c r="BD56">
        <v>1</v>
      </c>
      <c r="BE56">
        <v>1</v>
      </c>
      <c r="BF56">
        <v>1</v>
      </c>
      <c r="BG56">
        <v>1</v>
      </c>
      <c r="BH56">
        <v>1</v>
      </c>
      <c r="BI56">
        <v>1</v>
      </c>
      <c r="BJ56">
        <v>1</v>
      </c>
      <c r="BK56">
        <v>1</v>
      </c>
      <c r="BL56">
        <v>1</v>
      </c>
      <c r="BM56">
        <v>1</v>
      </c>
      <c r="CM56" t="str">
        <f t="shared" si="5"/>
        <v>0xFFFF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6"/>
        <v>0xFFDF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0xFDEF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0xFE00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>
        <v>1</v>
      </c>
      <c r="L57">
        <v>1</v>
      </c>
      <c r="M57">
        <v>1</v>
      </c>
      <c r="N57">
        <v>1</v>
      </c>
      <c r="P57">
        <v>1</v>
      </c>
      <c r="Q57">
        <v>1</v>
      </c>
      <c r="R57">
        <v>1</v>
      </c>
      <c r="T57">
        <v>1</v>
      </c>
      <c r="U57">
        <v>1</v>
      </c>
      <c r="V57">
        <v>1</v>
      </c>
      <c r="X57">
        <v>1</v>
      </c>
      <c r="Y57">
        <v>1</v>
      </c>
      <c r="Z57">
        <v>1</v>
      </c>
      <c r="AB57">
        <v>1</v>
      </c>
      <c r="AC57">
        <v>1</v>
      </c>
      <c r="AD57">
        <v>1</v>
      </c>
      <c r="AF57">
        <v>1</v>
      </c>
      <c r="AG57">
        <v>1</v>
      </c>
      <c r="AH57">
        <v>1</v>
      </c>
      <c r="AJ57">
        <v>1</v>
      </c>
      <c r="AL57">
        <v>1</v>
      </c>
      <c r="AM57">
        <v>1</v>
      </c>
      <c r="AN57">
        <v>1</v>
      </c>
      <c r="AO57">
        <v>1</v>
      </c>
      <c r="AP57">
        <v>1</v>
      </c>
      <c r="AQ57">
        <v>1</v>
      </c>
      <c r="AR57">
        <v>1</v>
      </c>
      <c r="AS57">
        <v>1</v>
      </c>
      <c r="AT57">
        <v>1</v>
      </c>
      <c r="AU57">
        <v>1</v>
      </c>
      <c r="AV57">
        <v>1</v>
      </c>
      <c r="AX57">
        <v>1</v>
      </c>
      <c r="AY57">
        <v>1</v>
      </c>
      <c r="AZ57">
        <v>1</v>
      </c>
      <c r="BA57">
        <v>1</v>
      </c>
      <c r="BC57">
        <v>1</v>
      </c>
      <c r="BD57">
        <v>1</v>
      </c>
      <c r="BE57">
        <v>1</v>
      </c>
      <c r="BF57">
        <v>1</v>
      </c>
      <c r="BG57">
        <v>1</v>
      </c>
      <c r="BH57">
        <v>1</v>
      </c>
      <c r="BI57">
        <v>1</v>
      </c>
      <c r="BJ57">
        <v>1</v>
      </c>
      <c r="BK57">
        <v>1</v>
      </c>
      <c r="BL57">
        <v>1</v>
      </c>
      <c r="BM57">
        <v>1</v>
      </c>
      <c r="CM57" t="str">
        <f t="shared" si="5"/>
        <v>0xF777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6"/>
        <v>0x775F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0xFDEF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0xFE00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>
        <v>1</v>
      </c>
      <c r="L58">
        <v>1</v>
      </c>
      <c r="M58">
        <v>1</v>
      </c>
      <c r="N58">
        <v>1</v>
      </c>
      <c r="O58">
        <v>1</v>
      </c>
      <c r="P58">
        <v>1</v>
      </c>
      <c r="Q58">
        <v>1</v>
      </c>
      <c r="R58">
        <v>1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>
        <v>1</v>
      </c>
      <c r="AH58">
        <v>1</v>
      </c>
      <c r="AI58">
        <v>1</v>
      </c>
      <c r="AJ58">
        <v>1</v>
      </c>
      <c r="AL58">
        <v>1</v>
      </c>
      <c r="AM58">
        <v>1</v>
      </c>
      <c r="AN58">
        <v>1</v>
      </c>
      <c r="AO58">
        <v>1</v>
      </c>
      <c r="AP58">
        <v>1</v>
      </c>
      <c r="AR58">
        <v>1</v>
      </c>
      <c r="AS58">
        <v>1</v>
      </c>
      <c r="AT58">
        <v>1</v>
      </c>
      <c r="AU58">
        <v>1</v>
      </c>
      <c r="AV58">
        <v>1</v>
      </c>
      <c r="AX58">
        <v>1</v>
      </c>
      <c r="AY58">
        <v>1</v>
      </c>
      <c r="AZ58">
        <v>1</v>
      </c>
      <c r="BA58">
        <v>1</v>
      </c>
      <c r="BC58">
        <v>1</v>
      </c>
      <c r="BD58">
        <v>1</v>
      </c>
      <c r="BE58">
        <v>1</v>
      </c>
      <c r="BF58">
        <v>1</v>
      </c>
      <c r="BG58">
        <v>1</v>
      </c>
      <c r="BH58">
        <v>1</v>
      </c>
      <c r="BJ58">
        <v>1</v>
      </c>
      <c r="BK58">
        <v>1</v>
      </c>
      <c r="BL58">
        <v>1</v>
      </c>
      <c r="BM58">
        <v>1</v>
      </c>
      <c r="CM58" t="str">
        <f t="shared" si="5"/>
        <v>0xFFFF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6"/>
        <v>0xFFDF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0x7DEF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0xDE00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AL59">
        <v>1</v>
      </c>
      <c r="AM59">
        <v>1</v>
      </c>
      <c r="AN59">
        <v>1</v>
      </c>
      <c r="AO59">
        <v>1</v>
      </c>
      <c r="AP59">
        <v>1</v>
      </c>
      <c r="AQ59">
        <v>1</v>
      </c>
      <c r="AR59">
        <v>1</v>
      </c>
      <c r="AS59">
        <v>1</v>
      </c>
      <c r="AT59">
        <v>1</v>
      </c>
      <c r="AU59">
        <v>1</v>
      </c>
      <c r="AV59">
        <v>1</v>
      </c>
      <c r="AX59">
        <v>1</v>
      </c>
      <c r="AY59">
        <v>1</v>
      </c>
      <c r="AZ59">
        <v>1</v>
      </c>
      <c r="BA59">
        <v>1</v>
      </c>
      <c r="BC59">
        <v>1</v>
      </c>
      <c r="BD59">
        <v>1</v>
      </c>
      <c r="BE59">
        <v>1</v>
      </c>
      <c r="BF59">
        <v>1</v>
      </c>
      <c r="BG59">
        <v>1</v>
      </c>
      <c r="BH59">
        <v>1</v>
      </c>
      <c r="BI59">
        <v>1</v>
      </c>
      <c r="BJ59">
        <v>1</v>
      </c>
      <c r="BK59">
        <v>1</v>
      </c>
      <c r="BL59">
        <v>1</v>
      </c>
      <c r="BM59">
        <v>1</v>
      </c>
      <c r="CM59" t="str">
        <f t="shared" si="5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6"/>
        <v>0x001F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0xFDEF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0xFE00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AL60">
        <v>1</v>
      </c>
      <c r="AM60">
        <v>1</v>
      </c>
      <c r="AN60">
        <v>1</v>
      </c>
      <c r="AO60">
        <v>1</v>
      </c>
      <c r="AP60">
        <v>1</v>
      </c>
      <c r="AQ60">
        <v>1</v>
      </c>
      <c r="AR60">
        <v>1</v>
      </c>
      <c r="AS60">
        <v>1</v>
      </c>
      <c r="AT60">
        <v>1</v>
      </c>
      <c r="AU60">
        <v>1</v>
      </c>
      <c r="AV60">
        <v>1</v>
      </c>
      <c r="AX60">
        <v>1</v>
      </c>
      <c r="AY60">
        <v>1</v>
      </c>
      <c r="AZ60">
        <v>1</v>
      </c>
      <c r="BA60">
        <v>1</v>
      </c>
      <c r="BC60">
        <v>1</v>
      </c>
      <c r="BD60">
        <v>1</v>
      </c>
      <c r="BE60">
        <v>1</v>
      </c>
      <c r="BF60">
        <v>1</v>
      </c>
      <c r="BG60">
        <v>1</v>
      </c>
      <c r="BH60">
        <v>1</v>
      </c>
      <c r="BI60">
        <v>1</v>
      </c>
      <c r="BJ60">
        <v>1</v>
      </c>
      <c r="BK60">
        <v>1</v>
      </c>
      <c r="BL60">
        <v>1</v>
      </c>
      <c r="BM60">
        <v>1</v>
      </c>
      <c r="CM60" t="str">
        <f t="shared" si="5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6"/>
        <v>0x001F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0xFDEF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0xFE00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AL61">
        <v>1</v>
      </c>
      <c r="AM61">
        <v>1</v>
      </c>
      <c r="AO61">
        <v>1</v>
      </c>
      <c r="AP61">
        <v>1</v>
      </c>
      <c r="AQ61">
        <v>1</v>
      </c>
      <c r="AR61">
        <v>1</v>
      </c>
      <c r="AS61">
        <v>1</v>
      </c>
      <c r="AU61">
        <v>1</v>
      </c>
      <c r="AV61">
        <v>1</v>
      </c>
      <c r="BC61">
        <v>1</v>
      </c>
      <c r="BD61">
        <v>1</v>
      </c>
      <c r="BE61">
        <v>1</v>
      </c>
      <c r="BG61">
        <v>1</v>
      </c>
      <c r="BH61">
        <v>1</v>
      </c>
      <c r="BI61">
        <v>1</v>
      </c>
      <c r="BJ61">
        <v>1</v>
      </c>
      <c r="BK61">
        <v>1</v>
      </c>
      <c r="BM61">
        <v>1</v>
      </c>
      <c r="CM61" t="str">
        <f t="shared" si="5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6"/>
        <v>0x001B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0xEC0E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0xFA00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CM62" t="str">
        <f t="shared" si="5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6"/>
        <v>0x001F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0xFFFF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0xFE00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AL63">
        <v>1</v>
      </c>
      <c r="AM63">
        <v>1</v>
      </c>
      <c r="AN63">
        <v>1</v>
      </c>
      <c r="AO63">
        <v>1</v>
      </c>
      <c r="AP63">
        <v>1</v>
      </c>
      <c r="AQ63">
        <v>1</v>
      </c>
      <c r="AR63">
        <v>1</v>
      </c>
      <c r="AS63">
        <v>1</v>
      </c>
      <c r="AT63">
        <v>1</v>
      </c>
      <c r="AU63">
        <v>1</v>
      </c>
      <c r="AV63">
        <v>1</v>
      </c>
      <c r="AW63">
        <v>1</v>
      </c>
      <c r="AX63">
        <v>1</v>
      </c>
      <c r="AY63">
        <v>1</v>
      </c>
      <c r="AZ63">
        <v>1</v>
      </c>
      <c r="BA63">
        <v>1</v>
      </c>
      <c r="BB63">
        <v>1</v>
      </c>
      <c r="BC63">
        <v>1</v>
      </c>
      <c r="BD63">
        <v>1</v>
      </c>
      <c r="BE63">
        <v>1</v>
      </c>
      <c r="BF63">
        <v>1</v>
      </c>
      <c r="BG63">
        <v>1</v>
      </c>
      <c r="BH63">
        <v>1</v>
      </c>
      <c r="BI63">
        <v>1</v>
      </c>
      <c r="BJ63">
        <v>1</v>
      </c>
      <c r="BK63">
        <v>1</v>
      </c>
      <c r="BL63">
        <v>1</v>
      </c>
      <c r="BM63">
        <v>1</v>
      </c>
      <c r="CM63" t="str">
        <f t="shared" si="5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6"/>
        <v>0x001F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7"/>
        <v>0xFFFF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8"/>
        <v>0xFE00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AL64">
        <v>1</v>
      </c>
      <c r="AM64">
        <v>1</v>
      </c>
      <c r="AN64">
        <v>1</v>
      </c>
      <c r="AO64">
        <v>1</v>
      </c>
      <c r="AP64">
        <v>1</v>
      </c>
      <c r="AR64">
        <v>1</v>
      </c>
      <c r="AS64">
        <v>1</v>
      </c>
      <c r="AT64">
        <v>1</v>
      </c>
      <c r="AU64">
        <v>1</v>
      </c>
      <c r="AV64">
        <v>1</v>
      </c>
      <c r="AX64">
        <v>1</v>
      </c>
      <c r="AY64">
        <v>1</v>
      </c>
      <c r="AZ64">
        <v>1</v>
      </c>
      <c r="BA64">
        <v>1</v>
      </c>
      <c r="BB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J64">
        <v>1</v>
      </c>
      <c r="BK64">
        <v>1</v>
      </c>
      <c r="BL64">
        <v>1</v>
      </c>
      <c r="BM64">
        <v>1</v>
      </c>
      <c r="CM64" t="str">
        <f t="shared" si="5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6"/>
        <v>0x001F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7"/>
        <v>0x7DF7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8"/>
        <v>0xDE00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AL65">
        <v>1</v>
      </c>
      <c r="AM65">
        <v>1</v>
      </c>
      <c r="AN65">
        <v>1</v>
      </c>
      <c r="AO65">
        <v>1</v>
      </c>
      <c r="AP65">
        <v>1</v>
      </c>
      <c r="AQ65">
        <v>1</v>
      </c>
      <c r="AR65">
        <v>1</v>
      </c>
      <c r="AS65">
        <v>1</v>
      </c>
      <c r="AT65">
        <v>1</v>
      </c>
      <c r="AU65">
        <v>1</v>
      </c>
      <c r="AV65">
        <v>1</v>
      </c>
      <c r="AW65">
        <v>1</v>
      </c>
      <c r="AX65">
        <v>1</v>
      </c>
      <c r="AY65">
        <v>1</v>
      </c>
      <c r="AZ65">
        <v>1</v>
      </c>
      <c r="BA65">
        <v>1</v>
      </c>
      <c r="BB65">
        <v>1</v>
      </c>
      <c r="BC65">
        <v>1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1</v>
      </c>
      <c r="BM65">
        <v>1</v>
      </c>
      <c r="CM65" t="str">
        <f t="shared" si="5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6"/>
        <v>0x001F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7"/>
        <v>0xFFFF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8"/>
        <v>0xFE00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AL66">
        <v>1</v>
      </c>
      <c r="AM66">
        <v>1</v>
      </c>
      <c r="AN66">
        <v>1</v>
      </c>
      <c r="AO66">
        <v>1</v>
      </c>
      <c r="AP66">
        <v>1</v>
      </c>
      <c r="AQ66">
        <v>1</v>
      </c>
      <c r="AR66">
        <v>1</v>
      </c>
      <c r="AS66">
        <v>1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CM66" t="str">
        <f t="shared" si="5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6"/>
        <v>0x001F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7"/>
        <v>0xFFFF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8"/>
        <v>0xFE00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N63:BV66 K3:BV28 BE59:BV62 BC59:BD66 K65:BB66 AW59:BB64 K47:AM64 AW41:BV58 K29:AP46 AV29:BV40">
    <cfRule type="expression" dxfId="590" priority="19">
      <formula>K3=""</formula>
    </cfRule>
    <cfRule type="expression" dxfId="589" priority="20">
      <formula>K3&lt;&gt;""</formula>
    </cfRule>
  </conditionalFormatting>
  <conditionalFormatting sqref="BE63:BM68">
    <cfRule type="expression" dxfId="588" priority="17">
      <formula>BE63=""</formula>
    </cfRule>
    <cfRule type="expression" dxfId="587" priority="18">
      <formula>BE63&lt;&gt;""</formula>
    </cfRule>
  </conditionalFormatting>
  <conditionalFormatting sqref="AN59:AV64 AN56:AN58">
    <cfRule type="expression" dxfId="586" priority="15">
      <formula>AN56=""</formula>
    </cfRule>
    <cfRule type="expression" dxfId="585" priority="16">
      <formula>AN56&lt;&gt;""</formula>
    </cfRule>
  </conditionalFormatting>
  <conditionalFormatting sqref="AN53:AV58 AQ59:AT61 AN50:AN52">
    <cfRule type="expression" dxfId="584" priority="13">
      <formula>AN50=""</formula>
    </cfRule>
    <cfRule type="expression" dxfId="583" priority="14">
      <formula>AN50&lt;&gt;""</formula>
    </cfRule>
  </conditionalFormatting>
  <conditionalFormatting sqref="AQ47:AT55 AN47:AP52 AU47:AV52">
    <cfRule type="expression" dxfId="582" priority="11">
      <formula>AN47=""</formula>
    </cfRule>
    <cfRule type="expression" dxfId="581" priority="12">
      <formula>AN47&lt;&gt;""</formula>
    </cfRule>
  </conditionalFormatting>
  <conditionalFormatting sqref="AQ41:AV46 AQ47:AT49">
    <cfRule type="expression" dxfId="580" priority="9">
      <formula>AQ41=""</formula>
    </cfRule>
    <cfRule type="expression" dxfId="579" priority="10">
      <formula>AQ41&lt;&gt;""</formula>
    </cfRule>
  </conditionalFormatting>
  <conditionalFormatting sqref="AQ35:AU40 AQ41:AT43">
    <cfRule type="expression" dxfId="578" priority="7">
      <formula>AQ35=""</formula>
    </cfRule>
    <cfRule type="expression" dxfId="577" priority="8">
      <formula>AQ35&lt;&gt;""</formula>
    </cfRule>
  </conditionalFormatting>
  <conditionalFormatting sqref="AQ29:AU34 AQ35:AT37">
    <cfRule type="expression" dxfId="576" priority="5">
      <formula>AQ29=""</formula>
    </cfRule>
    <cfRule type="expression" dxfId="575" priority="6">
      <formula>AQ29&lt;&gt;""</formula>
    </cfRule>
  </conditionalFormatting>
  <conditionalFormatting sqref="CD63:CL66 BW3:CL62">
    <cfRule type="expression" dxfId="574" priority="3">
      <formula>BW3=""</formula>
    </cfRule>
    <cfRule type="expression" dxfId="573" priority="4">
      <formula>BW3&lt;&gt;""</formula>
    </cfRule>
  </conditionalFormatting>
  <conditionalFormatting sqref="BW63:CC68">
    <cfRule type="expression" dxfId="572" priority="1">
      <formula>BW63=""</formula>
    </cfRule>
    <cfRule type="expression" dxfId="571" priority="2">
      <formula>BW63&lt;&gt;""</formula>
    </cfRule>
  </conditionalFormatting>
  <pageMargins left="0.7" right="0.7" top="0.75" bottom="0.75" header="0.3" footer="0.3"/>
  <pageSetup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000EA-7B8D-481F-9A96-7AFA271D075A}">
  <sheetPr codeName="Sheet11"/>
  <dimension ref="A1:P513"/>
  <sheetViews>
    <sheetView zoomScale="84" zoomScaleNormal="84" workbookViewId="0">
      <pane xSplit="2" ySplit="9" topLeftCell="C97" activePane="bottomRight" state="frozen"/>
      <selection pane="topRight" activeCell="B1" sqref="B1"/>
      <selection pane="bottomLeft" activeCell="A10" sqref="A10"/>
      <selection pane="bottomRight" activeCell="C106" sqref="C106:G112"/>
    </sheetView>
  </sheetViews>
  <sheetFormatPr defaultRowHeight="9.75" customHeight="1" x14ac:dyDescent="0.3"/>
  <cols>
    <col min="1" max="1" width="10.46875" bestFit="1" customWidth="1"/>
    <col min="2" max="2" width="16.46875" style="28" bestFit="1" customWidth="1"/>
    <col min="3" max="7" width="2.1171875" customWidth="1"/>
    <col min="10" max="10" width="41.76171875" style="24" customWidth="1"/>
    <col min="16" max="16" width="9" style="29"/>
  </cols>
  <sheetData>
    <row r="1" spans="1:16" ht="9.75" customHeight="1" x14ac:dyDescent="0.3">
      <c r="B1" s="28">
        <v>80</v>
      </c>
      <c r="C1">
        <v>128</v>
      </c>
      <c r="D1">
        <v>64</v>
      </c>
      <c r="E1">
        <v>32</v>
      </c>
      <c r="F1">
        <v>16</v>
      </c>
      <c r="G1">
        <v>8</v>
      </c>
      <c r="P1" s="25"/>
    </row>
    <row r="2" spans="1:16" ht="9.75" customHeight="1" x14ac:dyDescent="0.3">
      <c r="A2" s="42">
        <v>32</v>
      </c>
      <c r="B2" s="43" t="s">
        <v>215</v>
      </c>
      <c r="H2">
        <f t="shared" ref="H2:H8" si="0">C2*C$1+D2*D$1+E2*E$1+F2*F$1+G2*G$1</f>
        <v>0</v>
      </c>
      <c r="I2" t="str">
        <f t="shared" ref="I2:I128" si="1">DEC2HEX(H2,2)</f>
        <v>00</v>
      </c>
      <c r="J2" s="44" t="str">
        <f>CONCATENATE("0x",I2,",0x",I3,",0x",I4,",0x",I5,",0x",I6,",0x",I7,",0x",I8,", //",B2)</f>
        <v>0x00,0x00,0x00,0x00,0x00,0x00,0x00, //sp</v>
      </c>
      <c r="P2" s="25"/>
    </row>
    <row r="3" spans="1:16" ht="9.75" customHeight="1" x14ac:dyDescent="0.3">
      <c r="A3" s="42"/>
      <c r="B3" s="43"/>
      <c r="H3">
        <f t="shared" si="0"/>
        <v>0</v>
      </c>
      <c r="I3" t="str">
        <f t="shared" si="1"/>
        <v>00</v>
      </c>
      <c r="J3" s="44"/>
      <c r="P3" s="25"/>
    </row>
    <row r="4" spans="1:16" ht="9.75" customHeight="1" x14ac:dyDescent="0.3">
      <c r="A4" s="42"/>
      <c r="B4" s="43"/>
      <c r="H4">
        <f t="shared" si="0"/>
        <v>0</v>
      </c>
      <c r="I4" t="str">
        <f t="shared" si="1"/>
        <v>00</v>
      </c>
      <c r="J4" s="44"/>
      <c r="P4" s="25"/>
    </row>
    <row r="5" spans="1:16" ht="9.75" customHeight="1" x14ac:dyDescent="0.3">
      <c r="A5" s="42"/>
      <c r="B5" s="43"/>
      <c r="H5">
        <f t="shared" si="0"/>
        <v>0</v>
      </c>
      <c r="I5" t="str">
        <f t="shared" si="1"/>
        <v>00</v>
      </c>
      <c r="J5" s="44"/>
      <c r="P5" s="25"/>
    </row>
    <row r="6" spans="1:16" ht="9.75" customHeight="1" x14ac:dyDescent="0.3">
      <c r="A6" s="42"/>
      <c r="B6" s="43"/>
      <c r="H6">
        <f t="shared" si="0"/>
        <v>0</v>
      </c>
      <c r="I6" t="str">
        <f t="shared" si="1"/>
        <v>00</v>
      </c>
      <c r="J6" s="44"/>
      <c r="P6" s="25"/>
    </row>
    <row r="7" spans="1:16" ht="9.75" customHeight="1" x14ac:dyDescent="0.3">
      <c r="A7" s="42"/>
      <c r="B7" s="43"/>
      <c r="H7">
        <f t="shared" si="0"/>
        <v>0</v>
      </c>
      <c r="I7" t="str">
        <f t="shared" si="1"/>
        <v>00</v>
      </c>
      <c r="J7" s="44"/>
      <c r="P7" s="25"/>
    </row>
    <row r="8" spans="1:16" ht="9.75" customHeight="1" x14ac:dyDescent="0.3">
      <c r="A8" s="42"/>
      <c r="B8" s="43"/>
      <c r="H8">
        <f t="shared" si="0"/>
        <v>0</v>
      </c>
      <c r="I8" t="str">
        <f t="shared" si="1"/>
        <v>00</v>
      </c>
      <c r="J8" s="44"/>
      <c r="P8" s="25"/>
    </row>
    <row r="9" spans="1:16" ht="9.75" customHeight="1" x14ac:dyDescent="0.3">
      <c r="A9" s="42"/>
      <c r="B9" s="27"/>
      <c r="J9" s="25"/>
      <c r="P9" s="25"/>
    </row>
    <row r="10" spans="1:16" ht="9.75" customHeight="1" x14ac:dyDescent="0.3">
      <c r="A10" s="42">
        <v>33</v>
      </c>
      <c r="B10" s="43" t="s">
        <v>101</v>
      </c>
      <c r="E10">
        <v>1</v>
      </c>
      <c r="H10">
        <f t="shared" ref="H10:H16" si="2">C10*C$1+D10*D$1+E10*E$1+F10*F$1+G10*G$1</f>
        <v>32</v>
      </c>
      <c r="I10" t="str">
        <f t="shared" si="1"/>
        <v>20</v>
      </c>
      <c r="J10" s="44" t="str">
        <f>CONCATENATE("0x",I10,",0x",I11,",0x",I12,",0x",I13,",0x",I14,",0x",I15,",0x",I16,", //",B10)</f>
        <v>0x20,0x20,0x20,0x20,0x20,0x00,0x20, //!</v>
      </c>
      <c r="P10" s="25"/>
    </row>
    <row r="11" spans="1:16" ht="9.75" customHeight="1" x14ac:dyDescent="0.3">
      <c r="A11" s="42"/>
      <c r="B11" s="43"/>
      <c r="E11">
        <v>1</v>
      </c>
      <c r="H11">
        <f t="shared" si="2"/>
        <v>32</v>
      </c>
      <c r="I11" t="str">
        <f t="shared" si="1"/>
        <v>20</v>
      </c>
      <c r="J11" s="44"/>
      <c r="P11" s="25"/>
    </row>
    <row r="12" spans="1:16" ht="9.75" customHeight="1" x14ac:dyDescent="0.3">
      <c r="A12" s="42"/>
      <c r="B12" s="43"/>
      <c r="E12">
        <v>1</v>
      </c>
      <c r="H12">
        <f t="shared" si="2"/>
        <v>32</v>
      </c>
      <c r="I12" t="str">
        <f t="shared" si="1"/>
        <v>20</v>
      </c>
      <c r="J12" s="44"/>
      <c r="P12" s="25"/>
    </row>
    <row r="13" spans="1:16" ht="9.75" customHeight="1" x14ac:dyDescent="0.3">
      <c r="A13" s="42"/>
      <c r="B13" s="43"/>
      <c r="E13">
        <v>1</v>
      </c>
      <c r="H13">
        <f t="shared" si="2"/>
        <v>32</v>
      </c>
      <c r="I13" t="str">
        <f t="shared" si="1"/>
        <v>20</v>
      </c>
      <c r="J13" s="44"/>
      <c r="P13" s="25"/>
    </row>
    <row r="14" spans="1:16" ht="9.75" customHeight="1" x14ac:dyDescent="0.3">
      <c r="A14" s="42"/>
      <c r="B14" s="43"/>
      <c r="E14">
        <v>1</v>
      </c>
      <c r="H14">
        <f t="shared" si="2"/>
        <v>32</v>
      </c>
      <c r="I14" t="str">
        <f t="shared" si="1"/>
        <v>20</v>
      </c>
      <c r="J14" s="44"/>
      <c r="P14" s="25"/>
    </row>
    <row r="15" spans="1:16" ht="9.75" customHeight="1" x14ac:dyDescent="0.3">
      <c r="A15" s="42"/>
      <c r="B15" s="43"/>
      <c r="H15">
        <f t="shared" si="2"/>
        <v>0</v>
      </c>
      <c r="I15" t="str">
        <f t="shared" si="1"/>
        <v>00</v>
      </c>
      <c r="J15" s="44"/>
      <c r="P15" s="25"/>
    </row>
    <row r="16" spans="1:16" ht="9.75" customHeight="1" x14ac:dyDescent="0.3">
      <c r="A16" s="42"/>
      <c r="B16" s="43"/>
      <c r="E16">
        <v>1</v>
      </c>
      <c r="H16">
        <f t="shared" si="2"/>
        <v>32</v>
      </c>
      <c r="I16" t="str">
        <f t="shared" si="1"/>
        <v>20</v>
      </c>
      <c r="J16" s="44"/>
      <c r="P16" s="25"/>
    </row>
    <row r="17" spans="1:16" ht="9.75" customHeight="1" x14ac:dyDescent="0.3">
      <c r="A17" s="42"/>
      <c r="B17" s="27"/>
      <c r="J17" s="25"/>
      <c r="P17" s="25"/>
    </row>
    <row r="18" spans="1:16" ht="9.75" customHeight="1" x14ac:dyDescent="0.3">
      <c r="A18" s="42">
        <v>34</v>
      </c>
      <c r="B18" s="43" t="s">
        <v>102</v>
      </c>
      <c r="D18">
        <v>1</v>
      </c>
      <c r="F18">
        <v>1</v>
      </c>
      <c r="H18">
        <f t="shared" ref="H18:H24" si="3">C18*C$1+D18*D$1+E18*E$1+F18*F$1+G18*G$1</f>
        <v>80</v>
      </c>
      <c r="I18" t="str">
        <f t="shared" si="1"/>
        <v>50</v>
      </c>
      <c r="J18" s="44" t="str">
        <f>CONCATENATE("0x",I18,",0x",I19,",0x",I20,",0x",I21,",0x",I22,",0x",I23,",0x",I24,", //",B18)</f>
        <v>0x50,0x50,0x50,0x00,0x00,0x00,0x00, //"</v>
      </c>
      <c r="P18" s="25"/>
    </row>
    <row r="19" spans="1:16" ht="9.75" customHeight="1" x14ac:dyDescent="0.3">
      <c r="A19" s="42"/>
      <c r="B19" s="43"/>
      <c r="D19">
        <v>1</v>
      </c>
      <c r="F19">
        <v>1</v>
      </c>
      <c r="H19">
        <f t="shared" si="3"/>
        <v>80</v>
      </c>
      <c r="I19" t="str">
        <f t="shared" si="1"/>
        <v>50</v>
      </c>
      <c r="J19" s="44"/>
      <c r="P19" s="25"/>
    </row>
    <row r="20" spans="1:16" ht="9.75" customHeight="1" x14ac:dyDescent="0.3">
      <c r="A20" s="42"/>
      <c r="B20" s="43"/>
      <c r="D20">
        <v>1</v>
      </c>
      <c r="F20">
        <v>1</v>
      </c>
      <c r="H20">
        <f t="shared" si="3"/>
        <v>80</v>
      </c>
      <c r="I20" t="str">
        <f t="shared" si="1"/>
        <v>50</v>
      </c>
      <c r="J20" s="44"/>
      <c r="P20" s="25"/>
    </row>
    <row r="21" spans="1:16" ht="9.75" customHeight="1" x14ac:dyDescent="0.3">
      <c r="A21" s="42"/>
      <c r="B21" s="43"/>
      <c r="H21">
        <f t="shared" si="3"/>
        <v>0</v>
      </c>
      <c r="I21" t="str">
        <f t="shared" si="1"/>
        <v>00</v>
      </c>
      <c r="J21" s="44"/>
      <c r="P21" s="25"/>
    </row>
    <row r="22" spans="1:16" ht="9.75" customHeight="1" x14ac:dyDescent="0.3">
      <c r="A22" s="42"/>
      <c r="B22" s="43"/>
      <c r="H22">
        <f t="shared" si="3"/>
        <v>0</v>
      </c>
      <c r="I22" t="str">
        <f t="shared" si="1"/>
        <v>00</v>
      </c>
      <c r="J22" s="44"/>
      <c r="P22" s="25"/>
    </row>
    <row r="23" spans="1:16" ht="9.75" customHeight="1" x14ac:dyDescent="0.3">
      <c r="A23" s="42"/>
      <c r="B23" s="43"/>
      <c r="H23">
        <f t="shared" si="3"/>
        <v>0</v>
      </c>
      <c r="I23" t="str">
        <f t="shared" si="1"/>
        <v>00</v>
      </c>
      <c r="J23" s="44"/>
      <c r="P23" s="25"/>
    </row>
    <row r="24" spans="1:16" ht="9.75" customHeight="1" x14ac:dyDescent="0.3">
      <c r="A24" s="42"/>
      <c r="B24" s="43"/>
      <c r="H24">
        <f t="shared" si="3"/>
        <v>0</v>
      </c>
      <c r="I24" t="str">
        <f t="shared" si="1"/>
        <v>00</v>
      </c>
      <c r="J24" s="44"/>
      <c r="P24" s="25"/>
    </row>
    <row r="25" spans="1:16" ht="9.75" customHeight="1" x14ac:dyDescent="0.3">
      <c r="A25" s="42"/>
      <c r="B25" s="27"/>
      <c r="J25" s="25"/>
      <c r="P25" s="25"/>
    </row>
    <row r="26" spans="1:16" ht="9.75" customHeight="1" x14ac:dyDescent="0.3">
      <c r="A26" s="42">
        <v>35</v>
      </c>
      <c r="B26" s="43" t="s">
        <v>103</v>
      </c>
      <c r="F26">
        <v>1</v>
      </c>
      <c r="H26">
        <f t="shared" ref="H26:H32" si="4">C26*C$1+D26*D$1+E26*E$1+F26*F$1+G26*G$1</f>
        <v>16</v>
      </c>
      <c r="I26" t="str">
        <f t="shared" si="1"/>
        <v>10</v>
      </c>
      <c r="J26" s="44" t="str">
        <f>CONCATENATE("0x",I26,",0x",I27,",0x",I28,",0x",I29,",0x",I30,",0x",I31,",0x",I32,", //",B26)</f>
        <v>0x10,0x30,0x70,0xF0,0x70,0x30,0x10, //#</v>
      </c>
      <c r="P26" s="25"/>
    </row>
    <row r="27" spans="1:16" ht="9.75" customHeight="1" x14ac:dyDescent="0.3">
      <c r="A27" s="42"/>
      <c r="B27" s="43"/>
      <c r="E27">
        <v>1</v>
      </c>
      <c r="F27">
        <v>1</v>
      </c>
      <c r="H27">
        <f t="shared" si="4"/>
        <v>48</v>
      </c>
      <c r="I27" t="str">
        <f t="shared" si="1"/>
        <v>30</v>
      </c>
      <c r="J27" s="44"/>
      <c r="P27" s="25"/>
    </row>
    <row r="28" spans="1:16" ht="9.75" customHeight="1" x14ac:dyDescent="0.3">
      <c r="A28" s="42"/>
      <c r="B28" s="43"/>
      <c r="D28">
        <v>1</v>
      </c>
      <c r="E28">
        <v>1</v>
      </c>
      <c r="F28">
        <v>1</v>
      </c>
      <c r="H28">
        <f t="shared" si="4"/>
        <v>112</v>
      </c>
      <c r="I28" t="str">
        <f t="shared" si="1"/>
        <v>70</v>
      </c>
      <c r="J28" s="44"/>
      <c r="P28" s="25"/>
    </row>
    <row r="29" spans="1:16" ht="9.75" customHeight="1" x14ac:dyDescent="0.3">
      <c r="A29" s="42"/>
      <c r="B29" s="43"/>
      <c r="C29">
        <v>1</v>
      </c>
      <c r="D29">
        <v>1</v>
      </c>
      <c r="E29">
        <v>1</v>
      </c>
      <c r="F29">
        <v>1</v>
      </c>
      <c r="H29">
        <f t="shared" si="4"/>
        <v>240</v>
      </c>
      <c r="I29" t="str">
        <f t="shared" si="1"/>
        <v>F0</v>
      </c>
      <c r="J29" s="44"/>
      <c r="P29" s="25"/>
    </row>
    <row r="30" spans="1:16" ht="9.75" customHeight="1" x14ac:dyDescent="0.3">
      <c r="A30" s="42"/>
      <c r="B30" s="43"/>
      <c r="D30">
        <v>1</v>
      </c>
      <c r="E30">
        <v>1</v>
      </c>
      <c r="F30">
        <v>1</v>
      </c>
      <c r="H30">
        <f t="shared" si="4"/>
        <v>112</v>
      </c>
      <c r="I30" t="str">
        <f t="shared" si="1"/>
        <v>70</v>
      </c>
      <c r="J30" s="44"/>
      <c r="P30" s="25"/>
    </row>
    <row r="31" spans="1:16" ht="9.75" customHeight="1" x14ac:dyDescent="0.3">
      <c r="A31" s="42"/>
      <c r="B31" s="43"/>
      <c r="E31">
        <v>1</v>
      </c>
      <c r="F31">
        <v>1</v>
      </c>
      <c r="H31">
        <f t="shared" si="4"/>
        <v>48</v>
      </c>
      <c r="I31" t="str">
        <f t="shared" si="1"/>
        <v>30</v>
      </c>
      <c r="J31" s="44"/>
      <c r="P31" s="25"/>
    </row>
    <row r="32" spans="1:16" ht="9.75" customHeight="1" x14ac:dyDescent="0.3">
      <c r="A32" s="42"/>
      <c r="B32" s="43"/>
      <c r="F32">
        <v>1</v>
      </c>
      <c r="H32">
        <f t="shared" si="4"/>
        <v>16</v>
      </c>
      <c r="I32" t="str">
        <f t="shared" si="1"/>
        <v>10</v>
      </c>
      <c r="J32" s="44"/>
      <c r="P32" s="25"/>
    </row>
    <row r="33" spans="1:16" ht="9.75" customHeight="1" x14ac:dyDescent="0.3">
      <c r="A33" s="42"/>
      <c r="B33" s="27"/>
      <c r="J33" s="25"/>
      <c r="P33" s="25"/>
    </row>
    <row r="34" spans="1:16" ht="9.75" customHeight="1" x14ac:dyDescent="0.3">
      <c r="A34" s="42">
        <v>36</v>
      </c>
      <c r="B34" s="43" t="s">
        <v>104</v>
      </c>
      <c r="H34">
        <f t="shared" ref="H34:H40" si="5">C34*C$1+D34*D$1+E34*E$1+F34*F$1+G34*G$1</f>
        <v>0</v>
      </c>
      <c r="I34" t="str">
        <f t="shared" si="1"/>
        <v>00</v>
      </c>
      <c r="J34" s="44" t="str">
        <f>CONCATENATE("0x",I34,",0x",I35,",0x",I36,",0x",I37,",0x",I38,",0x",I39,",0x",I40,", //",B34)</f>
        <v>0x00,0x20,0x20,0x70,0x70,0xF8,0xF8, //$</v>
      </c>
      <c r="P34" s="25"/>
    </row>
    <row r="35" spans="1:16" ht="9.75" customHeight="1" x14ac:dyDescent="0.3">
      <c r="A35" s="42"/>
      <c r="B35" s="43"/>
      <c r="E35">
        <v>1</v>
      </c>
      <c r="H35">
        <f t="shared" si="5"/>
        <v>32</v>
      </c>
      <c r="I35" t="str">
        <f t="shared" si="1"/>
        <v>20</v>
      </c>
      <c r="J35" s="44"/>
      <c r="P35" s="25"/>
    </row>
    <row r="36" spans="1:16" ht="9.75" customHeight="1" x14ac:dyDescent="0.3">
      <c r="A36" s="42"/>
      <c r="B36" s="43"/>
      <c r="E36">
        <v>1</v>
      </c>
      <c r="H36">
        <f t="shared" si="5"/>
        <v>32</v>
      </c>
      <c r="I36" t="str">
        <f t="shared" si="1"/>
        <v>20</v>
      </c>
      <c r="J36" s="44"/>
      <c r="P36" s="25"/>
    </row>
    <row r="37" spans="1:16" ht="9.75" customHeight="1" x14ac:dyDescent="0.3">
      <c r="A37" s="42"/>
      <c r="B37" s="43"/>
      <c r="D37">
        <v>1</v>
      </c>
      <c r="E37">
        <v>1</v>
      </c>
      <c r="F37">
        <v>1</v>
      </c>
      <c r="H37">
        <f t="shared" si="5"/>
        <v>112</v>
      </c>
      <c r="I37" t="str">
        <f t="shared" si="1"/>
        <v>70</v>
      </c>
      <c r="J37" s="44"/>
      <c r="P37" s="25"/>
    </row>
    <row r="38" spans="1:16" ht="9.75" customHeight="1" x14ac:dyDescent="0.3">
      <c r="A38" s="42"/>
      <c r="B38" s="43"/>
      <c r="D38">
        <v>1</v>
      </c>
      <c r="E38">
        <v>1</v>
      </c>
      <c r="F38">
        <v>1</v>
      </c>
      <c r="H38">
        <f t="shared" si="5"/>
        <v>112</v>
      </c>
      <c r="I38" t="str">
        <f t="shared" si="1"/>
        <v>70</v>
      </c>
      <c r="J38" s="44"/>
      <c r="P38" s="25"/>
    </row>
    <row r="39" spans="1:16" ht="9.75" customHeight="1" x14ac:dyDescent="0.3">
      <c r="A39" s="42"/>
      <c r="B39" s="43"/>
      <c r="C39">
        <v>1</v>
      </c>
      <c r="D39">
        <v>1</v>
      </c>
      <c r="E39">
        <v>1</v>
      </c>
      <c r="F39">
        <v>1</v>
      </c>
      <c r="G39">
        <v>1</v>
      </c>
      <c r="H39">
        <f t="shared" si="5"/>
        <v>248</v>
      </c>
      <c r="I39" t="str">
        <f t="shared" si="1"/>
        <v>F8</v>
      </c>
      <c r="J39" s="44"/>
      <c r="P39" s="25"/>
    </row>
    <row r="40" spans="1:16" ht="9.75" customHeight="1" x14ac:dyDescent="0.3">
      <c r="A40" s="42"/>
      <c r="B40" s="43"/>
      <c r="C40">
        <v>1</v>
      </c>
      <c r="D40">
        <v>1</v>
      </c>
      <c r="E40">
        <v>1</v>
      </c>
      <c r="F40">
        <v>1</v>
      </c>
      <c r="G40">
        <v>1</v>
      </c>
      <c r="H40">
        <f t="shared" si="5"/>
        <v>248</v>
      </c>
      <c r="I40" t="str">
        <f t="shared" si="1"/>
        <v>F8</v>
      </c>
      <c r="J40" s="44"/>
      <c r="P40" s="25"/>
    </row>
    <row r="41" spans="1:16" ht="9.75" customHeight="1" x14ac:dyDescent="0.3">
      <c r="A41" s="42"/>
      <c r="B41" s="27"/>
      <c r="J41" s="25"/>
      <c r="P41" s="25"/>
    </row>
    <row r="42" spans="1:16" ht="9.75" customHeight="1" x14ac:dyDescent="0.3">
      <c r="A42" s="42">
        <v>37</v>
      </c>
      <c r="B42" s="43" t="s">
        <v>105</v>
      </c>
      <c r="D42">
        <v>1</v>
      </c>
      <c r="G42">
        <v>1</v>
      </c>
      <c r="H42">
        <f t="shared" ref="H42:H48" si="6">C42*C$1+D42*D$1+E42*E$1+F42*F$1+G42*G$1</f>
        <v>72</v>
      </c>
      <c r="I42" t="str">
        <f t="shared" si="1"/>
        <v>48</v>
      </c>
      <c r="J42" s="44" t="str">
        <f>CONCATENATE("0x",I42,",0x",I43,",0x",I44,",0x",I45,",0x",I46,",0x",I47,",0x",I48,", //",B42)</f>
        <v>0x48,0xA8,0x50,0x20,0x50,0xA8,0x90, //%</v>
      </c>
      <c r="P42" s="25"/>
    </row>
    <row r="43" spans="1:16" ht="9.75" customHeight="1" x14ac:dyDescent="0.3">
      <c r="A43" s="42"/>
      <c r="B43" s="43"/>
      <c r="C43">
        <v>1</v>
      </c>
      <c r="E43">
        <v>1</v>
      </c>
      <c r="G43">
        <v>1</v>
      </c>
      <c r="H43">
        <f t="shared" si="6"/>
        <v>168</v>
      </c>
      <c r="I43" t="str">
        <f t="shared" si="1"/>
        <v>A8</v>
      </c>
      <c r="J43" s="44"/>
      <c r="P43" s="25"/>
    </row>
    <row r="44" spans="1:16" ht="9.75" customHeight="1" x14ac:dyDescent="0.3">
      <c r="A44" s="42"/>
      <c r="B44" s="43"/>
      <c r="D44">
        <v>1</v>
      </c>
      <c r="F44">
        <v>1</v>
      </c>
      <c r="H44">
        <f t="shared" si="6"/>
        <v>80</v>
      </c>
      <c r="I44" t="str">
        <f t="shared" si="1"/>
        <v>50</v>
      </c>
      <c r="J44" s="44"/>
      <c r="P44" s="25"/>
    </row>
    <row r="45" spans="1:16" ht="9.75" customHeight="1" x14ac:dyDescent="0.3">
      <c r="A45" s="42"/>
      <c r="B45" s="43"/>
      <c r="E45">
        <v>1</v>
      </c>
      <c r="H45">
        <f t="shared" si="6"/>
        <v>32</v>
      </c>
      <c r="I45" t="str">
        <f t="shared" si="1"/>
        <v>20</v>
      </c>
      <c r="J45" s="44"/>
      <c r="P45" s="25"/>
    </row>
    <row r="46" spans="1:16" ht="9.75" customHeight="1" x14ac:dyDescent="0.3">
      <c r="A46" s="42"/>
      <c r="B46" s="43"/>
      <c r="D46">
        <v>1</v>
      </c>
      <c r="F46">
        <v>1</v>
      </c>
      <c r="H46">
        <f t="shared" si="6"/>
        <v>80</v>
      </c>
      <c r="I46" t="str">
        <f t="shared" si="1"/>
        <v>50</v>
      </c>
      <c r="J46" s="44"/>
      <c r="P46" s="25"/>
    </row>
    <row r="47" spans="1:16" ht="9.75" customHeight="1" x14ac:dyDescent="0.3">
      <c r="A47" s="42"/>
      <c r="B47" s="43"/>
      <c r="C47">
        <v>1</v>
      </c>
      <c r="E47">
        <v>1</v>
      </c>
      <c r="G47">
        <v>1</v>
      </c>
      <c r="H47">
        <f t="shared" si="6"/>
        <v>168</v>
      </c>
      <c r="I47" t="str">
        <f t="shared" si="1"/>
        <v>A8</v>
      </c>
      <c r="J47" s="44"/>
      <c r="P47" s="25"/>
    </row>
    <row r="48" spans="1:16" ht="9.75" customHeight="1" x14ac:dyDescent="0.3">
      <c r="A48" s="42"/>
      <c r="B48" s="43"/>
      <c r="C48">
        <v>1</v>
      </c>
      <c r="F48">
        <v>1</v>
      </c>
      <c r="H48">
        <f t="shared" si="6"/>
        <v>144</v>
      </c>
      <c r="I48" t="str">
        <f t="shared" si="1"/>
        <v>90</v>
      </c>
      <c r="J48" s="44"/>
      <c r="P48" s="25"/>
    </row>
    <row r="49" spans="1:16" ht="9.75" customHeight="1" x14ac:dyDescent="0.3">
      <c r="A49" s="42"/>
      <c r="B49" s="27"/>
      <c r="J49" s="25"/>
      <c r="P49" s="25"/>
    </row>
    <row r="50" spans="1:16" ht="9.75" customHeight="1" x14ac:dyDescent="0.3">
      <c r="A50" s="42">
        <v>38</v>
      </c>
      <c r="B50" s="45" t="s">
        <v>106</v>
      </c>
      <c r="H50">
        <f t="shared" ref="H50:H56" si="7">C50*C$1+D50*D$1+E50*E$1+F50*F$1+G50*G$1</f>
        <v>0</v>
      </c>
      <c r="I50" t="str">
        <f t="shared" si="1"/>
        <v>00</v>
      </c>
      <c r="J50" s="44" t="str">
        <f>CONCATENATE("0x",I50,",0x",I51,",0x",I52,",0x",I53,",0x",I54,",0x",I55,",0x",I56,", //",B50)</f>
        <v>0x00,0xF8,0xF8,0x70,0x70,0x20,0x20, //&amp;</v>
      </c>
      <c r="P50" s="25"/>
    </row>
    <row r="51" spans="1:16" ht="9.75" customHeight="1" x14ac:dyDescent="0.3">
      <c r="A51" s="42"/>
      <c r="B51" s="43"/>
      <c r="C51">
        <v>1</v>
      </c>
      <c r="D51">
        <v>1</v>
      </c>
      <c r="E51">
        <v>1</v>
      </c>
      <c r="F51">
        <v>1</v>
      </c>
      <c r="G51">
        <v>1</v>
      </c>
      <c r="H51">
        <f t="shared" si="7"/>
        <v>248</v>
      </c>
      <c r="I51" t="str">
        <f t="shared" si="1"/>
        <v>F8</v>
      </c>
      <c r="J51" s="44"/>
      <c r="P51" s="25"/>
    </row>
    <row r="52" spans="1:16" ht="9.75" customHeight="1" x14ac:dyDescent="0.3">
      <c r="A52" s="42"/>
      <c r="B52" s="43"/>
      <c r="C52">
        <v>1</v>
      </c>
      <c r="D52">
        <v>1</v>
      </c>
      <c r="E52">
        <v>1</v>
      </c>
      <c r="F52">
        <v>1</v>
      </c>
      <c r="G52">
        <v>1</v>
      </c>
      <c r="H52">
        <f t="shared" si="7"/>
        <v>248</v>
      </c>
      <c r="I52" t="str">
        <f t="shared" si="1"/>
        <v>F8</v>
      </c>
      <c r="J52" s="44"/>
      <c r="P52" s="25"/>
    </row>
    <row r="53" spans="1:16" ht="9.75" customHeight="1" x14ac:dyDescent="0.3">
      <c r="A53" s="42"/>
      <c r="B53" s="43"/>
      <c r="D53">
        <v>1</v>
      </c>
      <c r="E53">
        <v>1</v>
      </c>
      <c r="F53">
        <v>1</v>
      </c>
      <c r="H53">
        <f t="shared" si="7"/>
        <v>112</v>
      </c>
      <c r="I53" t="str">
        <f t="shared" si="1"/>
        <v>70</v>
      </c>
      <c r="J53" s="44"/>
      <c r="P53" s="25"/>
    </row>
    <row r="54" spans="1:16" ht="9.75" customHeight="1" x14ac:dyDescent="0.3">
      <c r="A54" s="42"/>
      <c r="B54" s="43"/>
      <c r="D54">
        <v>1</v>
      </c>
      <c r="E54">
        <v>1</v>
      </c>
      <c r="F54">
        <v>1</v>
      </c>
      <c r="H54">
        <f t="shared" si="7"/>
        <v>112</v>
      </c>
      <c r="I54" t="str">
        <f t="shared" si="1"/>
        <v>70</v>
      </c>
      <c r="J54" s="44"/>
      <c r="P54" s="25"/>
    </row>
    <row r="55" spans="1:16" ht="9.75" customHeight="1" x14ac:dyDescent="0.3">
      <c r="A55" s="42"/>
      <c r="B55" s="43"/>
      <c r="E55">
        <v>1</v>
      </c>
      <c r="H55">
        <f t="shared" si="7"/>
        <v>32</v>
      </c>
      <c r="I55" t="str">
        <f t="shared" si="1"/>
        <v>20</v>
      </c>
      <c r="J55" s="44"/>
      <c r="P55" s="25"/>
    </row>
    <row r="56" spans="1:16" ht="9.75" customHeight="1" x14ac:dyDescent="0.3">
      <c r="A56" s="42"/>
      <c r="B56" s="43"/>
      <c r="E56">
        <v>1</v>
      </c>
      <c r="H56">
        <f t="shared" si="7"/>
        <v>32</v>
      </c>
      <c r="I56" t="str">
        <f t="shared" si="1"/>
        <v>20</v>
      </c>
      <c r="J56" s="44"/>
      <c r="P56" s="25"/>
    </row>
    <row r="57" spans="1:16" ht="9.75" customHeight="1" x14ac:dyDescent="0.3">
      <c r="A57" s="42"/>
      <c r="B57" s="27"/>
      <c r="J57" s="25"/>
      <c r="P57" s="25"/>
    </row>
    <row r="58" spans="1:16" ht="9.75" customHeight="1" x14ac:dyDescent="0.3">
      <c r="A58" s="42">
        <v>39</v>
      </c>
      <c r="B58" s="45" t="s">
        <v>356</v>
      </c>
      <c r="E58">
        <v>1</v>
      </c>
      <c r="H58">
        <f t="shared" ref="H58:H64" si="8">C58*C$1+D58*D$1+E58*E$1+F58*F$1+G58*G$1</f>
        <v>32</v>
      </c>
      <c r="I58" t="str">
        <f t="shared" si="1"/>
        <v>20</v>
      </c>
      <c r="J58" s="44" t="str">
        <f>CONCATENATE("0x",I58,",0x",I59,",0x",I60,",0x",I61,",0x",I62,",0x",I63,",0x",I64,", //",B58)</f>
        <v>0x20,0x20,0x20,0x00,0x00,0x00,0x00, //'</v>
      </c>
      <c r="P58" s="25"/>
    </row>
    <row r="59" spans="1:16" ht="9.75" customHeight="1" x14ac:dyDescent="0.3">
      <c r="A59" s="42"/>
      <c r="B59" s="43"/>
      <c r="E59">
        <v>1</v>
      </c>
      <c r="H59">
        <f t="shared" si="8"/>
        <v>32</v>
      </c>
      <c r="I59" t="str">
        <f t="shared" si="1"/>
        <v>20</v>
      </c>
      <c r="J59" s="44"/>
      <c r="P59" s="25"/>
    </row>
    <row r="60" spans="1:16" ht="9.75" customHeight="1" x14ac:dyDescent="0.3">
      <c r="A60" s="42"/>
      <c r="B60" s="43"/>
      <c r="E60">
        <v>1</v>
      </c>
      <c r="H60">
        <f t="shared" si="8"/>
        <v>32</v>
      </c>
      <c r="I60" t="str">
        <f t="shared" si="1"/>
        <v>20</v>
      </c>
      <c r="J60" s="44"/>
      <c r="P60" s="25"/>
    </row>
    <row r="61" spans="1:16" ht="9.75" customHeight="1" x14ac:dyDescent="0.3">
      <c r="A61" s="42"/>
      <c r="B61" s="43"/>
      <c r="H61">
        <f t="shared" si="8"/>
        <v>0</v>
      </c>
      <c r="I61" t="str">
        <f t="shared" si="1"/>
        <v>00</v>
      </c>
      <c r="J61" s="44"/>
      <c r="P61" s="25"/>
    </row>
    <row r="62" spans="1:16" ht="9.75" customHeight="1" x14ac:dyDescent="0.3">
      <c r="A62" s="42"/>
      <c r="B62" s="43"/>
      <c r="H62">
        <f t="shared" si="8"/>
        <v>0</v>
      </c>
      <c r="I62" t="str">
        <f t="shared" si="1"/>
        <v>00</v>
      </c>
      <c r="J62" s="44"/>
      <c r="P62" s="25"/>
    </row>
    <row r="63" spans="1:16" ht="9.75" customHeight="1" x14ac:dyDescent="0.3">
      <c r="A63" s="42"/>
      <c r="B63" s="43"/>
      <c r="H63">
        <f t="shared" si="8"/>
        <v>0</v>
      </c>
      <c r="I63" t="str">
        <f t="shared" si="1"/>
        <v>00</v>
      </c>
      <c r="J63" s="44"/>
      <c r="P63" s="25"/>
    </row>
    <row r="64" spans="1:16" ht="9.75" customHeight="1" x14ac:dyDescent="0.3">
      <c r="A64" s="42"/>
      <c r="B64" s="43"/>
      <c r="H64">
        <f t="shared" si="8"/>
        <v>0</v>
      </c>
      <c r="I64" t="str">
        <f t="shared" si="1"/>
        <v>00</v>
      </c>
      <c r="J64" s="44"/>
      <c r="P64" s="25"/>
    </row>
    <row r="65" spans="1:16" ht="9.75" customHeight="1" x14ac:dyDescent="0.3">
      <c r="A65" s="42"/>
      <c r="B65" s="27"/>
      <c r="J65" s="25"/>
      <c r="P65" s="25"/>
    </row>
    <row r="66" spans="1:16" ht="9.75" customHeight="1" x14ac:dyDescent="0.3">
      <c r="A66" s="42">
        <v>40</v>
      </c>
      <c r="B66" s="43" t="s">
        <v>107</v>
      </c>
      <c r="F66">
        <v>1</v>
      </c>
      <c r="H66">
        <f t="shared" ref="H66:H72" si="9">C66*C$1+D66*D$1+E66*E$1+F66*F$1+G66*G$1</f>
        <v>16</v>
      </c>
      <c r="I66" t="str">
        <f t="shared" si="1"/>
        <v>10</v>
      </c>
      <c r="J66" s="44" t="str">
        <f>CONCATENATE("0x",I66,",0x",I67,",0x",I68,",0x",I69,",0x",I70,",0x",I71,",0x",I72,", //",B66)</f>
        <v>0x10,0x20,0x40,0x40,0x40,0x20,0x10, //(</v>
      </c>
      <c r="P66" s="25"/>
    </row>
    <row r="67" spans="1:16" ht="9.75" customHeight="1" x14ac:dyDescent="0.3">
      <c r="A67" s="42"/>
      <c r="B67" s="43"/>
      <c r="E67">
        <v>1</v>
      </c>
      <c r="H67">
        <f t="shared" si="9"/>
        <v>32</v>
      </c>
      <c r="I67" t="str">
        <f t="shared" si="1"/>
        <v>20</v>
      </c>
      <c r="J67" s="44"/>
      <c r="P67" s="25"/>
    </row>
    <row r="68" spans="1:16" ht="9.75" customHeight="1" x14ac:dyDescent="0.3">
      <c r="A68" s="42"/>
      <c r="B68" s="43"/>
      <c r="D68">
        <v>1</v>
      </c>
      <c r="H68">
        <f t="shared" si="9"/>
        <v>64</v>
      </c>
      <c r="I68" t="str">
        <f t="shared" si="1"/>
        <v>40</v>
      </c>
      <c r="J68" s="44"/>
      <c r="P68" s="25"/>
    </row>
    <row r="69" spans="1:16" ht="9.75" customHeight="1" x14ac:dyDescent="0.3">
      <c r="A69" s="42"/>
      <c r="B69" s="43"/>
      <c r="D69">
        <v>1</v>
      </c>
      <c r="H69">
        <f t="shared" si="9"/>
        <v>64</v>
      </c>
      <c r="I69" t="str">
        <f t="shared" si="1"/>
        <v>40</v>
      </c>
      <c r="J69" s="44"/>
      <c r="P69" s="25"/>
    </row>
    <row r="70" spans="1:16" ht="9.75" customHeight="1" x14ac:dyDescent="0.3">
      <c r="A70" s="42"/>
      <c r="B70" s="43"/>
      <c r="D70">
        <v>1</v>
      </c>
      <c r="H70">
        <f t="shared" si="9"/>
        <v>64</v>
      </c>
      <c r="I70" t="str">
        <f t="shared" si="1"/>
        <v>40</v>
      </c>
      <c r="J70" s="44"/>
    </row>
    <row r="71" spans="1:16" ht="9.75" customHeight="1" x14ac:dyDescent="0.3">
      <c r="A71" s="42"/>
      <c r="B71" s="43"/>
      <c r="E71">
        <v>1</v>
      </c>
      <c r="H71">
        <f t="shared" si="9"/>
        <v>32</v>
      </c>
      <c r="I71" t="str">
        <f t="shared" si="1"/>
        <v>20</v>
      </c>
      <c r="J71" s="44"/>
    </row>
    <row r="72" spans="1:16" ht="9.75" customHeight="1" x14ac:dyDescent="0.3">
      <c r="A72" s="42"/>
      <c r="B72" s="43"/>
      <c r="F72">
        <v>1</v>
      </c>
      <c r="H72">
        <f t="shared" si="9"/>
        <v>16</v>
      </c>
      <c r="I72" t="str">
        <f t="shared" si="1"/>
        <v>10</v>
      </c>
      <c r="J72" s="44"/>
    </row>
    <row r="73" spans="1:16" ht="9.75" customHeight="1" x14ac:dyDescent="0.3">
      <c r="A73" s="42"/>
      <c r="B73" s="27"/>
      <c r="J73" s="25"/>
    </row>
    <row r="74" spans="1:16" ht="9.75" customHeight="1" x14ac:dyDescent="0.3">
      <c r="A74" s="42">
        <v>41</v>
      </c>
      <c r="B74" s="43" t="s">
        <v>108</v>
      </c>
      <c r="D74">
        <v>1</v>
      </c>
      <c r="H74">
        <f t="shared" ref="H74:H80" si="10">C74*C$1+D74*D$1+E74*E$1+F74*F$1+G74*G$1</f>
        <v>64</v>
      </c>
      <c r="I74" t="str">
        <f t="shared" si="1"/>
        <v>40</v>
      </c>
      <c r="J74" s="44" t="str">
        <f>CONCATENATE("0x",I74,",0x",I75,",0x",I76,",0x",I77,",0x",I78,",0x",I79,",0x",I80,", //",B74)</f>
        <v>0x40,0x20,0x10,0x10,0x10,0x20,0x40, //)</v>
      </c>
    </row>
    <row r="75" spans="1:16" ht="9.75" customHeight="1" x14ac:dyDescent="0.3">
      <c r="A75" s="42"/>
      <c r="B75" s="43"/>
      <c r="E75">
        <v>1</v>
      </c>
      <c r="H75">
        <f t="shared" si="10"/>
        <v>32</v>
      </c>
      <c r="I75" t="str">
        <f t="shared" si="1"/>
        <v>20</v>
      </c>
      <c r="J75" s="44"/>
    </row>
    <row r="76" spans="1:16" ht="9.75" customHeight="1" x14ac:dyDescent="0.3">
      <c r="A76" s="42"/>
      <c r="B76" s="43"/>
      <c r="F76">
        <v>1</v>
      </c>
      <c r="H76">
        <f t="shared" si="10"/>
        <v>16</v>
      </c>
      <c r="I76" t="str">
        <f t="shared" si="1"/>
        <v>10</v>
      </c>
      <c r="J76" s="44"/>
    </row>
    <row r="77" spans="1:16" ht="9.75" customHeight="1" x14ac:dyDescent="0.3">
      <c r="A77" s="42"/>
      <c r="B77" s="43"/>
      <c r="F77">
        <v>1</v>
      </c>
      <c r="H77">
        <f t="shared" si="10"/>
        <v>16</v>
      </c>
      <c r="I77" t="str">
        <f t="shared" si="1"/>
        <v>10</v>
      </c>
      <c r="J77" s="44"/>
    </row>
    <row r="78" spans="1:16" ht="9.75" customHeight="1" x14ac:dyDescent="0.3">
      <c r="A78" s="42"/>
      <c r="B78" s="43"/>
      <c r="F78">
        <v>1</v>
      </c>
      <c r="H78">
        <f t="shared" si="10"/>
        <v>16</v>
      </c>
      <c r="I78" t="str">
        <f t="shared" si="1"/>
        <v>10</v>
      </c>
      <c r="J78" s="44"/>
    </row>
    <row r="79" spans="1:16" ht="9.75" customHeight="1" x14ac:dyDescent="0.3">
      <c r="A79" s="42"/>
      <c r="B79" s="43"/>
      <c r="E79">
        <v>1</v>
      </c>
      <c r="H79">
        <f t="shared" si="10"/>
        <v>32</v>
      </c>
      <c r="I79" t="str">
        <f t="shared" si="1"/>
        <v>20</v>
      </c>
      <c r="J79" s="44"/>
    </row>
    <row r="80" spans="1:16" ht="9.75" customHeight="1" x14ac:dyDescent="0.3">
      <c r="A80" s="42"/>
      <c r="B80" s="43"/>
      <c r="D80">
        <v>1</v>
      </c>
      <c r="H80">
        <f t="shared" si="10"/>
        <v>64</v>
      </c>
      <c r="I80" t="str">
        <f t="shared" si="1"/>
        <v>40</v>
      </c>
      <c r="J80" s="44"/>
    </row>
    <row r="81" spans="1:10" ht="9.75" customHeight="1" x14ac:dyDescent="0.3">
      <c r="A81" s="42"/>
      <c r="B81" s="27"/>
      <c r="J81" s="25"/>
    </row>
    <row r="82" spans="1:10" ht="9.75" customHeight="1" x14ac:dyDescent="0.3">
      <c r="A82" s="42">
        <v>42</v>
      </c>
      <c r="B82" s="43" t="s">
        <v>109</v>
      </c>
      <c r="H82">
        <f t="shared" ref="H82:H88" si="11">C82*C$1+D82*D$1+E82*E$1+F82*F$1+G82*G$1</f>
        <v>0</v>
      </c>
      <c r="I82" t="str">
        <f t="shared" si="1"/>
        <v>00</v>
      </c>
      <c r="J82" s="44" t="str">
        <f>CONCATENATE("0x",I82,",0x",I83,",0x",I84,",0x",I85,",0x",I86,",0x",I87,",0x",I88,", //",B82)</f>
        <v>0x00,0xF8,0x00,0xF8,0x00,0xF8,0x00, //*</v>
      </c>
    </row>
    <row r="83" spans="1:10" ht="9.75" customHeight="1" x14ac:dyDescent="0.3">
      <c r="A83" s="42"/>
      <c r="B83" s="43"/>
      <c r="C83">
        <v>1</v>
      </c>
      <c r="D83">
        <v>1</v>
      </c>
      <c r="E83">
        <v>1</v>
      </c>
      <c r="F83">
        <v>1</v>
      </c>
      <c r="G83">
        <v>1</v>
      </c>
      <c r="H83">
        <f t="shared" si="11"/>
        <v>248</v>
      </c>
      <c r="I83" t="str">
        <f t="shared" si="1"/>
        <v>F8</v>
      </c>
      <c r="J83" s="44"/>
    </row>
    <row r="84" spans="1:10" ht="9.75" customHeight="1" x14ac:dyDescent="0.3">
      <c r="A84" s="42"/>
      <c r="B84" s="43"/>
      <c r="H84">
        <f t="shared" si="11"/>
        <v>0</v>
      </c>
      <c r="I84" t="str">
        <f t="shared" si="1"/>
        <v>00</v>
      </c>
      <c r="J84" s="44"/>
    </row>
    <row r="85" spans="1:10" ht="9.75" customHeight="1" x14ac:dyDescent="0.3">
      <c r="A85" s="42"/>
      <c r="B85" s="43"/>
      <c r="C85">
        <v>1</v>
      </c>
      <c r="D85">
        <v>1</v>
      </c>
      <c r="E85">
        <v>1</v>
      </c>
      <c r="F85">
        <v>1</v>
      </c>
      <c r="G85">
        <v>1</v>
      </c>
      <c r="H85">
        <f t="shared" si="11"/>
        <v>248</v>
      </c>
      <c r="I85" t="str">
        <f t="shared" si="1"/>
        <v>F8</v>
      </c>
      <c r="J85" s="44"/>
    </row>
    <row r="86" spans="1:10" ht="9.75" customHeight="1" x14ac:dyDescent="0.3">
      <c r="A86" s="42"/>
      <c r="B86" s="43"/>
      <c r="H86">
        <f t="shared" si="11"/>
        <v>0</v>
      </c>
      <c r="I86" t="str">
        <f t="shared" si="1"/>
        <v>00</v>
      </c>
      <c r="J86" s="44"/>
    </row>
    <row r="87" spans="1:10" ht="9.75" customHeight="1" x14ac:dyDescent="0.3">
      <c r="A87" s="42"/>
      <c r="B87" s="43"/>
      <c r="C87">
        <v>1</v>
      </c>
      <c r="D87">
        <v>1</v>
      </c>
      <c r="E87">
        <v>1</v>
      </c>
      <c r="F87">
        <v>1</v>
      </c>
      <c r="G87">
        <v>1</v>
      </c>
      <c r="H87">
        <f t="shared" si="11"/>
        <v>248</v>
      </c>
      <c r="I87" t="str">
        <f t="shared" si="1"/>
        <v>F8</v>
      </c>
      <c r="J87" s="44"/>
    </row>
    <row r="88" spans="1:10" ht="9.75" customHeight="1" x14ac:dyDescent="0.3">
      <c r="A88" s="42"/>
      <c r="B88" s="43"/>
      <c r="H88">
        <f t="shared" si="11"/>
        <v>0</v>
      </c>
      <c r="I88" t="str">
        <f t="shared" si="1"/>
        <v>00</v>
      </c>
      <c r="J88" s="44"/>
    </row>
    <row r="89" spans="1:10" ht="9.75" customHeight="1" x14ac:dyDescent="0.3">
      <c r="A89" s="42"/>
      <c r="B89" s="27"/>
      <c r="J89" s="25"/>
    </row>
    <row r="90" spans="1:10" ht="9.75" customHeight="1" x14ac:dyDescent="0.3">
      <c r="A90" s="42">
        <v>43</v>
      </c>
      <c r="B90" s="45" t="s">
        <v>110</v>
      </c>
      <c r="H90">
        <f t="shared" ref="H90:H96" si="12">C90*C$1+D90*D$1+E90*E$1+F90*F$1+G90*G$1</f>
        <v>0</v>
      </c>
      <c r="I90" t="str">
        <f t="shared" si="1"/>
        <v>00</v>
      </c>
      <c r="J90" s="44" t="str">
        <f>CONCATENATE("0x",I90,",0x",I91,",0x",I92,",0x",I93,",0x",I94,",0x",I95,",0x",I96,", //",B90)</f>
        <v>0x00,0x00,0x20,0x20,0xF8,0x20,0x20, //+</v>
      </c>
    </row>
    <row r="91" spans="1:10" ht="9.75" customHeight="1" x14ac:dyDescent="0.3">
      <c r="A91" s="42"/>
      <c r="B91" s="43"/>
      <c r="H91">
        <f t="shared" si="12"/>
        <v>0</v>
      </c>
      <c r="I91" t="str">
        <f t="shared" si="1"/>
        <v>00</v>
      </c>
      <c r="J91" s="44"/>
    </row>
    <row r="92" spans="1:10" ht="9.75" customHeight="1" x14ac:dyDescent="0.3">
      <c r="A92" s="42"/>
      <c r="B92" s="43"/>
      <c r="E92">
        <v>1</v>
      </c>
      <c r="H92">
        <f t="shared" si="12"/>
        <v>32</v>
      </c>
      <c r="I92" t="str">
        <f t="shared" si="1"/>
        <v>20</v>
      </c>
      <c r="J92" s="44"/>
    </row>
    <row r="93" spans="1:10" ht="9.75" customHeight="1" x14ac:dyDescent="0.3">
      <c r="A93" s="42"/>
      <c r="B93" s="43"/>
      <c r="E93">
        <v>1</v>
      </c>
      <c r="H93">
        <f t="shared" si="12"/>
        <v>32</v>
      </c>
      <c r="I93" t="str">
        <f t="shared" si="1"/>
        <v>20</v>
      </c>
      <c r="J93" s="44"/>
    </row>
    <row r="94" spans="1:10" ht="9.75" customHeight="1" x14ac:dyDescent="0.3">
      <c r="A94" s="42"/>
      <c r="B94" s="43"/>
      <c r="C94">
        <v>1</v>
      </c>
      <c r="D94">
        <v>1</v>
      </c>
      <c r="E94">
        <v>1</v>
      </c>
      <c r="F94">
        <v>1</v>
      </c>
      <c r="G94">
        <v>1</v>
      </c>
      <c r="H94">
        <f t="shared" si="12"/>
        <v>248</v>
      </c>
      <c r="I94" t="str">
        <f t="shared" si="1"/>
        <v>F8</v>
      </c>
      <c r="J94" s="44"/>
    </row>
    <row r="95" spans="1:10" ht="9.75" customHeight="1" x14ac:dyDescent="0.3">
      <c r="A95" s="42"/>
      <c r="B95" s="43"/>
      <c r="E95">
        <v>1</v>
      </c>
      <c r="H95">
        <f t="shared" si="12"/>
        <v>32</v>
      </c>
      <c r="I95" t="str">
        <f t="shared" si="1"/>
        <v>20</v>
      </c>
      <c r="J95" s="44"/>
    </row>
    <row r="96" spans="1:10" ht="9.75" customHeight="1" x14ac:dyDescent="0.3">
      <c r="A96" s="42"/>
      <c r="B96" s="43"/>
      <c r="E96">
        <v>1</v>
      </c>
      <c r="H96">
        <f t="shared" si="12"/>
        <v>32</v>
      </c>
      <c r="I96" t="str">
        <f t="shared" si="1"/>
        <v>20</v>
      </c>
      <c r="J96" s="44"/>
    </row>
    <row r="97" spans="1:10" ht="9.75" customHeight="1" x14ac:dyDescent="0.3">
      <c r="A97" s="42"/>
      <c r="B97" s="27"/>
      <c r="J97" s="25"/>
    </row>
    <row r="98" spans="1:10" ht="9.75" customHeight="1" x14ac:dyDescent="0.3">
      <c r="A98" s="42">
        <v>44</v>
      </c>
      <c r="B98" s="45" t="s">
        <v>1</v>
      </c>
      <c r="C98">
        <v>1</v>
      </c>
      <c r="H98">
        <f t="shared" ref="H98:H104" si="13">C98*C$1+D98*D$1+E98*E$1+F98*F$1+G98*G$1</f>
        <v>128</v>
      </c>
      <c r="I98" t="str">
        <f t="shared" si="1"/>
        <v>80</v>
      </c>
      <c r="J98" s="44" t="str">
        <f>CONCATENATE("0x",I98,",0x",I99,",0x",I100,",0x",I101,",0x",I102,",0x",I103,",0x",I104,", //",B98)</f>
        <v>0x80,0xC0,0xE0,0xF0,0xE0,0xC0,0x80, //,</v>
      </c>
    </row>
    <row r="99" spans="1:10" ht="9.75" customHeight="1" x14ac:dyDescent="0.3">
      <c r="A99" s="42"/>
      <c r="B99" s="43"/>
      <c r="C99">
        <v>1</v>
      </c>
      <c r="D99">
        <v>1</v>
      </c>
      <c r="H99">
        <f t="shared" si="13"/>
        <v>192</v>
      </c>
      <c r="I99" t="str">
        <f t="shared" si="1"/>
        <v>C0</v>
      </c>
      <c r="J99" s="44"/>
    </row>
    <row r="100" spans="1:10" ht="9.75" customHeight="1" x14ac:dyDescent="0.3">
      <c r="A100" s="42"/>
      <c r="B100" s="43"/>
      <c r="C100">
        <v>1</v>
      </c>
      <c r="D100">
        <v>1</v>
      </c>
      <c r="E100">
        <v>1</v>
      </c>
      <c r="H100">
        <f t="shared" si="13"/>
        <v>224</v>
      </c>
      <c r="I100" t="str">
        <f t="shared" si="1"/>
        <v>E0</v>
      </c>
      <c r="J100" s="44"/>
    </row>
    <row r="101" spans="1:10" ht="9.75" customHeight="1" x14ac:dyDescent="0.3">
      <c r="A101" s="42"/>
      <c r="B101" s="43"/>
      <c r="C101">
        <v>1</v>
      </c>
      <c r="D101">
        <v>1</v>
      </c>
      <c r="E101">
        <v>1</v>
      </c>
      <c r="F101">
        <v>1</v>
      </c>
      <c r="H101">
        <f t="shared" si="13"/>
        <v>240</v>
      </c>
      <c r="I101" t="str">
        <f t="shared" si="1"/>
        <v>F0</v>
      </c>
      <c r="J101" s="44"/>
    </row>
    <row r="102" spans="1:10" ht="9.75" customHeight="1" x14ac:dyDescent="0.3">
      <c r="A102" s="42"/>
      <c r="B102" s="43"/>
      <c r="C102">
        <v>1</v>
      </c>
      <c r="D102">
        <v>1</v>
      </c>
      <c r="E102">
        <v>1</v>
      </c>
      <c r="H102">
        <f t="shared" si="13"/>
        <v>224</v>
      </c>
      <c r="I102" t="str">
        <f t="shared" si="1"/>
        <v>E0</v>
      </c>
      <c r="J102" s="44"/>
    </row>
    <row r="103" spans="1:10" ht="9.75" customHeight="1" x14ac:dyDescent="0.3">
      <c r="A103" s="42"/>
      <c r="B103" s="43"/>
      <c r="C103">
        <v>1</v>
      </c>
      <c r="D103">
        <v>1</v>
      </c>
      <c r="H103">
        <f t="shared" si="13"/>
        <v>192</v>
      </c>
      <c r="I103" t="str">
        <f t="shared" si="1"/>
        <v>C0</v>
      </c>
      <c r="J103" s="44"/>
    </row>
    <row r="104" spans="1:10" ht="9.75" customHeight="1" x14ac:dyDescent="0.3">
      <c r="A104" s="42"/>
      <c r="B104" s="43"/>
      <c r="C104">
        <v>1</v>
      </c>
      <c r="H104">
        <f t="shared" si="13"/>
        <v>128</v>
      </c>
      <c r="I104" t="str">
        <f t="shared" si="1"/>
        <v>80</v>
      </c>
      <c r="J104" s="44"/>
    </row>
    <row r="105" spans="1:10" ht="9.75" customHeight="1" x14ac:dyDescent="0.3">
      <c r="A105" s="42"/>
      <c r="B105" s="27"/>
      <c r="J105" s="25"/>
    </row>
    <row r="106" spans="1:10" ht="9.75" customHeight="1" x14ac:dyDescent="0.3">
      <c r="A106" s="42">
        <v>45</v>
      </c>
      <c r="B106" s="43" t="s">
        <v>111</v>
      </c>
      <c r="H106">
        <f t="shared" ref="H106" si="14">C106*C$1+D106*D$1+E106*E$1+F106*F$1+G106*G$1</f>
        <v>0</v>
      </c>
      <c r="I106" t="str">
        <f t="shared" si="1"/>
        <v>00</v>
      </c>
      <c r="J106" s="44" t="str">
        <f>CONCATENATE("0x",I106,",0x",I107,",0x",I108,",0x",I109,",0x",I110,",0x",I111,",0x",I112,", //",B106)</f>
        <v>0x00,0x00,0x00,0xF8,0x00,0x00,0x00, //-</v>
      </c>
    </row>
    <row r="107" spans="1:10" ht="9.75" customHeight="1" x14ac:dyDescent="0.3">
      <c r="A107" s="42"/>
      <c r="B107" s="43"/>
      <c r="H107">
        <f t="shared" ref="H107:H112" si="15">C107*C$1+D107*D$1+E107*E$1+F107*F$1+G107*G$1</f>
        <v>0</v>
      </c>
      <c r="I107" t="str">
        <f t="shared" si="1"/>
        <v>00</v>
      </c>
      <c r="J107" s="44"/>
    </row>
    <row r="108" spans="1:10" ht="9.75" customHeight="1" x14ac:dyDescent="0.3">
      <c r="A108" s="42"/>
      <c r="B108" s="43"/>
      <c r="H108">
        <f t="shared" si="15"/>
        <v>0</v>
      </c>
      <c r="I108" t="str">
        <f t="shared" si="1"/>
        <v>00</v>
      </c>
      <c r="J108" s="44"/>
    </row>
    <row r="109" spans="1:10" ht="9.75" customHeight="1" x14ac:dyDescent="0.3">
      <c r="A109" s="42"/>
      <c r="B109" s="43"/>
      <c r="C109">
        <v>1</v>
      </c>
      <c r="D109">
        <v>1</v>
      </c>
      <c r="E109">
        <v>1</v>
      </c>
      <c r="F109">
        <v>1</v>
      </c>
      <c r="G109">
        <v>1</v>
      </c>
      <c r="H109">
        <f t="shared" si="15"/>
        <v>248</v>
      </c>
      <c r="I109" t="str">
        <f t="shared" si="1"/>
        <v>F8</v>
      </c>
      <c r="J109" s="44"/>
    </row>
    <row r="110" spans="1:10" ht="9.75" customHeight="1" x14ac:dyDescent="0.3">
      <c r="A110" s="42"/>
      <c r="B110" s="43"/>
      <c r="H110">
        <f t="shared" si="15"/>
        <v>0</v>
      </c>
      <c r="I110" t="str">
        <f t="shared" si="1"/>
        <v>00</v>
      </c>
      <c r="J110" s="44"/>
    </row>
    <row r="111" spans="1:10" ht="9.75" customHeight="1" x14ac:dyDescent="0.3">
      <c r="A111" s="42"/>
      <c r="B111" s="43"/>
      <c r="H111">
        <f t="shared" si="15"/>
        <v>0</v>
      </c>
      <c r="I111" t="str">
        <f t="shared" si="1"/>
        <v>00</v>
      </c>
      <c r="J111" s="44"/>
    </row>
    <row r="112" spans="1:10" ht="9.75" customHeight="1" x14ac:dyDescent="0.3">
      <c r="A112" s="42"/>
      <c r="B112" s="43"/>
      <c r="H112">
        <f t="shared" si="15"/>
        <v>0</v>
      </c>
      <c r="I112" t="str">
        <f t="shared" si="1"/>
        <v>00</v>
      </c>
      <c r="J112" s="44"/>
    </row>
    <row r="113" spans="1:10" ht="9.75" customHeight="1" x14ac:dyDescent="0.3">
      <c r="A113" s="42"/>
      <c r="B113" s="27"/>
      <c r="J113" s="25"/>
    </row>
    <row r="114" spans="1:10" ht="9.75" customHeight="1" x14ac:dyDescent="0.3">
      <c r="A114" s="42">
        <v>46</v>
      </c>
      <c r="B114" s="43" t="s">
        <v>112</v>
      </c>
      <c r="H114">
        <f t="shared" ref="H114:H120" si="16">C114*C$1+D114*D$1+E114*E$1+F114*F$1+G114*G$1</f>
        <v>0</v>
      </c>
      <c r="I114" t="str">
        <f t="shared" si="1"/>
        <v>00</v>
      </c>
      <c r="J114" s="44" t="str">
        <f>CONCATENATE("0x",I114,",0x",I115,",0x",I116,",0x",I117,",0x",I118,",0x",I119,",0x",I120,", //",B114)</f>
        <v>0x00,0x00,0x00,0x00,0x00,0x00,0x20, //.</v>
      </c>
    </row>
    <row r="115" spans="1:10" ht="9.75" customHeight="1" x14ac:dyDescent="0.3">
      <c r="A115" s="42"/>
      <c r="B115" s="43"/>
      <c r="H115">
        <f t="shared" si="16"/>
        <v>0</v>
      </c>
      <c r="I115" t="str">
        <f t="shared" si="1"/>
        <v>00</v>
      </c>
      <c r="J115" s="44"/>
    </row>
    <row r="116" spans="1:10" ht="9.75" customHeight="1" x14ac:dyDescent="0.3">
      <c r="A116" s="42"/>
      <c r="B116" s="43"/>
      <c r="H116">
        <f t="shared" si="16"/>
        <v>0</v>
      </c>
      <c r="I116" t="str">
        <f t="shared" si="1"/>
        <v>00</v>
      </c>
      <c r="J116" s="44"/>
    </row>
    <row r="117" spans="1:10" ht="9.75" customHeight="1" x14ac:dyDescent="0.3">
      <c r="A117" s="42"/>
      <c r="B117" s="43"/>
      <c r="H117">
        <f t="shared" si="16"/>
        <v>0</v>
      </c>
      <c r="I117" t="str">
        <f t="shared" si="1"/>
        <v>00</v>
      </c>
      <c r="J117" s="44"/>
    </row>
    <row r="118" spans="1:10" ht="9.75" customHeight="1" x14ac:dyDescent="0.3">
      <c r="A118" s="42"/>
      <c r="B118" s="43"/>
      <c r="H118">
        <f t="shared" si="16"/>
        <v>0</v>
      </c>
      <c r="I118" t="str">
        <f t="shared" si="1"/>
        <v>00</v>
      </c>
      <c r="J118" s="44"/>
    </row>
    <row r="119" spans="1:10" ht="9.75" customHeight="1" x14ac:dyDescent="0.3">
      <c r="A119" s="42"/>
      <c r="B119" s="43"/>
      <c r="H119">
        <f t="shared" si="16"/>
        <v>0</v>
      </c>
      <c r="I119" t="str">
        <f t="shared" si="1"/>
        <v>00</v>
      </c>
      <c r="J119" s="44"/>
    </row>
    <row r="120" spans="1:10" ht="9.75" customHeight="1" x14ac:dyDescent="0.3">
      <c r="A120" s="42"/>
      <c r="B120" s="43"/>
      <c r="E120">
        <v>1</v>
      </c>
      <c r="H120">
        <f t="shared" si="16"/>
        <v>32</v>
      </c>
      <c r="I120" t="str">
        <f t="shared" si="1"/>
        <v>20</v>
      </c>
      <c r="J120" s="44"/>
    </row>
    <row r="121" spans="1:10" ht="9.75" customHeight="1" x14ac:dyDescent="0.3">
      <c r="A121" s="42"/>
      <c r="B121" s="27"/>
      <c r="J121" s="25"/>
    </row>
    <row r="122" spans="1:10" ht="9.75" customHeight="1" x14ac:dyDescent="0.3">
      <c r="A122" s="42">
        <v>47</v>
      </c>
      <c r="B122" s="45" t="s">
        <v>113</v>
      </c>
      <c r="D122">
        <v>1</v>
      </c>
      <c r="F122">
        <v>1</v>
      </c>
      <c r="H122">
        <f t="shared" ref="H122:H128" si="17">C122*C$1+D122*D$1+E122*E$1+F122*F$1+G122*G$1</f>
        <v>80</v>
      </c>
      <c r="I122" t="str">
        <f t="shared" si="1"/>
        <v>50</v>
      </c>
      <c r="J122" s="44" t="str">
        <f>CONCATENATE("0x",I122,",0x",I123,",0x",I124,",0x",I125,",0x",I126,",0x",I127,",0x",I128,", //",B122)</f>
        <v>0x50,0x50,0x50,0xF8,0x88,0x88,0x70, ///</v>
      </c>
    </row>
    <row r="123" spans="1:10" ht="9.75" customHeight="1" x14ac:dyDescent="0.3">
      <c r="A123" s="42"/>
      <c r="B123" s="43"/>
      <c r="D123">
        <v>1</v>
      </c>
      <c r="F123">
        <v>1</v>
      </c>
      <c r="H123">
        <f t="shared" si="17"/>
        <v>80</v>
      </c>
      <c r="I123" t="str">
        <f t="shared" si="1"/>
        <v>50</v>
      </c>
      <c r="J123" s="44"/>
    </row>
    <row r="124" spans="1:10" ht="9.75" customHeight="1" x14ac:dyDescent="0.3">
      <c r="A124" s="42"/>
      <c r="B124" s="43"/>
      <c r="D124">
        <v>1</v>
      </c>
      <c r="F124">
        <v>1</v>
      </c>
      <c r="H124">
        <f t="shared" si="17"/>
        <v>80</v>
      </c>
      <c r="I124" t="str">
        <f t="shared" si="1"/>
        <v>50</v>
      </c>
      <c r="J124" s="44"/>
    </row>
    <row r="125" spans="1:10" ht="9.75" customHeight="1" x14ac:dyDescent="0.3">
      <c r="A125" s="42"/>
      <c r="B125" s="43"/>
      <c r="C125">
        <v>1</v>
      </c>
      <c r="D125">
        <v>1</v>
      </c>
      <c r="E125">
        <v>1</v>
      </c>
      <c r="F125">
        <v>1</v>
      </c>
      <c r="G125">
        <v>1</v>
      </c>
      <c r="H125">
        <f t="shared" si="17"/>
        <v>248</v>
      </c>
      <c r="I125" t="str">
        <f t="shared" si="1"/>
        <v>F8</v>
      </c>
      <c r="J125" s="44"/>
    </row>
    <row r="126" spans="1:10" ht="9.75" customHeight="1" x14ac:dyDescent="0.3">
      <c r="A126" s="42"/>
      <c r="B126" s="43"/>
      <c r="C126">
        <v>1</v>
      </c>
      <c r="G126">
        <v>1</v>
      </c>
      <c r="H126">
        <f t="shared" si="17"/>
        <v>136</v>
      </c>
      <c r="I126" t="str">
        <f t="shared" si="1"/>
        <v>88</v>
      </c>
      <c r="J126" s="44"/>
    </row>
    <row r="127" spans="1:10" ht="9.75" customHeight="1" x14ac:dyDescent="0.3">
      <c r="A127" s="42"/>
      <c r="B127" s="43"/>
      <c r="C127">
        <v>1</v>
      </c>
      <c r="G127">
        <v>1</v>
      </c>
      <c r="H127">
        <f t="shared" si="17"/>
        <v>136</v>
      </c>
      <c r="I127" t="str">
        <f t="shared" si="1"/>
        <v>88</v>
      </c>
      <c r="J127" s="44"/>
    </row>
    <row r="128" spans="1:10" ht="9.75" customHeight="1" x14ac:dyDescent="0.3">
      <c r="A128" s="42"/>
      <c r="B128" s="43"/>
      <c r="D128">
        <v>1</v>
      </c>
      <c r="E128">
        <v>1</v>
      </c>
      <c r="F128">
        <v>1</v>
      </c>
      <c r="H128">
        <f t="shared" si="17"/>
        <v>112</v>
      </c>
      <c r="I128" t="str">
        <f t="shared" si="1"/>
        <v>70</v>
      </c>
      <c r="J128" s="44"/>
    </row>
    <row r="129" spans="1:10" ht="9.75" customHeight="1" x14ac:dyDescent="0.3">
      <c r="A129" s="42"/>
      <c r="B129" s="27"/>
      <c r="J129" s="25"/>
    </row>
    <row r="130" spans="1:10" ht="9.75" customHeight="1" x14ac:dyDescent="0.3">
      <c r="A130" s="42">
        <v>48</v>
      </c>
      <c r="B130" s="43">
        <v>0</v>
      </c>
      <c r="D130">
        <v>1</v>
      </c>
      <c r="E130">
        <v>1</v>
      </c>
      <c r="F130">
        <v>1</v>
      </c>
      <c r="H130">
        <f t="shared" ref="H130:H136" si="18">C130*C$1+D130*D$1+E130*E$1+F130*F$1+G130*G$1</f>
        <v>112</v>
      </c>
      <c r="I130" t="str">
        <f t="shared" ref="I130:I136" si="19">DEC2HEX(H130,2)</f>
        <v>70</v>
      </c>
      <c r="J130" s="44" t="str">
        <f>CONCATENATE("0x",I130,",0x",I131,",0x",I132,",0x",I133,",0x",I134,",0x",I135,",0x",I136,", //",B130)</f>
        <v>0x70,0x88,0x88,0xA8,0x88,0x88,0x70, //0</v>
      </c>
    </row>
    <row r="131" spans="1:10" ht="9.75" customHeight="1" x14ac:dyDescent="0.3">
      <c r="A131" s="42"/>
      <c r="B131" s="43"/>
      <c r="C131">
        <v>1</v>
      </c>
      <c r="G131">
        <v>1</v>
      </c>
      <c r="H131">
        <f t="shared" si="18"/>
        <v>136</v>
      </c>
      <c r="I131" t="str">
        <f t="shared" si="19"/>
        <v>88</v>
      </c>
      <c r="J131" s="44"/>
    </row>
    <row r="132" spans="1:10" ht="9.75" customHeight="1" x14ac:dyDescent="0.3">
      <c r="A132" s="42"/>
      <c r="B132" s="43"/>
      <c r="C132">
        <v>1</v>
      </c>
      <c r="G132">
        <v>1</v>
      </c>
      <c r="H132">
        <f t="shared" si="18"/>
        <v>136</v>
      </c>
      <c r="I132" t="str">
        <f t="shared" si="19"/>
        <v>88</v>
      </c>
      <c r="J132" s="44"/>
    </row>
    <row r="133" spans="1:10" ht="9.75" customHeight="1" x14ac:dyDescent="0.3">
      <c r="A133" s="42"/>
      <c r="B133" s="43"/>
      <c r="C133">
        <v>1</v>
      </c>
      <c r="E133">
        <v>1</v>
      </c>
      <c r="G133">
        <v>1</v>
      </c>
      <c r="H133">
        <f t="shared" si="18"/>
        <v>168</v>
      </c>
      <c r="I133" t="str">
        <f t="shared" si="19"/>
        <v>A8</v>
      </c>
      <c r="J133" s="44"/>
    </row>
    <row r="134" spans="1:10" ht="9.75" customHeight="1" x14ac:dyDescent="0.3">
      <c r="A134" s="42"/>
      <c r="B134" s="43"/>
      <c r="C134">
        <v>1</v>
      </c>
      <c r="G134">
        <v>1</v>
      </c>
      <c r="H134">
        <f t="shared" si="18"/>
        <v>136</v>
      </c>
      <c r="I134" t="str">
        <f t="shared" si="19"/>
        <v>88</v>
      </c>
      <c r="J134" s="44"/>
    </row>
    <row r="135" spans="1:10" ht="9.75" customHeight="1" x14ac:dyDescent="0.3">
      <c r="A135" s="42"/>
      <c r="B135" s="43"/>
      <c r="C135">
        <v>1</v>
      </c>
      <c r="G135">
        <v>1</v>
      </c>
      <c r="H135">
        <f t="shared" si="18"/>
        <v>136</v>
      </c>
      <c r="I135" t="str">
        <f t="shared" si="19"/>
        <v>88</v>
      </c>
      <c r="J135" s="44"/>
    </row>
    <row r="136" spans="1:10" ht="9.75" customHeight="1" x14ac:dyDescent="0.3">
      <c r="A136" s="42"/>
      <c r="B136" s="43"/>
      <c r="D136">
        <v>1</v>
      </c>
      <c r="E136">
        <v>1</v>
      </c>
      <c r="F136">
        <v>1</v>
      </c>
      <c r="H136">
        <f t="shared" si="18"/>
        <v>112</v>
      </c>
      <c r="I136" t="str">
        <f t="shared" si="19"/>
        <v>70</v>
      </c>
      <c r="J136" s="44"/>
    </row>
    <row r="137" spans="1:10" ht="9.75" customHeight="1" x14ac:dyDescent="0.3">
      <c r="A137" s="42"/>
      <c r="B137" s="27"/>
    </row>
    <row r="138" spans="1:10" ht="9.75" customHeight="1" x14ac:dyDescent="0.3">
      <c r="A138" s="42">
        <v>49</v>
      </c>
      <c r="B138" s="43">
        <v>1</v>
      </c>
      <c r="E138">
        <v>1</v>
      </c>
      <c r="H138">
        <f>C138*C$1+D138*D$1+E138*E$1+F138*F$1+G138*G$1</f>
        <v>32</v>
      </c>
      <c r="I138" t="str">
        <f>DEC2HEX(H138,2)</f>
        <v>20</v>
      </c>
      <c r="J138" s="44" t="str">
        <f>CONCATENATE("0x",I138,",0x",I139,",0x",I140,",0x",I141,",0x",I142,",0x",I143,",0x",I144,", //",B138)</f>
        <v>0x20,0x60,0x20,0x20,0x20,0x20,0x70, //1</v>
      </c>
    </row>
    <row r="139" spans="1:10" ht="9.75" customHeight="1" x14ac:dyDescent="0.3">
      <c r="A139" s="42"/>
      <c r="B139" s="43"/>
      <c r="D139">
        <v>1</v>
      </c>
      <c r="E139">
        <v>1</v>
      </c>
      <c r="H139">
        <f t="shared" ref="H139:H152" si="20">C139*C$1+D139*D$1+E139*E$1+F139*F$1+G139*G$1</f>
        <v>96</v>
      </c>
      <c r="I139" t="str">
        <f t="shared" ref="I139:I152" si="21">DEC2HEX(H139,2)</f>
        <v>60</v>
      </c>
      <c r="J139" s="44"/>
    </row>
    <row r="140" spans="1:10" ht="9.75" customHeight="1" x14ac:dyDescent="0.3">
      <c r="A140" s="42"/>
      <c r="B140" s="43"/>
      <c r="E140">
        <v>1</v>
      </c>
      <c r="H140">
        <f t="shared" si="20"/>
        <v>32</v>
      </c>
      <c r="I140" t="str">
        <f t="shared" si="21"/>
        <v>20</v>
      </c>
      <c r="J140" s="44"/>
    </row>
    <row r="141" spans="1:10" ht="9.75" customHeight="1" x14ac:dyDescent="0.3">
      <c r="A141" s="42"/>
      <c r="B141" s="43"/>
      <c r="E141">
        <v>1</v>
      </c>
      <c r="H141">
        <f t="shared" si="20"/>
        <v>32</v>
      </c>
      <c r="I141" t="str">
        <f t="shared" si="21"/>
        <v>20</v>
      </c>
      <c r="J141" s="44"/>
    </row>
    <row r="142" spans="1:10" ht="9.75" customHeight="1" x14ac:dyDescent="0.3">
      <c r="A142" s="42"/>
      <c r="B142" s="43"/>
      <c r="E142">
        <v>1</v>
      </c>
      <c r="H142">
        <f t="shared" si="20"/>
        <v>32</v>
      </c>
      <c r="I142" t="str">
        <f t="shared" si="21"/>
        <v>20</v>
      </c>
      <c r="J142" s="44"/>
    </row>
    <row r="143" spans="1:10" ht="9.75" customHeight="1" x14ac:dyDescent="0.3">
      <c r="A143" s="42"/>
      <c r="B143" s="43"/>
      <c r="E143">
        <v>1</v>
      </c>
      <c r="H143">
        <f t="shared" si="20"/>
        <v>32</v>
      </c>
      <c r="I143" t="str">
        <f t="shared" si="21"/>
        <v>20</v>
      </c>
      <c r="J143" s="44"/>
    </row>
    <row r="144" spans="1:10" ht="9.75" customHeight="1" x14ac:dyDescent="0.3">
      <c r="A144" s="42"/>
      <c r="B144" s="43"/>
      <c r="D144">
        <v>1</v>
      </c>
      <c r="E144">
        <v>1</v>
      </c>
      <c r="F144">
        <v>1</v>
      </c>
      <c r="H144">
        <f t="shared" si="20"/>
        <v>112</v>
      </c>
      <c r="I144" t="str">
        <f t="shared" si="21"/>
        <v>70</v>
      </c>
      <c r="J144" s="44"/>
    </row>
    <row r="145" spans="1:10" ht="9.75" customHeight="1" x14ac:dyDescent="0.3">
      <c r="A145" s="42"/>
      <c r="B145" s="27"/>
    </row>
    <row r="146" spans="1:10" ht="9.75" customHeight="1" x14ac:dyDescent="0.3">
      <c r="A146" s="42">
        <v>50</v>
      </c>
      <c r="B146" s="43">
        <v>2</v>
      </c>
      <c r="D146">
        <v>1</v>
      </c>
      <c r="E146">
        <v>1</v>
      </c>
      <c r="F146">
        <v>1</v>
      </c>
      <c r="H146">
        <f t="shared" si="20"/>
        <v>112</v>
      </c>
      <c r="I146" t="str">
        <f t="shared" si="21"/>
        <v>70</v>
      </c>
      <c r="J146" s="44" t="str">
        <f>CONCATENATE("0x",I146,",0x",I147,",0x",I148,",0x",I149,",0x",I150,",0x",I151,",0x",I152,", //",B146)</f>
        <v>0x70,0x88,0x08,0x70,0x80,0x80,0xF8, //2</v>
      </c>
    </row>
    <row r="147" spans="1:10" ht="9.75" customHeight="1" x14ac:dyDescent="0.3">
      <c r="A147" s="42"/>
      <c r="B147" s="43"/>
      <c r="C147">
        <v>1</v>
      </c>
      <c r="G147">
        <v>1</v>
      </c>
      <c r="H147">
        <f t="shared" si="20"/>
        <v>136</v>
      </c>
      <c r="I147" t="str">
        <f t="shared" si="21"/>
        <v>88</v>
      </c>
      <c r="J147" s="44"/>
    </row>
    <row r="148" spans="1:10" ht="9.75" customHeight="1" x14ac:dyDescent="0.3">
      <c r="A148" s="42"/>
      <c r="B148" s="43"/>
      <c r="G148">
        <v>1</v>
      </c>
      <c r="H148">
        <f t="shared" si="20"/>
        <v>8</v>
      </c>
      <c r="I148" t="str">
        <f t="shared" si="21"/>
        <v>08</v>
      </c>
      <c r="J148" s="44"/>
    </row>
    <row r="149" spans="1:10" ht="9.75" customHeight="1" x14ac:dyDescent="0.3">
      <c r="A149" s="42"/>
      <c r="B149" s="43"/>
      <c r="D149">
        <v>1</v>
      </c>
      <c r="E149">
        <v>1</v>
      </c>
      <c r="F149">
        <v>1</v>
      </c>
      <c r="H149">
        <f t="shared" si="20"/>
        <v>112</v>
      </c>
      <c r="I149" t="str">
        <f t="shared" si="21"/>
        <v>70</v>
      </c>
      <c r="J149" s="44"/>
    </row>
    <row r="150" spans="1:10" ht="9.75" customHeight="1" x14ac:dyDescent="0.3">
      <c r="A150" s="42"/>
      <c r="B150" s="43"/>
      <c r="C150">
        <v>1</v>
      </c>
      <c r="H150">
        <f t="shared" si="20"/>
        <v>128</v>
      </c>
      <c r="I150" t="str">
        <f t="shared" si="21"/>
        <v>80</v>
      </c>
      <c r="J150" s="44"/>
    </row>
    <row r="151" spans="1:10" ht="9.75" customHeight="1" x14ac:dyDescent="0.3">
      <c r="A151" s="42"/>
      <c r="B151" s="43"/>
      <c r="C151">
        <v>1</v>
      </c>
      <c r="H151">
        <f t="shared" si="20"/>
        <v>128</v>
      </c>
      <c r="I151" t="str">
        <f t="shared" si="21"/>
        <v>80</v>
      </c>
      <c r="J151" s="44"/>
    </row>
    <row r="152" spans="1:10" ht="9.75" customHeight="1" x14ac:dyDescent="0.3">
      <c r="A152" s="42"/>
      <c r="B152" s="43"/>
      <c r="C152">
        <v>1</v>
      </c>
      <c r="D152">
        <v>1</v>
      </c>
      <c r="E152">
        <v>1</v>
      </c>
      <c r="F152">
        <v>1</v>
      </c>
      <c r="G152">
        <v>1</v>
      </c>
      <c r="H152">
        <f t="shared" si="20"/>
        <v>248</v>
      </c>
      <c r="I152" t="str">
        <f t="shared" si="21"/>
        <v>F8</v>
      </c>
      <c r="J152" s="44"/>
    </row>
    <row r="153" spans="1:10" ht="9.75" customHeight="1" x14ac:dyDescent="0.3">
      <c r="A153" s="42"/>
    </row>
    <row r="154" spans="1:10" ht="9.75" customHeight="1" x14ac:dyDescent="0.3">
      <c r="A154" s="42">
        <v>51</v>
      </c>
      <c r="B154" s="43">
        <v>3</v>
      </c>
      <c r="D154">
        <v>1</v>
      </c>
      <c r="E154">
        <v>1</v>
      </c>
      <c r="F154">
        <v>1</v>
      </c>
      <c r="H154">
        <f t="shared" ref="H154:H160" si="22">C154*C$1+D154*D$1+E154*E$1+F154*F$1+G154*G$1</f>
        <v>112</v>
      </c>
      <c r="I154" t="str">
        <f t="shared" ref="I154:I160" si="23">DEC2HEX(H154,2)</f>
        <v>70</v>
      </c>
      <c r="J154" s="44" t="str">
        <f>CONCATENATE("0x",I154,",0x",I155,",0x",I156,",0x",I157,",0x",I158,",0x",I159,",0x",I160,", //",B154)</f>
        <v>0x70,0x88,0x08,0x70,0x08,0x88,0x70, //3</v>
      </c>
    </row>
    <row r="155" spans="1:10" ht="9.75" customHeight="1" x14ac:dyDescent="0.3">
      <c r="A155" s="42"/>
      <c r="B155" s="43"/>
      <c r="C155">
        <v>1</v>
      </c>
      <c r="G155">
        <v>1</v>
      </c>
      <c r="H155">
        <f t="shared" si="22"/>
        <v>136</v>
      </c>
      <c r="I155" t="str">
        <f t="shared" si="23"/>
        <v>88</v>
      </c>
      <c r="J155" s="44"/>
    </row>
    <row r="156" spans="1:10" ht="9.75" customHeight="1" x14ac:dyDescent="0.3">
      <c r="A156" s="42"/>
      <c r="B156" s="43"/>
      <c r="G156">
        <v>1</v>
      </c>
      <c r="H156">
        <f t="shared" si="22"/>
        <v>8</v>
      </c>
      <c r="I156" t="str">
        <f t="shared" si="23"/>
        <v>08</v>
      </c>
      <c r="J156" s="44"/>
    </row>
    <row r="157" spans="1:10" ht="9.75" customHeight="1" x14ac:dyDescent="0.3">
      <c r="A157" s="42"/>
      <c r="B157" s="43"/>
      <c r="D157">
        <v>1</v>
      </c>
      <c r="E157">
        <v>1</v>
      </c>
      <c r="F157">
        <v>1</v>
      </c>
      <c r="H157">
        <f t="shared" si="22"/>
        <v>112</v>
      </c>
      <c r="I157" t="str">
        <f t="shared" si="23"/>
        <v>70</v>
      </c>
      <c r="J157" s="44"/>
    </row>
    <row r="158" spans="1:10" ht="9.75" customHeight="1" x14ac:dyDescent="0.3">
      <c r="A158" s="42"/>
      <c r="B158" s="43"/>
      <c r="G158">
        <v>1</v>
      </c>
      <c r="H158">
        <f t="shared" si="22"/>
        <v>8</v>
      </c>
      <c r="I158" t="str">
        <f t="shared" si="23"/>
        <v>08</v>
      </c>
      <c r="J158" s="44"/>
    </row>
    <row r="159" spans="1:10" ht="9.75" customHeight="1" x14ac:dyDescent="0.3">
      <c r="A159" s="42"/>
      <c r="B159" s="43"/>
      <c r="C159">
        <v>1</v>
      </c>
      <c r="G159">
        <v>1</v>
      </c>
      <c r="H159">
        <f t="shared" si="22"/>
        <v>136</v>
      </c>
      <c r="I159" t="str">
        <f t="shared" si="23"/>
        <v>88</v>
      </c>
      <c r="J159" s="44"/>
    </row>
    <row r="160" spans="1:10" ht="9.75" customHeight="1" x14ac:dyDescent="0.3">
      <c r="A160" s="42"/>
      <c r="B160" s="43"/>
      <c r="D160">
        <v>1</v>
      </c>
      <c r="E160">
        <v>1</v>
      </c>
      <c r="F160">
        <v>1</v>
      </c>
      <c r="H160">
        <f t="shared" si="22"/>
        <v>112</v>
      </c>
      <c r="I160" t="str">
        <f t="shared" si="23"/>
        <v>70</v>
      </c>
      <c r="J160" s="44"/>
    </row>
    <row r="161" spans="1:10" ht="9.75" customHeight="1" x14ac:dyDescent="0.3">
      <c r="A161" s="42"/>
    </row>
    <row r="162" spans="1:10" ht="9.75" customHeight="1" x14ac:dyDescent="0.3">
      <c r="A162" s="42">
        <v>52</v>
      </c>
      <c r="B162" s="43">
        <v>4</v>
      </c>
      <c r="C162">
        <v>1</v>
      </c>
      <c r="G162">
        <v>1</v>
      </c>
      <c r="H162">
        <f t="shared" ref="H162:H168" si="24">C162*C$1+D162*D$1+E162*E$1+F162*F$1+G162*G$1</f>
        <v>136</v>
      </c>
      <c r="I162" t="str">
        <f t="shared" ref="I162:I168" si="25">DEC2HEX(H162,2)</f>
        <v>88</v>
      </c>
      <c r="J162" s="44" t="str">
        <f>CONCATENATE("0x",I162,",0x",I163,",0x",I164,",0x",I165,",0x",I166,",0x",I167,",0x",I168,", //",B162)</f>
        <v>0x88,0x88,0x88,0xF8,0x08,0x08,0x08, //4</v>
      </c>
    </row>
    <row r="163" spans="1:10" ht="9.75" customHeight="1" x14ac:dyDescent="0.3">
      <c r="A163" s="42"/>
      <c r="B163" s="43"/>
      <c r="C163">
        <v>1</v>
      </c>
      <c r="G163">
        <v>1</v>
      </c>
      <c r="H163">
        <f t="shared" si="24"/>
        <v>136</v>
      </c>
      <c r="I163" t="str">
        <f t="shared" si="25"/>
        <v>88</v>
      </c>
      <c r="J163" s="44"/>
    </row>
    <row r="164" spans="1:10" ht="9.75" customHeight="1" x14ac:dyDescent="0.3">
      <c r="A164" s="42"/>
      <c r="B164" s="43"/>
      <c r="C164">
        <v>1</v>
      </c>
      <c r="G164">
        <v>1</v>
      </c>
      <c r="H164">
        <f t="shared" si="24"/>
        <v>136</v>
      </c>
      <c r="I164" t="str">
        <f t="shared" si="25"/>
        <v>88</v>
      </c>
      <c r="J164" s="44"/>
    </row>
    <row r="165" spans="1:10" ht="9.75" customHeight="1" x14ac:dyDescent="0.3">
      <c r="A165" s="42"/>
      <c r="B165" s="43"/>
      <c r="C165">
        <v>1</v>
      </c>
      <c r="D165">
        <v>1</v>
      </c>
      <c r="E165">
        <v>1</v>
      </c>
      <c r="F165">
        <v>1</v>
      </c>
      <c r="G165">
        <v>1</v>
      </c>
      <c r="H165">
        <f t="shared" si="24"/>
        <v>248</v>
      </c>
      <c r="I165" t="str">
        <f t="shared" si="25"/>
        <v>F8</v>
      </c>
      <c r="J165" s="44"/>
    </row>
    <row r="166" spans="1:10" ht="9.75" customHeight="1" x14ac:dyDescent="0.3">
      <c r="A166" s="42"/>
      <c r="B166" s="43"/>
      <c r="G166">
        <v>1</v>
      </c>
      <c r="H166">
        <f t="shared" si="24"/>
        <v>8</v>
      </c>
      <c r="I166" t="str">
        <f t="shared" si="25"/>
        <v>08</v>
      </c>
      <c r="J166" s="44"/>
    </row>
    <row r="167" spans="1:10" ht="9.75" customHeight="1" x14ac:dyDescent="0.3">
      <c r="A167" s="42"/>
      <c r="B167" s="43"/>
      <c r="G167">
        <v>1</v>
      </c>
      <c r="H167">
        <f t="shared" si="24"/>
        <v>8</v>
      </c>
      <c r="I167" t="str">
        <f t="shared" si="25"/>
        <v>08</v>
      </c>
      <c r="J167" s="44"/>
    </row>
    <row r="168" spans="1:10" ht="9.75" customHeight="1" x14ac:dyDescent="0.3">
      <c r="A168" s="42"/>
      <c r="B168" s="43"/>
      <c r="G168">
        <v>1</v>
      </c>
      <c r="H168">
        <f t="shared" si="24"/>
        <v>8</v>
      </c>
      <c r="I168" t="str">
        <f t="shared" si="25"/>
        <v>08</v>
      </c>
      <c r="J168" s="44"/>
    </row>
    <row r="169" spans="1:10" ht="9.75" customHeight="1" x14ac:dyDescent="0.3">
      <c r="A169" s="42"/>
      <c r="B169" s="27"/>
    </row>
    <row r="170" spans="1:10" ht="9.75" customHeight="1" x14ac:dyDescent="0.3">
      <c r="A170" s="42">
        <v>53</v>
      </c>
      <c r="B170" s="43">
        <v>5</v>
      </c>
      <c r="C170">
        <v>1</v>
      </c>
      <c r="D170">
        <v>1</v>
      </c>
      <c r="E170">
        <v>1</v>
      </c>
      <c r="F170">
        <v>1</v>
      </c>
      <c r="G170">
        <v>1</v>
      </c>
      <c r="H170">
        <f t="shared" ref="H170:H176" si="26">C170*C$1+D170*D$1+E170*E$1+F170*F$1+G170*G$1</f>
        <v>248</v>
      </c>
      <c r="I170" t="str">
        <f t="shared" ref="I170:I512" si="27">DEC2HEX(H170,2)</f>
        <v>F8</v>
      </c>
      <c r="J170" s="44" t="str">
        <f>CONCATENATE("0x",I170,",0x",I171,",0x",I172,",0x",I173,",0x",I174,",0x",I175,",0x",I176,", //",B170)</f>
        <v>0xF8,0x80,0x80,0xF0,0x08,0x88,0x70, //5</v>
      </c>
    </row>
    <row r="171" spans="1:10" ht="9.75" customHeight="1" x14ac:dyDescent="0.3">
      <c r="A171" s="42"/>
      <c r="B171" s="43"/>
      <c r="C171">
        <v>1</v>
      </c>
      <c r="H171">
        <f t="shared" si="26"/>
        <v>128</v>
      </c>
      <c r="I171" t="str">
        <f t="shared" si="27"/>
        <v>80</v>
      </c>
      <c r="J171" s="44"/>
    </row>
    <row r="172" spans="1:10" ht="9.75" customHeight="1" x14ac:dyDescent="0.3">
      <c r="A172" s="42"/>
      <c r="B172" s="43"/>
      <c r="C172">
        <v>1</v>
      </c>
      <c r="H172">
        <f t="shared" si="26"/>
        <v>128</v>
      </c>
      <c r="I172" t="str">
        <f t="shared" si="27"/>
        <v>80</v>
      </c>
      <c r="J172" s="44"/>
    </row>
    <row r="173" spans="1:10" ht="9.75" customHeight="1" x14ac:dyDescent="0.3">
      <c r="A173" s="42"/>
      <c r="B173" s="43"/>
      <c r="C173">
        <v>1</v>
      </c>
      <c r="D173">
        <v>1</v>
      </c>
      <c r="E173">
        <v>1</v>
      </c>
      <c r="F173">
        <v>1</v>
      </c>
      <c r="H173">
        <f t="shared" si="26"/>
        <v>240</v>
      </c>
      <c r="I173" t="str">
        <f t="shared" si="27"/>
        <v>F0</v>
      </c>
      <c r="J173" s="44"/>
    </row>
    <row r="174" spans="1:10" ht="9.75" customHeight="1" x14ac:dyDescent="0.3">
      <c r="A174" s="42"/>
      <c r="B174" s="43"/>
      <c r="G174">
        <v>1</v>
      </c>
      <c r="H174">
        <f t="shared" si="26"/>
        <v>8</v>
      </c>
      <c r="I174" t="str">
        <f t="shared" si="27"/>
        <v>08</v>
      </c>
      <c r="J174" s="44"/>
    </row>
    <row r="175" spans="1:10" ht="9.75" customHeight="1" x14ac:dyDescent="0.3">
      <c r="A175" s="42"/>
      <c r="B175" s="43"/>
      <c r="C175">
        <v>1</v>
      </c>
      <c r="G175">
        <v>1</v>
      </c>
      <c r="H175">
        <f t="shared" si="26"/>
        <v>136</v>
      </c>
      <c r="I175" t="str">
        <f t="shared" si="27"/>
        <v>88</v>
      </c>
      <c r="J175" s="44"/>
    </row>
    <row r="176" spans="1:10" ht="9.75" customHeight="1" x14ac:dyDescent="0.3">
      <c r="A176" s="42"/>
      <c r="B176" s="43"/>
      <c r="D176">
        <v>1</v>
      </c>
      <c r="E176">
        <v>1</v>
      </c>
      <c r="F176">
        <v>1</v>
      </c>
      <c r="H176">
        <f t="shared" si="26"/>
        <v>112</v>
      </c>
      <c r="I176" t="str">
        <f t="shared" si="27"/>
        <v>70</v>
      </c>
      <c r="J176" s="44"/>
    </row>
    <row r="177" spans="1:10" ht="9.75" customHeight="1" x14ac:dyDescent="0.3">
      <c r="A177" s="42"/>
      <c r="B177" s="27"/>
    </row>
    <row r="178" spans="1:10" ht="9.75" customHeight="1" x14ac:dyDescent="0.3">
      <c r="A178" s="42">
        <v>54</v>
      </c>
      <c r="B178" s="43">
        <v>6</v>
      </c>
      <c r="D178">
        <v>1</v>
      </c>
      <c r="E178">
        <v>1</v>
      </c>
      <c r="F178">
        <v>1</v>
      </c>
      <c r="H178">
        <f t="shared" ref="H178:H184" si="28">C178*C$1+D178*D$1+E178*E$1+F178*F$1+G178*G$1</f>
        <v>112</v>
      </c>
      <c r="I178" t="str">
        <f t="shared" si="27"/>
        <v>70</v>
      </c>
      <c r="J178" s="44" t="str">
        <f>CONCATENATE("0x",I178,",0x",I179,",0x",I180,",0x",I181,",0x",I182,",0x",I183,",0x",I184,", //",B178)</f>
        <v>0x70,0x88,0x80,0xF0,0x88,0x88,0x70, //6</v>
      </c>
    </row>
    <row r="179" spans="1:10" ht="9.75" customHeight="1" x14ac:dyDescent="0.3">
      <c r="A179" s="42"/>
      <c r="B179" s="43"/>
      <c r="C179">
        <v>1</v>
      </c>
      <c r="G179">
        <v>1</v>
      </c>
      <c r="H179">
        <f t="shared" si="28"/>
        <v>136</v>
      </c>
      <c r="I179" t="str">
        <f t="shared" si="27"/>
        <v>88</v>
      </c>
      <c r="J179" s="44"/>
    </row>
    <row r="180" spans="1:10" ht="9.75" customHeight="1" x14ac:dyDescent="0.3">
      <c r="A180" s="42"/>
      <c r="B180" s="43"/>
      <c r="C180">
        <v>1</v>
      </c>
      <c r="H180">
        <f t="shared" si="28"/>
        <v>128</v>
      </c>
      <c r="I180" t="str">
        <f t="shared" si="27"/>
        <v>80</v>
      </c>
      <c r="J180" s="44"/>
    </row>
    <row r="181" spans="1:10" ht="9.75" customHeight="1" x14ac:dyDescent="0.3">
      <c r="A181" s="42"/>
      <c r="B181" s="43"/>
      <c r="C181">
        <v>1</v>
      </c>
      <c r="D181">
        <v>1</v>
      </c>
      <c r="E181">
        <v>1</v>
      </c>
      <c r="F181">
        <v>1</v>
      </c>
      <c r="H181">
        <f t="shared" si="28"/>
        <v>240</v>
      </c>
      <c r="I181" t="str">
        <f t="shared" si="27"/>
        <v>F0</v>
      </c>
      <c r="J181" s="44"/>
    </row>
    <row r="182" spans="1:10" ht="9.75" customHeight="1" x14ac:dyDescent="0.3">
      <c r="A182" s="42"/>
      <c r="B182" s="43"/>
      <c r="C182">
        <v>1</v>
      </c>
      <c r="G182">
        <v>1</v>
      </c>
      <c r="H182">
        <f t="shared" si="28"/>
        <v>136</v>
      </c>
      <c r="I182" t="str">
        <f t="shared" si="27"/>
        <v>88</v>
      </c>
      <c r="J182" s="44"/>
    </row>
    <row r="183" spans="1:10" ht="9.75" customHeight="1" x14ac:dyDescent="0.3">
      <c r="A183" s="42"/>
      <c r="B183" s="43"/>
      <c r="C183">
        <v>1</v>
      </c>
      <c r="G183">
        <v>1</v>
      </c>
      <c r="H183">
        <f t="shared" si="28"/>
        <v>136</v>
      </c>
      <c r="I183" t="str">
        <f t="shared" si="27"/>
        <v>88</v>
      </c>
      <c r="J183" s="44"/>
    </row>
    <row r="184" spans="1:10" ht="9.75" customHeight="1" x14ac:dyDescent="0.3">
      <c r="A184" s="42"/>
      <c r="B184" s="43"/>
      <c r="D184">
        <v>1</v>
      </c>
      <c r="E184">
        <v>1</v>
      </c>
      <c r="F184">
        <v>1</v>
      </c>
      <c r="H184">
        <f t="shared" si="28"/>
        <v>112</v>
      </c>
      <c r="I184" t="str">
        <f t="shared" si="27"/>
        <v>70</v>
      </c>
      <c r="J184" s="44"/>
    </row>
    <row r="185" spans="1:10" ht="9.75" customHeight="1" x14ac:dyDescent="0.3">
      <c r="A185" s="42"/>
    </row>
    <row r="186" spans="1:10" ht="9.75" customHeight="1" x14ac:dyDescent="0.3">
      <c r="A186" s="42">
        <v>55</v>
      </c>
      <c r="B186" s="43">
        <v>7</v>
      </c>
      <c r="C186">
        <v>1</v>
      </c>
      <c r="D186">
        <v>1</v>
      </c>
      <c r="E186">
        <v>1</v>
      </c>
      <c r="F186">
        <v>1</v>
      </c>
      <c r="G186">
        <v>1</v>
      </c>
      <c r="H186">
        <f t="shared" ref="H186:H192" si="29">C186*C$1+D186*D$1+E186*E$1+F186*F$1+G186*G$1</f>
        <v>248</v>
      </c>
      <c r="I186" t="str">
        <f t="shared" si="27"/>
        <v>F8</v>
      </c>
      <c r="J186" s="44" t="str">
        <f>CONCATENATE("0x",I186,",0x",I187,",0x",I188,",0x",I189,",0x",I190,",0x",I191,",0x",I192,", //",B186)</f>
        <v>0xF8,0x08,0x10,0x20,0x40,0x40,0x40, //7</v>
      </c>
    </row>
    <row r="187" spans="1:10" ht="9.75" customHeight="1" x14ac:dyDescent="0.3">
      <c r="A187" s="42"/>
      <c r="B187" s="43"/>
      <c r="G187">
        <v>1</v>
      </c>
      <c r="H187">
        <f t="shared" si="29"/>
        <v>8</v>
      </c>
      <c r="I187" t="str">
        <f t="shared" si="27"/>
        <v>08</v>
      </c>
      <c r="J187" s="44"/>
    </row>
    <row r="188" spans="1:10" ht="9.75" customHeight="1" x14ac:dyDescent="0.3">
      <c r="A188" s="42"/>
      <c r="B188" s="43"/>
      <c r="F188">
        <v>1</v>
      </c>
      <c r="H188">
        <f t="shared" si="29"/>
        <v>16</v>
      </c>
      <c r="I188" t="str">
        <f t="shared" si="27"/>
        <v>10</v>
      </c>
      <c r="J188" s="44"/>
    </row>
    <row r="189" spans="1:10" ht="9.75" customHeight="1" x14ac:dyDescent="0.3">
      <c r="A189" s="42"/>
      <c r="B189" s="43"/>
      <c r="E189">
        <v>1</v>
      </c>
      <c r="H189">
        <f t="shared" si="29"/>
        <v>32</v>
      </c>
      <c r="I189" t="str">
        <f t="shared" si="27"/>
        <v>20</v>
      </c>
      <c r="J189" s="44"/>
    </row>
    <row r="190" spans="1:10" ht="9.75" customHeight="1" x14ac:dyDescent="0.3">
      <c r="A190" s="42"/>
      <c r="B190" s="43"/>
      <c r="D190">
        <v>1</v>
      </c>
      <c r="H190">
        <f t="shared" si="29"/>
        <v>64</v>
      </c>
      <c r="I190" t="str">
        <f t="shared" si="27"/>
        <v>40</v>
      </c>
      <c r="J190" s="44"/>
    </row>
    <row r="191" spans="1:10" ht="9.75" customHeight="1" x14ac:dyDescent="0.3">
      <c r="A191" s="42"/>
      <c r="B191" s="43"/>
      <c r="D191">
        <v>1</v>
      </c>
      <c r="H191">
        <f t="shared" si="29"/>
        <v>64</v>
      </c>
      <c r="I191" t="str">
        <f t="shared" si="27"/>
        <v>40</v>
      </c>
      <c r="J191" s="44"/>
    </row>
    <row r="192" spans="1:10" ht="9.75" customHeight="1" x14ac:dyDescent="0.3">
      <c r="A192" s="42"/>
      <c r="B192" s="43"/>
      <c r="D192">
        <v>1</v>
      </c>
      <c r="H192">
        <f t="shared" si="29"/>
        <v>64</v>
      </c>
      <c r="I192" t="str">
        <f t="shared" si="27"/>
        <v>40</v>
      </c>
      <c r="J192" s="44"/>
    </row>
    <row r="193" spans="1:10" ht="9.75" customHeight="1" x14ac:dyDescent="0.3">
      <c r="A193" s="42"/>
    </row>
    <row r="194" spans="1:10" ht="9.75" customHeight="1" x14ac:dyDescent="0.3">
      <c r="A194" s="42">
        <v>56</v>
      </c>
      <c r="B194" s="43">
        <v>8</v>
      </c>
      <c r="D194">
        <v>1</v>
      </c>
      <c r="E194">
        <v>1</v>
      </c>
      <c r="F194">
        <v>1</v>
      </c>
      <c r="H194">
        <f t="shared" ref="H194:H200" si="30">C194*C$1+D194*D$1+E194*E$1+F194*F$1+G194*G$1</f>
        <v>112</v>
      </c>
      <c r="I194" t="str">
        <f t="shared" si="27"/>
        <v>70</v>
      </c>
      <c r="J194" s="44" t="str">
        <f>CONCATENATE("0x",I194,",0x",I195,",0x",I196,",0x",I197,",0x",I198,",0x",I199,",0x",I200,", //",B194)</f>
        <v>0x70,0x88,0x88,0x70,0x88,0x88,0x70, //8</v>
      </c>
    </row>
    <row r="195" spans="1:10" ht="9.75" customHeight="1" x14ac:dyDescent="0.3">
      <c r="A195" s="42"/>
      <c r="B195" s="43"/>
      <c r="C195">
        <v>1</v>
      </c>
      <c r="G195">
        <v>1</v>
      </c>
      <c r="H195">
        <f t="shared" si="30"/>
        <v>136</v>
      </c>
      <c r="I195" t="str">
        <f t="shared" si="27"/>
        <v>88</v>
      </c>
      <c r="J195" s="44"/>
    </row>
    <row r="196" spans="1:10" ht="9.75" customHeight="1" x14ac:dyDescent="0.3">
      <c r="A196" s="42"/>
      <c r="B196" s="43"/>
      <c r="C196">
        <v>1</v>
      </c>
      <c r="G196">
        <v>1</v>
      </c>
      <c r="H196">
        <f t="shared" si="30"/>
        <v>136</v>
      </c>
      <c r="I196" t="str">
        <f t="shared" si="27"/>
        <v>88</v>
      </c>
      <c r="J196" s="44"/>
    </row>
    <row r="197" spans="1:10" ht="9.75" customHeight="1" x14ac:dyDescent="0.3">
      <c r="A197" s="42"/>
      <c r="B197" s="43"/>
      <c r="D197">
        <v>1</v>
      </c>
      <c r="E197">
        <v>1</v>
      </c>
      <c r="F197">
        <v>1</v>
      </c>
      <c r="H197">
        <f t="shared" si="30"/>
        <v>112</v>
      </c>
      <c r="I197" t="str">
        <f t="shared" si="27"/>
        <v>70</v>
      </c>
      <c r="J197" s="44"/>
    </row>
    <row r="198" spans="1:10" ht="9.75" customHeight="1" x14ac:dyDescent="0.3">
      <c r="A198" s="42"/>
      <c r="B198" s="43"/>
      <c r="C198">
        <v>1</v>
      </c>
      <c r="G198">
        <v>1</v>
      </c>
      <c r="H198">
        <f t="shared" si="30"/>
        <v>136</v>
      </c>
      <c r="I198" t="str">
        <f t="shared" si="27"/>
        <v>88</v>
      </c>
      <c r="J198" s="44"/>
    </row>
    <row r="199" spans="1:10" ht="9.75" customHeight="1" x14ac:dyDescent="0.3">
      <c r="A199" s="42"/>
      <c r="B199" s="43"/>
      <c r="C199">
        <v>1</v>
      </c>
      <c r="G199">
        <v>1</v>
      </c>
      <c r="H199">
        <f t="shared" si="30"/>
        <v>136</v>
      </c>
      <c r="I199" t="str">
        <f t="shared" si="27"/>
        <v>88</v>
      </c>
      <c r="J199" s="44"/>
    </row>
    <row r="200" spans="1:10" ht="9.75" customHeight="1" x14ac:dyDescent="0.3">
      <c r="A200" s="42"/>
      <c r="B200" s="43"/>
      <c r="D200">
        <v>1</v>
      </c>
      <c r="E200">
        <v>1</v>
      </c>
      <c r="F200">
        <v>1</v>
      </c>
      <c r="H200">
        <f t="shared" si="30"/>
        <v>112</v>
      </c>
      <c r="I200" t="str">
        <f t="shared" si="27"/>
        <v>70</v>
      </c>
      <c r="J200" s="44"/>
    </row>
    <row r="201" spans="1:10" ht="9.75" customHeight="1" x14ac:dyDescent="0.3">
      <c r="A201" s="42"/>
    </row>
    <row r="202" spans="1:10" ht="9.75" customHeight="1" x14ac:dyDescent="0.3">
      <c r="A202" s="42">
        <v>57</v>
      </c>
      <c r="B202" s="43">
        <v>9</v>
      </c>
      <c r="D202">
        <v>1</v>
      </c>
      <c r="E202">
        <v>1</v>
      </c>
      <c r="F202">
        <v>1</v>
      </c>
      <c r="H202">
        <f t="shared" ref="H202:H512" si="31">C202*C$1+D202*D$1+E202*E$1+F202*F$1+G202*G$1</f>
        <v>112</v>
      </c>
      <c r="I202" t="str">
        <f t="shared" si="27"/>
        <v>70</v>
      </c>
      <c r="J202" s="44" t="str">
        <f>CONCATENATE("0x",I202,",0x",I203,",0x",I204,",0x",I205,",0x",I206,",0x",I207,",0x",I208,", //",B202)</f>
        <v>0x70,0x88,0x88,0x78,0x08,0x88,0x70, //9</v>
      </c>
    </row>
    <row r="203" spans="1:10" ht="9.75" customHeight="1" x14ac:dyDescent="0.3">
      <c r="A203" s="42"/>
      <c r="B203" s="43"/>
      <c r="C203">
        <v>1</v>
      </c>
      <c r="G203">
        <v>1</v>
      </c>
      <c r="H203">
        <f t="shared" si="31"/>
        <v>136</v>
      </c>
      <c r="I203" t="str">
        <f t="shared" si="27"/>
        <v>88</v>
      </c>
      <c r="J203" s="44"/>
    </row>
    <row r="204" spans="1:10" ht="9.75" customHeight="1" x14ac:dyDescent="0.3">
      <c r="A204" s="42"/>
      <c r="B204" s="43"/>
      <c r="C204">
        <v>1</v>
      </c>
      <c r="G204">
        <v>1</v>
      </c>
      <c r="H204">
        <f t="shared" si="31"/>
        <v>136</v>
      </c>
      <c r="I204" t="str">
        <f t="shared" si="27"/>
        <v>88</v>
      </c>
      <c r="J204" s="44"/>
    </row>
    <row r="205" spans="1:10" ht="9.75" customHeight="1" x14ac:dyDescent="0.3">
      <c r="A205" s="42"/>
      <c r="B205" s="43"/>
      <c r="D205">
        <v>1</v>
      </c>
      <c r="E205">
        <v>1</v>
      </c>
      <c r="F205">
        <v>1</v>
      </c>
      <c r="G205">
        <v>1</v>
      </c>
      <c r="H205">
        <f t="shared" si="31"/>
        <v>120</v>
      </c>
      <c r="I205" t="str">
        <f t="shared" si="27"/>
        <v>78</v>
      </c>
      <c r="J205" s="44"/>
    </row>
    <row r="206" spans="1:10" ht="9.75" customHeight="1" x14ac:dyDescent="0.3">
      <c r="A206" s="42"/>
      <c r="B206" s="43"/>
      <c r="G206">
        <v>1</v>
      </c>
      <c r="H206">
        <f t="shared" si="31"/>
        <v>8</v>
      </c>
      <c r="I206" t="str">
        <f t="shared" si="27"/>
        <v>08</v>
      </c>
      <c r="J206" s="44"/>
    </row>
    <row r="207" spans="1:10" ht="9.75" customHeight="1" x14ac:dyDescent="0.3">
      <c r="A207" s="42"/>
      <c r="B207" s="43"/>
      <c r="C207">
        <v>1</v>
      </c>
      <c r="G207">
        <v>1</v>
      </c>
      <c r="H207">
        <f t="shared" si="31"/>
        <v>136</v>
      </c>
      <c r="I207" t="str">
        <f t="shared" si="27"/>
        <v>88</v>
      </c>
      <c r="J207" s="44"/>
    </row>
    <row r="208" spans="1:10" ht="9.75" customHeight="1" x14ac:dyDescent="0.3">
      <c r="A208" s="42"/>
      <c r="B208" s="43"/>
      <c r="D208">
        <v>1</v>
      </c>
      <c r="E208">
        <v>1</v>
      </c>
      <c r="F208">
        <v>1</v>
      </c>
      <c r="H208">
        <f t="shared" si="31"/>
        <v>112</v>
      </c>
      <c r="I208" t="str">
        <f t="shared" si="27"/>
        <v>70</v>
      </c>
      <c r="J208" s="44"/>
    </row>
    <row r="209" spans="1:10" ht="9.75" customHeight="1" x14ac:dyDescent="0.3">
      <c r="A209" s="42"/>
      <c r="B209" s="27"/>
      <c r="J209" s="26"/>
    </row>
    <row r="210" spans="1:10" ht="9.75" customHeight="1" x14ac:dyDescent="0.3">
      <c r="A210" s="42">
        <v>58</v>
      </c>
      <c r="B210" s="43" t="s">
        <v>114</v>
      </c>
      <c r="H210">
        <f t="shared" ref="H210:H216" si="32">C210*C$1+D210*D$1+E210*E$1+F210*F$1+G210*G$1</f>
        <v>0</v>
      </c>
      <c r="I210" t="str">
        <f t="shared" ref="I210:I216" si="33">DEC2HEX(H210,2)</f>
        <v>00</v>
      </c>
      <c r="J210" s="44" t="str">
        <f>CONCATENATE("0x",I210,",0x",I211,",0x",I212,",0x",I213,",0x",I214,",0x",I215,",0x",I216,", //",B210)</f>
        <v>0x00,0x00,0x20,0x00,0x00,0x00,0x20, //:</v>
      </c>
    </row>
    <row r="211" spans="1:10" ht="9.75" customHeight="1" x14ac:dyDescent="0.3">
      <c r="A211" s="42"/>
      <c r="B211" s="43"/>
      <c r="H211">
        <f t="shared" si="32"/>
        <v>0</v>
      </c>
      <c r="I211" t="str">
        <f t="shared" si="33"/>
        <v>00</v>
      </c>
      <c r="J211" s="44"/>
    </row>
    <row r="212" spans="1:10" ht="9.75" customHeight="1" x14ac:dyDescent="0.3">
      <c r="A212" s="42"/>
      <c r="B212" s="43"/>
      <c r="E212">
        <v>1</v>
      </c>
      <c r="H212">
        <f t="shared" si="32"/>
        <v>32</v>
      </c>
      <c r="I212" t="str">
        <f t="shared" si="33"/>
        <v>20</v>
      </c>
      <c r="J212" s="44"/>
    </row>
    <row r="213" spans="1:10" ht="9.75" customHeight="1" x14ac:dyDescent="0.3">
      <c r="A213" s="42"/>
      <c r="B213" s="43"/>
      <c r="H213">
        <f t="shared" si="32"/>
        <v>0</v>
      </c>
      <c r="I213" t="str">
        <f t="shared" si="33"/>
        <v>00</v>
      </c>
      <c r="J213" s="44"/>
    </row>
    <row r="214" spans="1:10" ht="9.75" customHeight="1" x14ac:dyDescent="0.3">
      <c r="A214" s="42"/>
      <c r="B214" s="43"/>
      <c r="H214">
        <f t="shared" si="32"/>
        <v>0</v>
      </c>
      <c r="I214" t="str">
        <f t="shared" si="33"/>
        <v>00</v>
      </c>
      <c r="J214" s="44"/>
    </row>
    <row r="215" spans="1:10" ht="9.75" customHeight="1" x14ac:dyDescent="0.3">
      <c r="A215" s="42"/>
      <c r="B215" s="43"/>
      <c r="H215">
        <f t="shared" si="32"/>
        <v>0</v>
      </c>
      <c r="I215" t="str">
        <f t="shared" si="33"/>
        <v>00</v>
      </c>
      <c r="J215" s="44"/>
    </row>
    <row r="216" spans="1:10" ht="9.75" customHeight="1" x14ac:dyDescent="0.3">
      <c r="A216" s="42"/>
      <c r="B216" s="43"/>
      <c r="E216">
        <v>1</v>
      </c>
      <c r="H216">
        <f t="shared" si="32"/>
        <v>32</v>
      </c>
      <c r="I216" t="str">
        <f t="shared" si="33"/>
        <v>20</v>
      </c>
      <c r="J216" s="44"/>
    </row>
    <row r="217" spans="1:10" ht="9.75" customHeight="1" x14ac:dyDescent="0.3">
      <c r="A217" s="42"/>
      <c r="B217" s="27"/>
      <c r="J217" s="25"/>
    </row>
    <row r="218" spans="1:10" ht="9.75" customHeight="1" x14ac:dyDescent="0.3">
      <c r="A218" s="42">
        <v>59</v>
      </c>
      <c r="B218" s="43" t="s">
        <v>115</v>
      </c>
      <c r="H218">
        <f t="shared" si="31"/>
        <v>0</v>
      </c>
      <c r="I218" t="str">
        <f t="shared" si="27"/>
        <v>00</v>
      </c>
      <c r="J218" s="44" t="str">
        <f>CONCATENATE("0x",I218,",0x",I219,",0x",I220,",0x",I221,",0x",I222,",0x",I223,",0x",I224,", //",B218)</f>
        <v>0x00,0x00,0x20,0x00,0x20,0x20,0x40, //;</v>
      </c>
    </row>
    <row r="219" spans="1:10" ht="9.75" customHeight="1" x14ac:dyDescent="0.3">
      <c r="A219" s="42"/>
      <c r="B219" s="43"/>
      <c r="H219">
        <f t="shared" si="31"/>
        <v>0</v>
      </c>
      <c r="I219" t="str">
        <f t="shared" si="27"/>
        <v>00</v>
      </c>
      <c r="J219" s="44"/>
    </row>
    <row r="220" spans="1:10" ht="9.75" customHeight="1" x14ac:dyDescent="0.3">
      <c r="A220" s="42"/>
      <c r="B220" s="43"/>
      <c r="E220">
        <v>1</v>
      </c>
      <c r="H220">
        <f t="shared" si="31"/>
        <v>32</v>
      </c>
      <c r="I220" t="str">
        <f t="shared" si="27"/>
        <v>20</v>
      </c>
      <c r="J220" s="44"/>
    </row>
    <row r="221" spans="1:10" ht="9.75" customHeight="1" x14ac:dyDescent="0.3">
      <c r="A221" s="42"/>
      <c r="B221" s="43"/>
      <c r="H221">
        <f t="shared" si="31"/>
        <v>0</v>
      </c>
      <c r="I221" t="str">
        <f t="shared" si="27"/>
        <v>00</v>
      </c>
      <c r="J221" s="44"/>
    </row>
    <row r="222" spans="1:10" ht="9.75" customHeight="1" x14ac:dyDescent="0.3">
      <c r="A222" s="42"/>
      <c r="B222" s="43"/>
      <c r="E222">
        <v>1</v>
      </c>
      <c r="H222">
        <f t="shared" si="31"/>
        <v>32</v>
      </c>
      <c r="I222" t="str">
        <f t="shared" si="27"/>
        <v>20</v>
      </c>
      <c r="J222" s="44"/>
    </row>
    <row r="223" spans="1:10" ht="9.75" customHeight="1" x14ac:dyDescent="0.3">
      <c r="A223" s="42"/>
      <c r="B223" s="43"/>
      <c r="E223">
        <v>1</v>
      </c>
      <c r="H223">
        <f t="shared" si="31"/>
        <v>32</v>
      </c>
      <c r="I223" t="str">
        <f t="shared" si="27"/>
        <v>20</v>
      </c>
      <c r="J223" s="44"/>
    </row>
    <row r="224" spans="1:10" ht="9.75" customHeight="1" x14ac:dyDescent="0.3">
      <c r="A224" s="42"/>
      <c r="B224" s="43"/>
      <c r="D224">
        <v>1</v>
      </c>
      <c r="H224">
        <f t="shared" si="31"/>
        <v>64</v>
      </c>
      <c r="I224" t="str">
        <f t="shared" si="27"/>
        <v>40</v>
      </c>
      <c r="J224" s="44"/>
    </row>
    <row r="225" spans="1:10" ht="9.75" customHeight="1" x14ac:dyDescent="0.3">
      <c r="A225" s="42"/>
      <c r="B225" s="27"/>
      <c r="J225" s="25"/>
    </row>
    <row r="226" spans="1:10" ht="9.75" customHeight="1" x14ac:dyDescent="0.3">
      <c r="A226" s="42">
        <v>60</v>
      </c>
      <c r="B226" s="43" t="s">
        <v>116</v>
      </c>
      <c r="F226">
        <v>1</v>
      </c>
      <c r="H226">
        <f t="shared" ref="H226:H232" si="34">C226*C$1+D226*D$1+E226*E$1+F226*F$1+G226*G$1</f>
        <v>16</v>
      </c>
      <c r="I226" t="str">
        <f t="shared" ref="I226:I232" si="35">DEC2HEX(H226,2)</f>
        <v>10</v>
      </c>
      <c r="J226" s="44" t="str">
        <f>CONCATENATE("0x",I226,",0x",I227,",0x",I228,",0x",I229,",0x",I230,",0x",I231,",0x",I232,", //",B226)</f>
        <v>0x10,0x20,0x40,0x80,0x40,0x20,0x10, //&lt;</v>
      </c>
    </row>
    <row r="227" spans="1:10" ht="9.75" customHeight="1" x14ac:dyDescent="0.3">
      <c r="A227" s="42"/>
      <c r="B227" s="43"/>
      <c r="E227">
        <v>1</v>
      </c>
      <c r="H227">
        <f t="shared" si="34"/>
        <v>32</v>
      </c>
      <c r="I227" t="str">
        <f t="shared" si="35"/>
        <v>20</v>
      </c>
      <c r="J227" s="44"/>
    </row>
    <row r="228" spans="1:10" ht="9.75" customHeight="1" x14ac:dyDescent="0.3">
      <c r="A228" s="42"/>
      <c r="B228" s="43"/>
      <c r="D228">
        <v>1</v>
      </c>
      <c r="H228">
        <f t="shared" si="34"/>
        <v>64</v>
      </c>
      <c r="I228" t="str">
        <f t="shared" si="35"/>
        <v>40</v>
      </c>
      <c r="J228" s="44"/>
    </row>
    <row r="229" spans="1:10" ht="9.75" customHeight="1" x14ac:dyDescent="0.3">
      <c r="A229" s="42"/>
      <c r="B229" s="43"/>
      <c r="C229">
        <v>1</v>
      </c>
      <c r="H229">
        <f t="shared" si="34"/>
        <v>128</v>
      </c>
      <c r="I229" t="str">
        <f t="shared" si="35"/>
        <v>80</v>
      </c>
      <c r="J229" s="44"/>
    </row>
    <row r="230" spans="1:10" ht="9.75" customHeight="1" x14ac:dyDescent="0.3">
      <c r="A230" s="42"/>
      <c r="B230" s="43"/>
      <c r="D230">
        <v>1</v>
      </c>
      <c r="H230">
        <f t="shared" si="34"/>
        <v>64</v>
      </c>
      <c r="I230" t="str">
        <f t="shared" si="35"/>
        <v>40</v>
      </c>
      <c r="J230" s="44"/>
    </row>
    <row r="231" spans="1:10" ht="9.75" customHeight="1" x14ac:dyDescent="0.3">
      <c r="A231" s="42"/>
      <c r="B231" s="43"/>
      <c r="E231">
        <v>1</v>
      </c>
      <c r="H231">
        <f t="shared" si="34"/>
        <v>32</v>
      </c>
      <c r="I231" t="str">
        <f t="shared" si="35"/>
        <v>20</v>
      </c>
      <c r="J231" s="44"/>
    </row>
    <row r="232" spans="1:10" ht="9.75" customHeight="1" x14ac:dyDescent="0.3">
      <c r="A232" s="42"/>
      <c r="B232" s="43"/>
      <c r="F232">
        <v>1</v>
      </c>
      <c r="H232">
        <f t="shared" si="34"/>
        <v>16</v>
      </c>
      <c r="I232" t="str">
        <f t="shared" si="35"/>
        <v>10</v>
      </c>
      <c r="J232" s="44"/>
    </row>
    <row r="233" spans="1:10" ht="9.75" customHeight="1" x14ac:dyDescent="0.3">
      <c r="A233" s="42"/>
      <c r="B233" s="27"/>
      <c r="J233" s="25"/>
    </row>
    <row r="234" spans="1:10" ht="9.75" customHeight="1" x14ac:dyDescent="0.3">
      <c r="A234" s="42">
        <v>61</v>
      </c>
      <c r="B234" s="45" t="s">
        <v>117</v>
      </c>
      <c r="H234">
        <f t="shared" ref="H234:H240" si="36">C234*C$1+D234*D$1+E234*E$1+F234*F$1+G234*G$1</f>
        <v>0</v>
      </c>
      <c r="I234" t="str">
        <f t="shared" ref="I234:I240" si="37">DEC2HEX(H234,2)</f>
        <v>00</v>
      </c>
      <c r="J234" s="44" t="str">
        <f>CONCATENATE("0x",I234,",0x",I235,",0x",I236,",0x",I237,",0x",I238,",0x",I239,",0x",I240,", //",B234)</f>
        <v>0x00,0x00,0xF8,0x00,0xF8,0x00,0x00, //=</v>
      </c>
    </row>
    <row r="235" spans="1:10" ht="9.75" customHeight="1" x14ac:dyDescent="0.3">
      <c r="A235" s="42"/>
      <c r="B235" s="43"/>
      <c r="H235">
        <f t="shared" si="36"/>
        <v>0</v>
      </c>
      <c r="I235" t="str">
        <f t="shared" si="37"/>
        <v>00</v>
      </c>
      <c r="J235" s="44"/>
    </row>
    <row r="236" spans="1:10" ht="9.75" customHeight="1" x14ac:dyDescent="0.3">
      <c r="A236" s="42"/>
      <c r="B236" s="43"/>
      <c r="C236">
        <v>1</v>
      </c>
      <c r="D236">
        <v>1</v>
      </c>
      <c r="E236">
        <v>1</v>
      </c>
      <c r="F236">
        <v>1</v>
      </c>
      <c r="G236">
        <v>1</v>
      </c>
      <c r="H236">
        <f t="shared" si="36"/>
        <v>248</v>
      </c>
      <c r="I236" t="str">
        <f t="shared" si="37"/>
        <v>F8</v>
      </c>
      <c r="J236" s="44"/>
    </row>
    <row r="237" spans="1:10" ht="9.75" customHeight="1" x14ac:dyDescent="0.3">
      <c r="A237" s="42"/>
      <c r="B237" s="43"/>
      <c r="H237">
        <f t="shared" si="36"/>
        <v>0</v>
      </c>
      <c r="I237" t="str">
        <f t="shared" si="37"/>
        <v>00</v>
      </c>
      <c r="J237" s="44"/>
    </row>
    <row r="238" spans="1:10" ht="9.75" customHeight="1" x14ac:dyDescent="0.3">
      <c r="A238" s="42"/>
      <c r="B238" s="43"/>
      <c r="C238">
        <v>1</v>
      </c>
      <c r="D238">
        <v>1</v>
      </c>
      <c r="E238">
        <v>1</v>
      </c>
      <c r="F238">
        <v>1</v>
      </c>
      <c r="G238">
        <v>1</v>
      </c>
      <c r="H238">
        <f t="shared" si="36"/>
        <v>248</v>
      </c>
      <c r="I238" t="str">
        <f t="shared" si="37"/>
        <v>F8</v>
      </c>
      <c r="J238" s="44"/>
    </row>
    <row r="239" spans="1:10" ht="9.75" customHeight="1" x14ac:dyDescent="0.3">
      <c r="A239" s="42"/>
      <c r="B239" s="43"/>
      <c r="H239">
        <f t="shared" si="36"/>
        <v>0</v>
      </c>
      <c r="I239" t="str">
        <f t="shared" si="37"/>
        <v>00</v>
      </c>
      <c r="J239" s="44"/>
    </row>
    <row r="240" spans="1:10" ht="9.75" customHeight="1" x14ac:dyDescent="0.3">
      <c r="A240" s="42"/>
      <c r="B240" s="43"/>
      <c r="H240">
        <f t="shared" si="36"/>
        <v>0</v>
      </c>
      <c r="I240" t="str">
        <f t="shared" si="37"/>
        <v>00</v>
      </c>
      <c r="J240" s="44"/>
    </row>
    <row r="241" spans="1:10" ht="9.75" customHeight="1" x14ac:dyDescent="0.3">
      <c r="A241" s="42"/>
      <c r="B241" s="27"/>
      <c r="J241" s="26"/>
    </row>
    <row r="242" spans="1:10" ht="9.75" customHeight="1" x14ac:dyDescent="0.3">
      <c r="A242" s="42">
        <v>62</v>
      </c>
      <c r="B242" s="45" t="s">
        <v>118</v>
      </c>
      <c r="C242">
        <v>1</v>
      </c>
      <c r="H242">
        <f t="shared" ref="H242:H248" si="38">C242*C$1+D242*D$1+E242*E$1+F242*F$1+G242*G$1</f>
        <v>128</v>
      </c>
      <c r="I242" t="str">
        <f t="shared" ref="I242:I248" si="39">DEC2HEX(H242,2)</f>
        <v>80</v>
      </c>
      <c r="J242" s="44" t="str">
        <f>CONCATENATE("0x",I242,",0x",I243,",0x",I244,",0x",I245,",0x",I246,",0x",I247,",0x",I248,", //",B242)</f>
        <v>0x80,0x40,0x20,0x10,0x20,0x40,0x80, //&gt;</v>
      </c>
    </row>
    <row r="243" spans="1:10" ht="9.75" customHeight="1" x14ac:dyDescent="0.3">
      <c r="A243" s="42"/>
      <c r="B243" s="43"/>
      <c r="D243">
        <v>1</v>
      </c>
      <c r="H243">
        <f t="shared" si="38"/>
        <v>64</v>
      </c>
      <c r="I243" t="str">
        <f t="shared" si="39"/>
        <v>40</v>
      </c>
      <c r="J243" s="44"/>
    </row>
    <row r="244" spans="1:10" ht="9.75" customHeight="1" x14ac:dyDescent="0.3">
      <c r="A244" s="42"/>
      <c r="B244" s="43"/>
      <c r="E244">
        <v>1</v>
      </c>
      <c r="H244">
        <f t="shared" si="38"/>
        <v>32</v>
      </c>
      <c r="I244" t="str">
        <f t="shared" si="39"/>
        <v>20</v>
      </c>
      <c r="J244" s="44"/>
    </row>
    <row r="245" spans="1:10" ht="9.75" customHeight="1" x14ac:dyDescent="0.3">
      <c r="A245" s="42"/>
      <c r="B245" s="43"/>
      <c r="F245">
        <v>1</v>
      </c>
      <c r="H245">
        <f t="shared" si="38"/>
        <v>16</v>
      </c>
      <c r="I245" t="str">
        <f t="shared" si="39"/>
        <v>10</v>
      </c>
      <c r="J245" s="44"/>
    </row>
    <row r="246" spans="1:10" ht="9.75" customHeight="1" x14ac:dyDescent="0.3">
      <c r="A246" s="42"/>
      <c r="B246" s="43"/>
      <c r="E246">
        <v>1</v>
      </c>
      <c r="H246">
        <f t="shared" si="38"/>
        <v>32</v>
      </c>
      <c r="I246" t="str">
        <f t="shared" si="39"/>
        <v>20</v>
      </c>
      <c r="J246" s="44"/>
    </row>
    <row r="247" spans="1:10" ht="9.75" customHeight="1" x14ac:dyDescent="0.3">
      <c r="A247" s="42"/>
      <c r="B247" s="43"/>
      <c r="D247">
        <v>1</v>
      </c>
      <c r="H247">
        <f t="shared" si="38"/>
        <v>64</v>
      </c>
      <c r="I247" t="str">
        <f t="shared" si="39"/>
        <v>40</v>
      </c>
      <c r="J247" s="44"/>
    </row>
    <row r="248" spans="1:10" ht="9.75" customHeight="1" x14ac:dyDescent="0.3">
      <c r="A248" s="42"/>
      <c r="B248" s="43"/>
      <c r="C248">
        <v>1</v>
      </c>
      <c r="H248">
        <f t="shared" si="38"/>
        <v>128</v>
      </c>
      <c r="I248" t="str">
        <f t="shared" si="39"/>
        <v>80</v>
      </c>
      <c r="J248" s="44"/>
    </row>
    <row r="249" spans="1:10" ht="9.75" customHeight="1" x14ac:dyDescent="0.3">
      <c r="A249" s="42"/>
      <c r="B249" s="27"/>
      <c r="J249" s="25"/>
    </row>
    <row r="250" spans="1:10" ht="9.75" customHeight="1" x14ac:dyDescent="0.3">
      <c r="A250" s="42">
        <v>63</v>
      </c>
      <c r="B250" s="43" t="s">
        <v>119</v>
      </c>
      <c r="E250">
        <v>1</v>
      </c>
      <c r="F250">
        <v>1</v>
      </c>
      <c r="H250">
        <f t="shared" si="31"/>
        <v>48</v>
      </c>
      <c r="I250" t="str">
        <f t="shared" si="27"/>
        <v>30</v>
      </c>
      <c r="J250" s="44" t="str">
        <f>CONCATENATE("0x",I250,",0x",I251,",0x",I252,",0x",I253,",0x",I254,",0x",I255,",0x",I256,", //",B250)</f>
        <v>0x30,0x48,0x08,0x30,0x20,0x00,0x20, //?</v>
      </c>
    </row>
    <row r="251" spans="1:10" ht="9.75" customHeight="1" x14ac:dyDescent="0.3">
      <c r="A251" s="42"/>
      <c r="B251" s="43"/>
      <c r="D251">
        <v>1</v>
      </c>
      <c r="G251">
        <v>1</v>
      </c>
      <c r="H251">
        <f t="shared" si="31"/>
        <v>72</v>
      </c>
      <c r="I251" t="str">
        <f t="shared" si="27"/>
        <v>48</v>
      </c>
      <c r="J251" s="44"/>
    </row>
    <row r="252" spans="1:10" ht="9.75" customHeight="1" x14ac:dyDescent="0.3">
      <c r="A252" s="42"/>
      <c r="B252" s="43"/>
      <c r="G252">
        <v>1</v>
      </c>
      <c r="H252">
        <f t="shared" si="31"/>
        <v>8</v>
      </c>
      <c r="I252" t="str">
        <f t="shared" si="27"/>
        <v>08</v>
      </c>
      <c r="J252" s="44"/>
    </row>
    <row r="253" spans="1:10" ht="9.75" customHeight="1" x14ac:dyDescent="0.3">
      <c r="A253" s="42"/>
      <c r="B253" s="43"/>
      <c r="E253">
        <v>1</v>
      </c>
      <c r="F253">
        <v>1</v>
      </c>
      <c r="H253">
        <f t="shared" si="31"/>
        <v>48</v>
      </c>
      <c r="I253" t="str">
        <f t="shared" si="27"/>
        <v>30</v>
      </c>
      <c r="J253" s="44"/>
    </row>
    <row r="254" spans="1:10" ht="9.75" customHeight="1" x14ac:dyDescent="0.3">
      <c r="A254" s="42"/>
      <c r="B254" s="43"/>
      <c r="E254">
        <v>1</v>
      </c>
      <c r="H254">
        <f t="shared" si="31"/>
        <v>32</v>
      </c>
      <c r="I254" t="str">
        <f t="shared" si="27"/>
        <v>20</v>
      </c>
      <c r="J254" s="44"/>
    </row>
    <row r="255" spans="1:10" ht="9.75" customHeight="1" x14ac:dyDescent="0.3">
      <c r="A255" s="42"/>
      <c r="B255" s="43"/>
      <c r="H255">
        <f t="shared" si="31"/>
        <v>0</v>
      </c>
      <c r="I255" t="str">
        <f t="shared" si="27"/>
        <v>00</v>
      </c>
      <c r="J255" s="44"/>
    </row>
    <row r="256" spans="1:10" ht="9.75" customHeight="1" x14ac:dyDescent="0.3">
      <c r="A256" s="42"/>
      <c r="B256" s="43"/>
      <c r="E256">
        <v>1</v>
      </c>
      <c r="H256">
        <f t="shared" si="31"/>
        <v>32</v>
      </c>
      <c r="I256" t="str">
        <f t="shared" si="27"/>
        <v>20</v>
      </c>
      <c r="J256" s="44"/>
    </row>
    <row r="257" spans="1:10" ht="9.75" customHeight="1" x14ac:dyDescent="0.3">
      <c r="A257" s="42"/>
      <c r="B257" s="27"/>
      <c r="J257" s="25"/>
    </row>
    <row r="258" spans="1:10" ht="9.75" customHeight="1" x14ac:dyDescent="0.3">
      <c r="A258" s="42">
        <v>64</v>
      </c>
      <c r="B258" s="43" t="s">
        <v>120</v>
      </c>
      <c r="H258">
        <f t="shared" ref="H258:H264" si="40">C258*C$1+D258*D$1+E258*E$1+F258*F$1+G258*G$1</f>
        <v>0</v>
      </c>
      <c r="I258" t="str">
        <f t="shared" ref="I258:I264" si="41">DEC2HEX(H258,2)</f>
        <v>00</v>
      </c>
      <c r="J258" s="44" t="str">
        <f>CONCATENATE("0x",I258,",0x",I259,",0x",I260,",0x",I261,",0x",I262,",0x",I263,",0x",I264,", //",B258)</f>
        <v>0x00,0x00,0x00,0x00,0x00,0x00,0x00, //@</v>
      </c>
    </row>
    <row r="259" spans="1:10" ht="9.75" customHeight="1" x14ac:dyDescent="0.3">
      <c r="A259" s="42"/>
      <c r="B259" s="43"/>
      <c r="H259">
        <f t="shared" si="40"/>
        <v>0</v>
      </c>
      <c r="I259" t="str">
        <f t="shared" si="41"/>
        <v>00</v>
      </c>
      <c r="J259" s="44"/>
    </row>
    <row r="260" spans="1:10" ht="9.75" customHeight="1" x14ac:dyDescent="0.3">
      <c r="A260" s="42"/>
      <c r="B260" s="43"/>
      <c r="H260">
        <f t="shared" si="40"/>
        <v>0</v>
      </c>
      <c r="I260" t="str">
        <f t="shared" si="41"/>
        <v>00</v>
      </c>
      <c r="J260" s="44"/>
    </row>
    <row r="261" spans="1:10" ht="9.75" customHeight="1" x14ac:dyDescent="0.3">
      <c r="A261" s="42"/>
      <c r="B261" s="43"/>
      <c r="H261">
        <f t="shared" si="40"/>
        <v>0</v>
      </c>
      <c r="I261" t="str">
        <f t="shared" si="41"/>
        <v>00</v>
      </c>
      <c r="J261" s="44"/>
    </row>
    <row r="262" spans="1:10" ht="9.75" customHeight="1" x14ac:dyDescent="0.3">
      <c r="A262" s="42"/>
      <c r="B262" s="43"/>
      <c r="H262">
        <f t="shared" si="40"/>
        <v>0</v>
      </c>
      <c r="I262" t="str">
        <f t="shared" si="41"/>
        <v>00</v>
      </c>
      <c r="J262" s="44"/>
    </row>
    <row r="263" spans="1:10" ht="9.75" customHeight="1" x14ac:dyDescent="0.3">
      <c r="A263" s="42"/>
      <c r="B263" s="43"/>
      <c r="H263">
        <f t="shared" si="40"/>
        <v>0</v>
      </c>
      <c r="I263" t="str">
        <f t="shared" si="41"/>
        <v>00</v>
      </c>
      <c r="J263" s="44"/>
    </row>
    <row r="264" spans="1:10" ht="9.75" customHeight="1" x14ac:dyDescent="0.3">
      <c r="A264" s="42"/>
      <c r="B264" s="43"/>
      <c r="H264">
        <f t="shared" si="40"/>
        <v>0</v>
      </c>
      <c r="I264" t="str">
        <f t="shared" si="41"/>
        <v>00</v>
      </c>
      <c r="J264" s="44"/>
    </row>
    <row r="265" spans="1:10" ht="9.75" customHeight="1" x14ac:dyDescent="0.3">
      <c r="A265" s="42"/>
      <c r="B265" s="27"/>
      <c r="J265" s="25"/>
    </row>
    <row r="266" spans="1:10" ht="9.75" customHeight="1" x14ac:dyDescent="0.3">
      <c r="A266" s="42">
        <v>65</v>
      </c>
      <c r="B266" s="43" t="s">
        <v>121</v>
      </c>
      <c r="D266">
        <v>1</v>
      </c>
      <c r="E266">
        <v>1</v>
      </c>
      <c r="F266">
        <v>1</v>
      </c>
      <c r="H266">
        <f t="shared" si="31"/>
        <v>112</v>
      </c>
      <c r="I266" t="str">
        <f t="shared" si="27"/>
        <v>70</v>
      </c>
      <c r="J266" s="44" t="str">
        <f>CONCATENATE("0x",I266,",0x",I267,",0x",I268,",0x",I269,",0x",I270,",0x",I271,",0x",I272,", //",B266)</f>
        <v>0x70,0x88,0x88,0xF8,0x88,0x88,0x88, //A</v>
      </c>
    </row>
    <row r="267" spans="1:10" ht="9.75" customHeight="1" x14ac:dyDescent="0.3">
      <c r="A267" s="42"/>
      <c r="B267" s="43"/>
      <c r="C267">
        <v>1</v>
      </c>
      <c r="G267">
        <v>1</v>
      </c>
      <c r="H267">
        <f t="shared" si="31"/>
        <v>136</v>
      </c>
      <c r="I267" t="str">
        <f t="shared" si="27"/>
        <v>88</v>
      </c>
      <c r="J267" s="44"/>
    </row>
    <row r="268" spans="1:10" ht="9.75" customHeight="1" x14ac:dyDescent="0.3">
      <c r="A268" s="42"/>
      <c r="B268" s="43"/>
      <c r="C268">
        <v>1</v>
      </c>
      <c r="G268">
        <v>1</v>
      </c>
      <c r="H268">
        <f t="shared" si="31"/>
        <v>136</v>
      </c>
      <c r="I268" t="str">
        <f t="shared" si="27"/>
        <v>88</v>
      </c>
      <c r="J268" s="44"/>
    </row>
    <row r="269" spans="1:10" ht="9.75" customHeight="1" x14ac:dyDescent="0.3">
      <c r="A269" s="42"/>
      <c r="B269" s="43"/>
      <c r="C269">
        <v>1</v>
      </c>
      <c r="D269">
        <v>1</v>
      </c>
      <c r="E269">
        <v>1</v>
      </c>
      <c r="F269">
        <v>1</v>
      </c>
      <c r="G269">
        <v>1</v>
      </c>
      <c r="H269">
        <f t="shared" si="31"/>
        <v>248</v>
      </c>
      <c r="I269" t="str">
        <f t="shared" si="27"/>
        <v>F8</v>
      </c>
      <c r="J269" s="44"/>
    </row>
    <row r="270" spans="1:10" ht="9.75" customHeight="1" x14ac:dyDescent="0.3">
      <c r="A270" s="42"/>
      <c r="B270" s="43"/>
      <c r="C270">
        <v>1</v>
      </c>
      <c r="G270">
        <v>1</v>
      </c>
      <c r="H270">
        <f t="shared" si="31"/>
        <v>136</v>
      </c>
      <c r="I270" t="str">
        <f t="shared" si="27"/>
        <v>88</v>
      </c>
      <c r="J270" s="44"/>
    </row>
    <row r="271" spans="1:10" ht="9.75" customHeight="1" x14ac:dyDescent="0.3">
      <c r="A271" s="42"/>
      <c r="B271" s="43"/>
      <c r="C271">
        <v>1</v>
      </c>
      <c r="G271">
        <v>1</v>
      </c>
      <c r="H271">
        <f t="shared" si="31"/>
        <v>136</v>
      </c>
      <c r="I271" t="str">
        <f t="shared" si="27"/>
        <v>88</v>
      </c>
      <c r="J271" s="44"/>
    </row>
    <row r="272" spans="1:10" ht="9.75" customHeight="1" x14ac:dyDescent="0.3">
      <c r="A272" s="42"/>
      <c r="B272" s="43"/>
      <c r="C272">
        <v>1</v>
      </c>
      <c r="G272">
        <v>1</v>
      </c>
      <c r="H272">
        <f t="shared" si="31"/>
        <v>136</v>
      </c>
      <c r="I272" t="str">
        <f t="shared" si="27"/>
        <v>88</v>
      </c>
      <c r="J272" s="44"/>
    </row>
    <row r="273" spans="1:10" ht="9.75" customHeight="1" x14ac:dyDescent="0.3">
      <c r="A273" s="42"/>
      <c r="B273" s="27"/>
      <c r="J273" s="25"/>
    </row>
    <row r="274" spans="1:10" ht="9.75" customHeight="1" x14ac:dyDescent="0.3">
      <c r="A274" s="42">
        <v>66</v>
      </c>
      <c r="B274" s="43" t="s">
        <v>122</v>
      </c>
      <c r="C274">
        <v>1</v>
      </c>
      <c r="D274">
        <v>1</v>
      </c>
      <c r="E274">
        <v>1</v>
      </c>
      <c r="F274">
        <v>1</v>
      </c>
      <c r="H274">
        <f t="shared" ref="H274:H280" si="42">C274*C$1+D274*D$1+E274*E$1+F274*F$1+G274*G$1</f>
        <v>240</v>
      </c>
      <c r="I274" t="str">
        <f t="shared" ref="I274:I280" si="43">DEC2HEX(H274,2)</f>
        <v>F0</v>
      </c>
      <c r="J274" s="44" t="str">
        <f>CONCATENATE("0x",I274,",0x",I275,",0x",I276,",0x",I277,",0x",I278,",0x",I279,",0x",I280,", //",B274)</f>
        <v>0xF0,0x88,0x88,0xF8,0x88,0x88,0xF0, //B</v>
      </c>
    </row>
    <row r="275" spans="1:10" ht="9.75" customHeight="1" x14ac:dyDescent="0.3">
      <c r="A275" s="42"/>
      <c r="B275" s="43"/>
      <c r="C275">
        <v>1</v>
      </c>
      <c r="G275">
        <v>1</v>
      </c>
      <c r="H275">
        <f t="shared" si="42"/>
        <v>136</v>
      </c>
      <c r="I275" t="str">
        <f t="shared" si="43"/>
        <v>88</v>
      </c>
      <c r="J275" s="44"/>
    </row>
    <row r="276" spans="1:10" ht="9.75" customHeight="1" x14ac:dyDescent="0.3">
      <c r="A276" s="42"/>
      <c r="B276" s="43"/>
      <c r="C276">
        <v>1</v>
      </c>
      <c r="G276">
        <v>1</v>
      </c>
      <c r="H276">
        <f t="shared" si="42"/>
        <v>136</v>
      </c>
      <c r="I276" t="str">
        <f t="shared" si="43"/>
        <v>88</v>
      </c>
      <c r="J276" s="44"/>
    </row>
    <row r="277" spans="1:10" ht="9.75" customHeight="1" x14ac:dyDescent="0.3">
      <c r="A277" s="42"/>
      <c r="B277" s="43"/>
      <c r="C277">
        <v>1</v>
      </c>
      <c r="D277">
        <v>1</v>
      </c>
      <c r="E277">
        <v>1</v>
      </c>
      <c r="F277">
        <v>1</v>
      </c>
      <c r="G277">
        <v>1</v>
      </c>
      <c r="H277">
        <f t="shared" si="42"/>
        <v>248</v>
      </c>
      <c r="I277" t="str">
        <f t="shared" si="43"/>
        <v>F8</v>
      </c>
      <c r="J277" s="44"/>
    </row>
    <row r="278" spans="1:10" ht="9.75" customHeight="1" x14ac:dyDescent="0.3">
      <c r="A278" s="42"/>
      <c r="B278" s="43"/>
      <c r="C278">
        <v>1</v>
      </c>
      <c r="G278">
        <v>1</v>
      </c>
      <c r="H278">
        <f t="shared" si="42"/>
        <v>136</v>
      </c>
      <c r="I278" t="str">
        <f t="shared" si="43"/>
        <v>88</v>
      </c>
      <c r="J278" s="44"/>
    </row>
    <row r="279" spans="1:10" ht="9.75" customHeight="1" x14ac:dyDescent="0.3">
      <c r="A279" s="42"/>
      <c r="B279" s="43"/>
      <c r="C279">
        <v>1</v>
      </c>
      <c r="G279">
        <v>1</v>
      </c>
      <c r="H279">
        <f t="shared" si="42"/>
        <v>136</v>
      </c>
      <c r="I279" t="str">
        <f t="shared" si="43"/>
        <v>88</v>
      </c>
      <c r="J279" s="44"/>
    </row>
    <row r="280" spans="1:10" ht="9.75" customHeight="1" x14ac:dyDescent="0.3">
      <c r="A280" s="42"/>
      <c r="B280" s="43"/>
      <c r="C280">
        <v>1</v>
      </c>
      <c r="D280">
        <v>1</v>
      </c>
      <c r="E280">
        <v>1</v>
      </c>
      <c r="F280">
        <v>1</v>
      </c>
      <c r="H280">
        <f t="shared" si="42"/>
        <v>240</v>
      </c>
      <c r="I280" t="str">
        <f t="shared" si="43"/>
        <v>F0</v>
      </c>
      <c r="J280" s="44"/>
    </row>
    <row r="281" spans="1:10" ht="9.75" customHeight="1" x14ac:dyDescent="0.3">
      <c r="A281" s="42"/>
      <c r="B281" s="27"/>
      <c r="J281" s="25"/>
    </row>
    <row r="282" spans="1:10" ht="9.75" customHeight="1" x14ac:dyDescent="0.3">
      <c r="A282" s="42">
        <v>67</v>
      </c>
      <c r="B282" s="43" t="s">
        <v>2</v>
      </c>
      <c r="D282">
        <v>1</v>
      </c>
      <c r="E282">
        <v>1</v>
      </c>
      <c r="F282">
        <v>1</v>
      </c>
      <c r="H282">
        <f t="shared" si="31"/>
        <v>112</v>
      </c>
      <c r="I282" t="str">
        <f t="shared" si="27"/>
        <v>70</v>
      </c>
      <c r="J282" s="44" t="str">
        <f>CONCATENATE("0x",I282,",0x",I283,",0x",I284,",0x",I285,",0x",I286,",0x",I287,",0x",I288,", //",B282)</f>
        <v>0x70,0x88,0x80,0x80,0x80,0x88,0x70, //C</v>
      </c>
    </row>
    <row r="283" spans="1:10" ht="9.75" customHeight="1" x14ac:dyDescent="0.3">
      <c r="A283" s="42"/>
      <c r="B283" s="43"/>
      <c r="C283">
        <v>1</v>
      </c>
      <c r="G283">
        <v>1</v>
      </c>
      <c r="H283">
        <f t="shared" si="31"/>
        <v>136</v>
      </c>
      <c r="I283" t="str">
        <f t="shared" si="27"/>
        <v>88</v>
      </c>
      <c r="J283" s="44"/>
    </row>
    <row r="284" spans="1:10" ht="9.75" customHeight="1" x14ac:dyDescent="0.3">
      <c r="A284" s="42"/>
      <c r="B284" s="43"/>
      <c r="C284">
        <v>1</v>
      </c>
      <c r="H284">
        <f t="shared" si="31"/>
        <v>128</v>
      </c>
      <c r="I284" t="str">
        <f t="shared" si="27"/>
        <v>80</v>
      </c>
      <c r="J284" s="44"/>
    </row>
    <row r="285" spans="1:10" ht="9.75" customHeight="1" x14ac:dyDescent="0.3">
      <c r="A285" s="42"/>
      <c r="B285" s="43"/>
      <c r="C285">
        <v>1</v>
      </c>
      <c r="H285">
        <f t="shared" si="31"/>
        <v>128</v>
      </c>
      <c r="I285" t="str">
        <f t="shared" si="27"/>
        <v>80</v>
      </c>
      <c r="J285" s="44"/>
    </row>
    <row r="286" spans="1:10" ht="9.75" customHeight="1" x14ac:dyDescent="0.3">
      <c r="A286" s="42"/>
      <c r="B286" s="43"/>
      <c r="C286">
        <v>1</v>
      </c>
      <c r="H286">
        <f t="shared" si="31"/>
        <v>128</v>
      </c>
      <c r="I286" t="str">
        <f t="shared" si="27"/>
        <v>80</v>
      </c>
      <c r="J286" s="44"/>
    </row>
    <row r="287" spans="1:10" ht="9.75" customHeight="1" x14ac:dyDescent="0.3">
      <c r="A287" s="42"/>
      <c r="B287" s="43"/>
      <c r="C287">
        <v>1</v>
      </c>
      <c r="G287">
        <v>1</v>
      </c>
      <c r="H287">
        <f t="shared" si="31"/>
        <v>136</v>
      </c>
      <c r="I287" t="str">
        <f t="shared" si="27"/>
        <v>88</v>
      </c>
      <c r="J287" s="44"/>
    </row>
    <row r="288" spans="1:10" ht="9.75" customHeight="1" x14ac:dyDescent="0.3">
      <c r="A288" s="42"/>
      <c r="B288" s="43"/>
      <c r="D288">
        <v>1</v>
      </c>
      <c r="E288">
        <v>1</v>
      </c>
      <c r="F288">
        <v>1</v>
      </c>
      <c r="H288">
        <f t="shared" si="31"/>
        <v>112</v>
      </c>
      <c r="I288" t="str">
        <f t="shared" si="27"/>
        <v>70</v>
      </c>
      <c r="J288" s="44"/>
    </row>
    <row r="289" spans="1:10" ht="9.75" customHeight="1" x14ac:dyDescent="0.3">
      <c r="A289" s="42"/>
      <c r="B289" s="27"/>
      <c r="J289" s="25"/>
    </row>
    <row r="290" spans="1:10" ht="9.75" customHeight="1" x14ac:dyDescent="0.3">
      <c r="A290" s="42">
        <v>68</v>
      </c>
      <c r="B290" s="43" t="s">
        <v>123</v>
      </c>
      <c r="C290">
        <v>1</v>
      </c>
      <c r="D290">
        <v>1</v>
      </c>
      <c r="E290">
        <v>1</v>
      </c>
      <c r="F290">
        <v>1</v>
      </c>
      <c r="H290">
        <f t="shared" ref="H290:H296" si="44">C290*C$1+D290*D$1+E290*E$1+F290*F$1+G290*G$1</f>
        <v>240</v>
      </c>
      <c r="I290" t="str">
        <f t="shared" ref="I290:I296" si="45">DEC2HEX(H290,2)</f>
        <v>F0</v>
      </c>
      <c r="J290" s="44" t="str">
        <f>CONCATENATE("0x",I290,",0x",I291,",0x",I292,",0x",I293,",0x",I294,",0x",I295,",0x",I296,", //",B290)</f>
        <v>0xF0,0x88,0x88,0x88,0x88,0x88,0xF0, //D</v>
      </c>
    </row>
    <row r="291" spans="1:10" ht="9.75" customHeight="1" x14ac:dyDescent="0.3">
      <c r="A291" s="42"/>
      <c r="B291" s="43"/>
      <c r="C291">
        <v>1</v>
      </c>
      <c r="G291">
        <v>1</v>
      </c>
      <c r="H291">
        <f t="shared" si="44"/>
        <v>136</v>
      </c>
      <c r="I291" t="str">
        <f t="shared" si="45"/>
        <v>88</v>
      </c>
      <c r="J291" s="44"/>
    </row>
    <row r="292" spans="1:10" ht="9.75" customHeight="1" x14ac:dyDescent="0.3">
      <c r="A292" s="42"/>
      <c r="B292" s="43"/>
      <c r="C292">
        <v>1</v>
      </c>
      <c r="G292">
        <v>1</v>
      </c>
      <c r="H292">
        <f t="shared" si="44"/>
        <v>136</v>
      </c>
      <c r="I292" t="str">
        <f t="shared" si="45"/>
        <v>88</v>
      </c>
      <c r="J292" s="44"/>
    </row>
    <row r="293" spans="1:10" ht="9.75" customHeight="1" x14ac:dyDescent="0.3">
      <c r="A293" s="42"/>
      <c r="B293" s="43"/>
      <c r="C293">
        <v>1</v>
      </c>
      <c r="G293">
        <v>1</v>
      </c>
      <c r="H293">
        <f t="shared" si="44"/>
        <v>136</v>
      </c>
      <c r="I293" t="str">
        <f t="shared" si="45"/>
        <v>88</v>
      </c>
      <c r="J293" s="44"/>
    </row>
    <row r="294" spans="1:10" ht="9.75" customHeight="1" x14ac:dyDescent="0.3">
      <c r="A294" s="42"/>
      <c r="B294" s="43"/>
      <c r="C294">
        <v>1</v>
      </c>
      <c r="G294">
        <v>1</v>
      </c>
      <c r="H294">
        <f t="shared" si="44"/>
        <v>136</v>
      </c>
      <c r="I294" t="str">
        <f t="shared" si="45"/>
        <v>88</v>
      </c>
      <c r="J294" s="44"/>
    </row>
    <row r="295" spans="1:10" ht="9.75" customHeight="1" x14ac:dyDescent="0.3">
      <c r="A295" s="42"/>
      <c r="B295" s="43"/>
      <c r="C295">
        <v>1</v>
      </c>
      <c r="G295">
        <v>1</v>
      </c>
      <c r="H295">
        <f t="shared" si="44"/>
        <v>136</v>
      </c>
      <c r="I295" t="str">
        <f t="shared" si="45"/>
        <v>88</v>
      </c>
      <c r="J295" s="44"/>
    </row>
    <row r="296" spans="1:10" ht="9.75" customHeight="1" x14ac:dyDescent="0.3">
      <c r="A296" s="42"/>
      <c r="B296" s="43"/>
      <c r="C296">
        <v>1</v>
      </c>
      <c r="D296">
        <v>1</v>
      </c>
      <c r="E296">
        <v>1</v>
      </c>
      <c r="F296">
        <v>1</v>
      </c>
      <c r="H296">
        <f t="shared" si="44"/>
        <v>240</v>
      </c>
      <c r="I296" t="str">
        <f t="shared" si="45"/>
        <v>F0</v>
      </c>
      <c r="J296" s="44"/>
    </row>
    <row r="297" spans="1:10" ht="9.75" customHeight="1" x14ac:dyDescent="0.3">
      <c r="A297" s="42"/>
      <c r="B297" s="27"/>
      <c r="J297" s="25"/>
    </row>
    <row r="298" spans="1:10" ht="9.75" customHeight="1" x14ac:dyDescent="0.3">
      <c r="A298" s="42">
        <v>69</v>
      </c>
      <c r="B298" s="43" t="s">
        <v>4</v>
      </c>
      <c r="C298">
        <v>1</v>
      </c>
      <c r="D298">
        <v>1</v>
      </c>
      <c r="E298">
        <v>1</v>
      </c>
      <c r="F298">
        <v>1</v>
      </c>
      <c r="G298">
        <v>1</v>
      </c>
      <c r="H298">
        <f t="shared" si="31"/>
        <v>248</v>
      </c>
      <c r="I298" t="str">
        <f t="shared" si="27"/>
        <v>F8</v>
      </c>
      <c r="J298" s="44" t="str">
        <f>CONCATENATE("0x",I298,",0x",I299,",0x",I300,",0x",I301,",0x",I302,",0x",I303,",0x",I304,", //",B298)</f>
        <v>0xF8,0x80,0x80,0xF0,0x80,0x80,0xF8, //E</v>
      </c>
    </row>
    <row r="299" spans="1:10" ht="9.75" customHeight="1" x14ac:dyDescent="0.3">
      <c r="A299" s="42"/>
      <c r="B299" s="43"/>
      <c r="C299">
        <v>1</v>
      </c>
      <c r="H299">
        <f t="shared" si="31"/>
        <v>128</v>
      </c>
      <c r="I299" t="str">
        <f t="shared" si="27"/>
        <v>80</v>
      </c>
      <c r="J299" s="44"/>
    </row>
    <row r="300" spans="1:10" ht="9.75" customHeight="1" x14ac:dyDescent="0.3">
      <c r="A300" s="42"/>
      <c r="B300" s="43"/>
      <c r="C300">
        <v>1</v>
      </c>
      <c r="H300">
        <f t="shared" si="31"/>
        <v>128</v>
      </c>
      <c r="I300" t="str">
        <f t="shared" si="27"/>
        <v>80</v>
      </c>
      <c r="J300" s="44"/>
    </row>
    <row r="301" spans="1:10" ht="9.75" customHeight="1" x14ac:dyDescent="0.3">
      <c r="A301" s="42"/>
      <c r="B301" s="43"/>
      <c r="C301">
        <v>1</v>
      </c>
      <c r="D301">
        <v>1</v>
      </c>
      <c r="E301">
        <v>1</v>
      </c>
      <c r="F301">
        <v>1</v>
      </c>
      <c r="H301">
        <f t="shared" si="31"/>
        <v>240</v>
      </c>
      <c r="I301" t="str">
        <f t="shared" si="27"/>
        <v>F0</v>
      </c>
      <c r="J301" s="44"/>
    </row>
    <row r="302" spans="1:10" ht="9.75" customHeight="1" x14ac:dyDescent="0.3">
      <c r="A302" s="42"/>
      <c r="B302" s="43"/>
      <c r="C302">
        <v>1</v>
      </c>
      <c r="H302">
        <f t="shared" si="31"/>
        <v>128</v>
      </c>
      <c r="I302" t="str">
        <f t="shared" si="27"/>
        <v>80</v>
      </c>
      <c r="J302" s="44"/>
    </row>
    <row r="303" spans="1:10" ht="9.75" customHeight="1" x14ac:dyDescent="0.3">
      <c r="A303" s="42"/>
      <c r="B303" s="43"/>
      <c r="C303">
        <v>1</v>
      </c>
      <c r="H303">
        <f t="shared" si="31"/>
        <v>128</v>
      </c>
      <c r="I303" t="str">
        <f t="shared" si="27"/>
        <v>80</v>
      </c>
      <c r="J303" s="44"/>
    </row>
    <row r="304" spans="1:10" ht="9.75" customHeight="1" x14ac:dyDescent="0.3">
      <c r="A304" s="42"/>
      <c r="B304" s="43"/>
      <c r="C304">
        <v>1</v>
      </c>
      <c r="D304">
        <v>1</v>
      </c>
      <c r="E304">
        <v>1</v>
      </c>
      <c r="F304">
        <v>1</v>
      </c>
      <c r="G304">
        <v>1</v>
      </c>
      <c r="H304">
        <f t="shared" si="31"/>
        <v>248</v>
      </c>
      <c r="I304" t="str">
        <f t="shared" si="27"/>
        <v>F8</v>
      </c>
      <c r="J304" s="44"/>
    </row>
    <row r="305" spans="1:10" ht="9.75" customHeight="1" x14ac:dyDescent="0.3">
      <c r="A305" s="42"/>
      <c r="B305" s="27"/>
      <c r="J305" s="25"/>
    </row>
    <row r="306" spans="1:10" ht="9.75" customHeight="1" x14ac:dyDescent="0.3">
      <c r="A306" s="42">
        <v>70</v>
      </c>
      <c r="B306" s="43" t="s">
        <v>3</v>
      </c>
      <c r="C306">
        <v>1</v>
      </c>
      <c r="D306">
        <v>1</v>
      </c>
      <c r="E306">
        <v>1</v>
      </c>
      <c r="F306">
        <v>1</v>
      </c>
      <c r="G306">
        <v>1</v>
      </c>
      <c r="H306">
        <f t="shared" ref="H306:H312" si="46">C306*C$1+D306*D$1+E306*E$1+F306*F$1+G306*G$1</f>
        <v>248</v>
      </c>
      <c r="I306" t="str">
        <f t="shared" ref="I306:I312" si="47">DEC2HEX(H306,2)</f>
        <v>F8</v>
      </c>
      <c r="J306" s="44" t="str">
        <f>CONCATENATE("0x",I306,",0x",I307,",0x",I308,",0x",I309,",0x",I310,",0x",I311,",0x",I312,", //",B306)</f>
        <v>0xF8,0x80,0x80,0xF0,0x80,0x80,0x80, //F</v>
      </c>
    </row>
    <row r="307" spans="1:10" ht="9.75" customHeight="1" x14ac:dyDescent="0.3">
      <c r="A307" s="42"/>
      <c r="B307" s="43"/>
      <c r="C307">
        <v>1</v>
      </c>
      <c r="H307">
        <f t="shared" si="46"/>
        <v>128</v>
      </c>
      <c r="I307" t="str">
        <f t="shared" si="47"/>
        <v>80</v>
      </c>
      <c r="J307" s="44"/>
    </row>
    <row r="308" spans="1:10" ht="9.75" customHeight="1" x14ac:dyDescent="0.3">
      <c r="A308" s="42"/>
      <c r="B308" s="43"/>
      <c r="C308">
        <v>1</v>
      </c>
      <c r="H308">
        <f t="shared" si="46"/>
        <v>128</v>
      </c>
      <c r="I308" t="str">
        <f t="shared" si="47"/>
        <v>80</v>
      </c>
      <c r="J308" s="44"/>
    </row>
    <row r="309" spans="1:10" ht="9.75" customHeight="1" x14ac:dyDescent="0.3">
      <c r="A309" s="42"/>
      <c r="B309" s="43"/>
      <c r="C309">
        <v>1</v>
      </c>
      <c r="D309">
        <v>1</v>
      </c>
      <c r="E309">
        <v>1</v>
      </c>
      <c r="F309">
        <v>1</v>
      </c>
      <c r="H309">
        <f t="shared" si="46"/>
        <v>240</v>
      </c>
      <c r="I309" t="str">
        <f t="shared" si="47"/>
        <v>F0</v>
      </c>
      <c r="J309" s="44"/>
    </row>
    <row r="310" spans="1:10" ht="9.75" customHeight="1" x14ac:dyDescent="0.3">
      <c r="A310" s="42"/>
      <c r="B310" s="43"/>
      <c r="C310">
        <v>1</v>
      </c>
      <c r="H310">
        <f t="shared" si="46"/>
        <v>128</v>
      </c>
      <c r="I310" t="str">
        <f t="shared" si="47"/>
        <v>80</v>
      </c>
      <c r="J310" s="44"/>
    </row>
    <row r="311" spans="1:10" ht="9.75" customHeight="1" x14ac:dyDescent="0.3">
      <c r="A311" s="42"/>
      <c r="B311" s="43"/>
      <c r="C311">
        <v>1</v>
      </c>
      <c r="H311">
        <f t="shared" si="46"/>
        <v>128</v>
      </c>
      <c r="I311" t="str">
        <f t="shared" si="47"/>
        <v>80</v>
      </c>
      <c r="J311" s="44"/>
    </row>
    <row r="312" spans="1:10" ht="9.75" customHeight="1" x14ac:dyDescent="0.3">
      <c r="A312" s="42"/>
      <c r="B312" s="43"/>
      <c r="C312">
        <v>1</v>
      </c>
      <c r="H312">
        <f t="shared" si="46"/>
        <v>128</v>
      </c>
      <c r="I312" t="str">
        <f t="shared" si="47"/>
        <v>80</v>
      </c>
      <c r="J312" s="44"/>
    </row>
    <row r="313" spans="1:10" ht="9.75" customHeight="1" x14ac:dyDescent="0.3">
      <c r="A313" s="42"/>
      <c r="B313" s="27"/>
      <c r="J313" s="25"/>
    </row>
    <row r="314" spans="1:10" ht="9.75" customHeight="1" x14ac:dyDescent="0.3">
      <c r="A314" s="42">
        <v>71</v>
      </c>
      <c r="B314" s="43" t="s">
        <v>124</v>
      </c>
      <c r="D314">
        <v>1</v>
      </c>
      <c r="E314">
        <v>1</v>
      </c>
      <c r="F314">
        <v>1</v>
      </c>
      <c r="H314">
        <f t="shared" si="31"/>
        <v>112</v>
      </c>
      <c r="I314" t="str">
        <f t="shared" si="27"/>
        <v>70</v>
      </c>
      <c r="J314" s="44" t="str">
        <f>CONCATENATE("0x",I314,",0x",I315,",0x",I316,",0x",I317,",0x",I318,",0x",I319,",0x",I320,", //",B314)</f>
        <v>0x70,0x88,0x80,0xB8,0x88,0x88,0x78, //G</v>
      </c>
    </row>
    <row r="315" spans="1:10" ht="9.75" customHeight="1" x14ac:dyDescent="0.3">
      <c r="A315" s="42"/>
      <c r="B315" s="43"/>
      <c r="C315">
        <v>1</v>
      </c>
      <c r="G315">
        <v>1</v>
      </c>
      <c r="H315">
        <f t="shared" si="31"/>
        <v>136</v>
      </c>
      <c r="I315" t="str">
        <f t="shared" si="27"/>
        <v>88</v>
      </c>
      <c r="J315" s="44"/>
    </row>
    <row r="316" spans="1:10" ht="9.75" customHeight="1" x14ac:dyDescent="0.3">
      <c r="A316" s="42"/>
      <c r="B316" s="43"/>
      <c r="C316">
        <v>1</v>
      </c>
      <c r="H316">
        <f t="shared" si="31"/>
        <v>128</v>
      </c>
      <c r="I316" t="str">
        <f t="shared" si="27"/>
        <v>80</v>
      </c>
      <c r="J316" s="44"/>
    </row>
    <row r="317" spans="1:10" ht="9.75" customHeight="1" x14ac:dyDescent="0.3">
      <c r="A317" s="42"/>
      <c r="B317" s="43"/>
      <c r="C317">
        <v>1</v>
      </c>
      <c r="E317">
        <v>1</v>
      </c>
      <c r="F317">
        <v>1</v>
      </c>
      <c r="G317">
        <v>1</v>
      </c>
      <c r="H317">
        <f t="shared" si="31"/>
        <v>184</v>
      </c>
      <c r="I317" t="str">
        <f t="shared" si="27"/>
        <v>B8</v>
      </c>
      <c r="J317" s="44"/>
    </row>
    <row r="318" spans="1:10" ht="9.75" customHeight="1" x14ac:dyDescent="0.3">
      <c r="A318" s="42"/>
      <c r="B318" s="43"/>
      <c r="C318">
        <v>1</v>
      </c>
      <c r="G318">
        <v>1</v>
      </c>
      <c r="H318">
        <f t="shared" si="31"/>
        <v>136</v>
      </c>
      <c r="I318" t="str">
        <f t="shared" si="27"/>
        <v>88</v>
      </c>
      <c r="J318" s="44"/>
    </row>
    <row r="319" spans="1:10" ht="9.75" customHeight="1" x14ac:dyDescent="0.3">
      <c r="A319" s="42"/>
      <c r="B319" s="43"/>
      <c r="C319">
        <v>1</v>
      </c>
      <c r="G319">
        <v>1</v>
      </c>
      <c r="H319">
        <f t="shared" si="31"/>
        <v>136</v>
      </c>
      <c r="I319" t="str">
        <f t="shared" si="27"/>
        <v>88</v>
      </c>
      <c r="J319" s="44"/>
    </row>
    <row r="320" spans="1:10" ht="9.75" customHeight="1" x14ac:dyDescent="0.3">
      <c r="A320" s="42"/>
      <c r="B320" s="43"/>
      <c r="D320">
        <v>1</v>
      </c>
      <c r="E320">
        <v>1</v>
      </c>
      <c r="F320">
        <v>1</v>
      </c>
      <c r="G320">
        <v>1</v>
      </c>
      <c r="H320">
        <f t="shared" si="31"/>
        <v>120</v>
      </c>
      <c r="I320" t="str">
        <f t="shared" si="27"/>
        <v>78</v>
      </c>
      <c r="J320" s="44"/>
    </row>
    <row r="321" spans="1:10" ht="9.75" customHeight="1" x14ac:dyDescent="0.3">
      <c r="A321" s="42"/>
      <c r="B321" s="27"/>
      <c r="J321" s="25"/>
    </row>
    <row r="322" spans="1:10" ht="9.75" customHeight="1" x14ac:dyDescent="0.3">
      <c r="A322" s="42">
        <v>72</v>
      </c>
      <c r="B322" s="43" t="s">
        <v>125</v>
      </c>
      <c r="C322">
        <v>1</v>
      </c>
      <c r="G322">
        <v>1</v>
      </c>
      <c r="H322">
        <f t="shared" ref="H322:H328" si="48">C322*C$1+D322*D$1+E322*E$1+F322*F$1+G322*G$1</f>
        <v>136</v>
      </c>
      <c r="I322" t="str">
        <f t="shared" ref="I322:I328" si="49">DEC2HEX(H322,2)</f>
        <v>88</v>
      </c>
      <c r="J322" s="44" t="str">
        <f>CONCATENATE("0x",I322,",0x",I323,",0x",I324,",0x",I325,",0x",I326,",0x",I327,",0x",I328,", //",B322)</f>
        <v>0x88,0x88,0x88,0xF8,0x88,0x88,0x88, //H</v>
      </c>
    </row>
    <row r="323" spans="1:10" ht="9.75" customHeight="1" x14ac:dyDescent="0.3">
      <c r="A323" s="42"/>
      <c r="B323" s="43"/>
      <c r="C323">
        <v>1</v>
      </c>
      <c r="G323">
        <v>1</v>
      </c>
      <c r="H323">
        <f t="shared" si="48"/>
        <v>136</v>
      </c>
      <c r="I323" t="str">
        <f t="shared" si="49"/>
        <v>88</v>
      </c>
      <c r="J323" s="44"/>
    </row>
    <row r="324" spans="1:10" ht="9.75" customHeight="1" x14ac:dyDescent="0.3">
      <c r="A324" s="42"/>
      <c r="B324" s="43"/>
      <c r="C324">
        <v>1</v>
      </c>
      <c r="G324">
        <v>1</v>
      </c>
      <c r="H324">
        <f t="shared" si="48"/>
        <v>136</v>
      </c>
      <c r="I324" t="str">
        <f t="shared" si="49"/>
        <v>88</v>
      </c>
      <c r="J324" s="44"/>
    </row>
    <row r="325" spans="1:10" ht="9.75" customHeight="1" x14ac:dyDescent="0.3">
      <c r="A325" s="42"/>
      <c r="B325" s="43"/>
      <c r="C325">
        <v>1</v>
      </c>
      <c r="D325">
        <v>1</v>
      </c>
      <c r="E325">
        <v>1</v>
      </c>
      <c r="F325">
        <v>1</v>
      </c>
      <c r="G325">
        <v>1</v>
      </c>
      <c r="H325">
        <f t="shared" si="48"/>
        <v>248</v>
      </c>
      <c r="I325" t="str">
        <f t="shared" si="49"/>
        <v>F8</v>
      </c>
      <c r="J325" s="44"/>
    </row>
    <row r="326" spans="1:10" ht="9.75" customHeight="1" x14ac:dyDescent="0.3">
      <c r="A326" s="42"/>
      <c r="B326" s="43"/>
      <c r="C326">
        <v>1</v>
      </c>
      <c r="G326">
        <v>1</v>
      </c>
      <c r="H326">
        <f t="shared" si="48"/>
        <v>136</v>
      </c>
      <c r="I326" t="str">
        <f t="shared" si="49"/>
        <v>88</v>
      </c>
      <c r="J326" s="44"/>
    </row>
    <row r="327" spans="1:10" ht="9.75" customHeight="1" x14ac:dyDescent="0.3">
      <c r="A327" s="42"/>
      <c r="B327" s="43"/>
      <c r="C327">
        <v>1</v>
      </c>
      <c r="G327">
        <v>1</v>
      </c>
      <c r="H327">
        <f t="shared" si="48"/>
        <v>136</v>
      </c>
      <c r="I327" t="str">
        <f t="shared" si="49"/>
        <v>88</v>
      </c>
      <c r="J327" s="44"/>
    </row>
    <row r="328" spans="1:10" ht="9.75" customHeight="1" x14ac:dyDescent="0.3">
      <c r="A328" s="42"/>
      <c r="B328" s="43"/>
      <c r="C328">
        <v>1</v>
      </c>
      <c r="G328">
        <v>1</v>
      </c>
      <c r="H328">
        <f t="shared" si="48"/>
        <v>136</v>
      </c>
      <c r="I328" t="str">
        <f t="shared" si="49"/>
        <v>88</v>
      </c>
      <c r="J328" s="44"/>
    </row>
    <row r="329" spans="1:10" ht="9.75" customHeight="1" x14ac:dyDescent="0.3">
      <c r="A329" s="42"/>
      <c r="B329" s="27"/>
      <c r="J329" s="25"/>
    </row>
    <row r="330" spans="1:10" ht="9.75" customHeight="1" x14ac:dyDescent="0.3">
      <c r="A330" s="42">
        <v>73</v>
      </c>
      <c r="B330" s="43" t="s">
        <v>126</v>
      </c>
      <c r="D330">
        <v>1</v>
      </c>
      <c r="E330">
        <v>1</v>
      </c>
      <c r="F330">
        <v>1</v>
      </c>
      <c r="H330">
        <f t="shared" si="31"/>
        <v>112</v>
      </c>
      <c r="I330" t="str">
        <f t="shared" si="27"/>
        <v>70</v>
      </c>
      <c r="J330" s="44" t="str">
        <f>CONCATENATE("0x",I330,",0x",I331,",0x",I332,",0x",I333,",0x",I334,",0x",I335,",0x",I336,", //",B330)</f>
        <v>0x70,0x20,0x20,0x20,0x20,0x20,0x70, //I</v>
      </c>
    </row>
    <row r="331" spans="1:10" ht="9.75" customHeight="1" x14ac:dyDescent="0.3">
      <c r="A331" s="42"/>
      <c r="B331" s="43"/>
      <c r="E331">
        <v>1</v>
      </c>
      <c r="H331">
        <f t="shared" si="31"/>
        <v>32</v>
      </c>
      <c r="I331" t="str">
        <f t="shared" si="27"/>
        <v>20</v>
      </c>
      <c r="J331" s="44"/>
    </row>
    <row r="332" spans="1:10" ht="9.75" customHeight="1" x14ac:dyDescent="0.3">
      <c r="A332" s="42"/>
      <c r="B332" s="43"/>
      <c r="E332">
        <v>1</v>
      </c>
      <c r="H332">
        <f t="shared" si="31"/>
        <v>32</v>
      </c>
      <c r="I332" t="str">
        <f t="shared" si="27"/>
        <v>20</v>
      </c>
      <c r="J332" s="44"/>
    </row>
    <row r="333" spans="1:10" ht="9.75" customHeight="1" x14ac:dyDescent="0.3">
      <c r="A333" s="42"/>
      <c r="B333" s="43"/>
      <c r="E333">
        <v>1</v>
      </c>
      <c r="H333">
        <f t="shared" si="31"/>
        <v>32</v>
      </c>
      <c r="I333" t="str">
        <f t="shared" si="27"/>
        <v>20</v>
      </c>
      <c r="J333" s="44"/>
    </row>
    <row r="334" spans="1:10" ht="9.75" customHeight="1" x14ac:dyDescent="0.3">
      <c r="A334" s="42"/>
      <c r="B334" s="43"/>
      <c r="E334">
        <v>1</v>
      </c>
      <c r="H334">
        <f t="shared" si="31"/>
        <v>32</v>
      </c>
      <c r="I334" t="str">
        <f t="shared" si="27"/>
        <v>20</v>
      </c>
      <c r="J334" s="44"/>
    </row>
    <row r="335" spans="1:10" ht="9.75" customHeight="1" x14ac:dyDescent="0.3">
      <c r="A335" s="42"/>
      <c r="B335" s="43"/>
      <c r="E335">
        <v>1</v>
      </c>
      <c r="H335">
        <f t="shared" si="31"/>
        <v>32</v>
      </c>
      <c r="I335" t="str">
        <f t="shared" si="27"/>
        <v>20</v>
      </c>
      <c r="J335" s="44"/>
    </row>
    <row r="336" spans="1:10" ht="9.75" customHeight="1" x14ac:dyDescent="0.3">
      <c r="A336" s="42"/>
      <c r="B336" s="43"/>
      <c r="D336">
        <v>1</v>
      </c>
      <c r="E336">
        <v>1</v>
      </c>
      <c r="F336">
        <v>1</v>
      </c>
      <c r="H336">
        <f t="shared" si="31"/>
        <v>112</v>
      </c>
      <c r="I336" t="str">
        <f t="shared" si="27"/>
        <v>70</v>
      </c>
      <c r="J336" s="44"/>
    </row>
    <row r="337" spans="1:10" ht="9.75" customHeight="1" x14ac:dyDescent="0.3">
      <c r="A337" s="42"/>
      <c r="B337" s="27"/>
      <c r="J337" s="25"/>
    </row>
    <row r="338" spans="1:10" ht="9.75" customHeight="1" x14ac:dyDescent="0.3">
      <c r="A338" s="42">
        <v>74</v>
      </c>
      <c r="B338" s="43" t="s">
        <v>127</v>
      </c>
      <c r="E338">
        <v>1</v>
      </c>
      <c r="F338">
        <v>1</v>
      </c>
      <c r="G338">
        <v>1</v>
      </c>
      <c r="H338">
        <f t="shared" ref="H338:H344" si="50">C338*C$1+D338*D$1+E338*E$1+F338*F$1+G338*G$1</f>
        <v>56</v>
      </c>
      <c r="I338" t="str">
        <f t="shared" ref="I338:I344" si="51">DEC2HEX(H338,2)</f>
        <v>38</v>
      </c>
      <c r="J338" s="44" t="str">
        <f>CONCATENATE("0x",I338,",0x",I339,",0x",I340,",0x",I341,",0x",I342,",0x",I343,",0x",I344,", //",B338)</f>
        <v>0x38,0x08,0x08,0x08,0x08,0x88,0x70, //J</v>
      </c>
    </row>
    <row r="339" spans="1:10" ht="9.75" customHeight="1" x14ac:dyDescent="0.3">
      <c r="A339" s="42"/>
      <c r="B339" s="43"/>
      <c r="G339">
        <v>1</v>
      </c>
      <c r="H339">
        <f t="shared" si="50"/>
        <v>8</v>
      </c>
      <c r="I339" t="str">
        <f t="shared" si="51"/>
        <v>08</v>
      </c>
      <c r="J339" s="44"/>
    </row>
    <row r="340" spans="1:10" ht="9.75" customHeight="1" x14ac:dyDescent="0.3">
      <c r="A340" s="42"/>
      <c r="B340" s="43"/>
      <c r="G340">
        <v>1</v>
      </c>
      <c r="H340">
        <f t="shared" si="50"/>
        <v>8</v>
      </c>
      <c r="I340" t="str">
        <f t="shared" si="51"/>
        <v>08</v>
      </c>
      <c r="J340" s="44"/>
    </row>
    <row r="341" spans="1:10" ht="9.75" customHeight="1" x14ac:dyDescent="0.3">
      <c r="A341" s="42"/>
      <c r="B341" s="43"/>
      <c r="G341">
        <v>1</v>
      </c>
      <c r="H341">
        <f t="shared" si="50"/>
        <v>8</v>
      </c>
      <c r="I341" t="str">
        <f t="shared" si="51"/>
        <v>08</v>
      </c>
      <c r="J341" s="44"/>
    </row>
    <row r="342" spans="1:10" ht="9.75" customHeight="1" x14ac:dyDescent="0.3">
      <c r="A342" s="42"/>
      <c r="B342" s="43"/>
      <c r="G342">
        <v>1</v>
      </c>
      <c r="H342">
        <f t="shared" si="50"/>
        <v>8</v>
      </c>
      <c r="I342" t="str">
        <f t="shared" si="51"/>
        <v>08</v>
      </c>
      <c r="J342" s="44"/>
    </row>
    <row r="343" spans="1:10" ht="9.75" customHeight="1" x14ac:dyDescent="0.3">
      <c r="A343" s="42"/>
      <c r="B343" s="43"/>
      <c r="C343">
        <v>1</v>
      </c>
      <c r="G343">
        <v>1</v>
      </c>
      <c r="H343">
        <f t="shared" si="50"/>
        <v>136</v>
      </c>
      <c r="I343" t="str">
        <f t="shared" si="51"/>
        <v>88</v>
      </c>
      <c r="J343" s="44"/>
    </row>
    <row r="344" spans="1:10" ht="9.75" customHeight="1" x14ac:dyDescent="0.3">
      <c r="A344" s="42"/>
      <c r="B344" s="43"/>
      <c r="D344">
        <v>1</v>
      </c>
      <c r="E344">
        <v>1</v>
      </c>
      <c r="F344">
        <v>1</v>
      </c>
      <c r="H344">
        <f t="shared" si="50"/>
        <v>112</v>
      </c>
      <c r="I344" t="str">
        <f t="shared" si="51"/>
        <v>70</v>
      </c>
      <c r="J344" s="44"/>
    </row>
    <row r="345" spans="1:10" ht="9.75" customHeight="1" x14ac:dyDescent="0.3">
      <c r="A345" s="42"/>
      <c r="B345" s="27"/>
      <c r="J345" s="25"/>
    </row>
    <row r="346" spans="1:10" ht="9.75" customHeight="1" x14ac:dyDescent="0.3">
      <c r="A346" s="42">
        <v>75</v>
      </c>
      <c r="B346" s="43" t="s">
        <v>128</v>
      </c>
      <c r="C346">
        <v>1</v>
      </c>
      <c r="G346">
        <v>1</v>
      </c>
      <c r="H346">
        <f t="shared" si="31"/>
        <v>136</v>
      </c>
      <c r="I346" t="str">
        <f t="shared" si="27"/>
        <v>88</v>
      </c>
      <c r="J346" s="44" t="str">
        <f>CONCATENATE("0x",I346,",0x",I347,",0x",I348,",0x",I349,",0x",I350,",0x",I351,",0x",I352,", //",B346)</f>
        <v>0x88,0x90,0xA0,0xC0,0xA0,0x90,0x88, //K</v>
      </c>
    </row>
    <row r="347" spans="1:10" ht="9.75" customHeight="1" x14ac:dyDescent="0.3">
      <c r="A347" s="42"/>
      <c r="B347" s="43"/>
      <c r="C347">
        <v>1</v>
      </c>
      <c r="F347">
        <v>1</v>
      </c>
      <c r="H347">
        <f t="shared" si="31"/>
        <v>144</v>
      </c>
      <c r="I347" t="str">
        <f t="shared" si="27"/>
        <v>90</v>
      </c>
      <c r="J347" s="44"/>
    </row>
    <row r="348" spans="1:10" ht="9.75" customHeight="1" x14ac:dyDescent="0.3">
      <c r="A348" s="42"/>
      <c r="B348" s="43"/>
      <c r="C348">
        <v>1</v>
      </c>
      <c r="E348">
        <v>1</v>
      </c>
      <c r="H348">
        <f t="shared" si="31"/>
        <v>160</v>
      </c>
      <c r="I348" t="str">
        <f t="shared" si="27"/>
        <v>A0</v>
      </c>
      <c r="J348" s="44"/>
    </row>
    <row r="349" spans="1:10" ht="9.75" customHeight="1" x14ac:dyDescent="0.3">
      <c r="A349" s="42"/>
      <c r="B349" s="43"/>
      <c r="C349">
        <v>1</v>
      </c>
      <c r="D349">
        <v>1</v>
      </c>
      <c r="H349">
        <f t="shared" si="31"/>
        <v>192</v>
      </c>
      <c r="I349" t="str">
        <f t="shared" si="27"/>
        <v>C0</v>
      </c>
      <c r="J349" s="44"/>
    </row>
    <row r="350" spans="1:10" ht="9.75" customHeight="1" x14ac:dyDescent="0.3">
      <c r="A350" s="42"/>
      <c r="B350" s="43"/>
      <c r="C350">
        <v>1</v>
      </c>
      <c r="E350">
        <v>1</v>
      </c>
      <c r="H350">
        <f t="shared" si="31"/>
        <v>160</v>
      </c>
      <c r="I350" t="str">
        <f t="shared" si="27"/>
        <v>A0</v>
      </c>
      <c r="J350" s="44"/>
    </row>
    <row r="351" spans="1:10" ht="9.75" customHeight="1" x14ac:dyDescent="0.3">
      <c r="A351" s="42"/>
      <c r="B351" s="43"/>
      <c r="C351">
        <v>1</v>
      </c>
      <c r="F351">
        <v>1</v>
      </c>
      <c r="H351">
        <f t="shared" si="31"/>
        <v>144</v>
      </c>
      <c r="I351" t="str">
        <f t="shared" si="27"/>
        <v>90</v>
      </c>
      <c r="J351" s="44"/>
    </row>
    <row r="352" spans="1:10" ht="9.75" customHeight="1" x14ac:dyDescent="0.3">
      <c r="A352" s="42"/>
      <c r="B352" s="43"/>
      <c r="C352">
        <v>1</v>
      </c>
      <c r="G352">
        <v>1</v>
      </c>
      <c r="H352">
        <f t="shared" si="31"/>
        <v>136</v>
      </c>
      <c r="I352" t="str">
        <f t="shared" si="27"/>
        <v>88</v>
      </c>
      <c r="J352" s="44"/>
    </row>
    <row r="353" spans="1:10" ht="9.75" customHeight="1" x14ac:dyDescent="0.3">
      <c r="A353" s="42"/>
      <c r="B353" s="27"/>
      <c r="J353" s="25"/>
    </row>
    <row r="354" spans="1:10" ht="9.75" customHeight="1" x14ac:dyDescent="0.3">
      <c r="A354" s="42">
        <v>76</v>
      </c>
      <c r="B354" s="43" t="s">
        <v>129</v>
      </c>
      <c r="C354">
        <v>1</v>
      </c>
      <c r="H354">
        <f t="shared" ref="H354:H360" si="52">C354*C$1+D354*D$1+E354*E$1+F354*F$1+G354*G$1</f>
        <v>128</v>
      </c>
      <c r="I354" t="str">
        <f t="shared" ref="I354:I360" si="53">DEC2HEX(H354,2)</f>
        <v>80</v>
      </c>
      <c r="J354" s="44" t="str">
        <f>CONCATENATE("0x",I354,",0x",I355,",0x",I356,",0x",I357,",0x",I358,",0x",I359,",0x",I360,", //",B354)</f>
        <v>0x80,0x80,0x80,0x80,0x80,0x80,0xF8, //L</v>
      </c>
    </row>
    <row r="355" spans="1:10" ht="9.75" customHeight="1" x14ac:dyDescent="0.3">
      <c r="A355" s="42"/>
      <c r="B355" s="43"/>
      <c r="C355">
        <v>1</v>
      </c>
      <c r="H355">
        <f t="shared" si="52"/>
        <v>128</v>
      </c>
      <c r="I355" t="str">
        <f t="shared" si="53"/>
        <v>80</v>
      </c>
      <c r="J355" s="44"/>
    </row>
    <row r="356" spans="1:10" ht="9.75" customHeight="1" x14ac:dyDescent="0.3">
      <c r="A356" s="42"/>
      <c r="B356" s="43"/>
      <c r="C356">
        <v>1</v>
      </c>
      <c r="H356">
        <f t="shared" si="52"/>
        <v>128</v>
      </c>
      <c r="I356" t="str">
        <f t="shared" si="53"/>
        <v>80</v>
      </c>
      <c r="J356" s="44"/>
    </row>
    <row r="357" spans="1:10" ht="9.75" customHeight="1" x14ac:dyDescent="0.3">
      <c r="A357" s="42"/>
      <c r="B357" s="43"/>
      <c r="C357">
        <v>1</v>
      </c>
      <c r="H357">
        <f t="shared" si="52"/>
        <v>128</v>
      </c>
      <c r="I357" t="str">
        <f t="shared" si="53"/>
        <v>80</v>
      </c>
      <c r="J357" s="44"/>
    </row>
    <row r="358" spans="1:10" ht="9.75" customHeight="1" x14ac:dyDescent="0.3">
      <c r="A358" s="42"/>
      <c r="B358" s="43"/>
      <c r="C358">
        <v>1</v>
      </c>
      <c r="H358">
        <f t="shared" si="52"/>
        <v>128</v>
      </c>
      <c r="I358" t="str">
        <f t="shared" si="53"/>
        <v>80</v>
      </c>
      <c r="J358" s="44"/>
    </row>
    <row r="359" spans="1:10" ht="9.75" customHeight="1" x14ac:dyDescent="0.3">
      <c r="A359" s="42"/>
      <c r="B359" s="43"/>
      <c r="C359">
        <v>1</v>
      </c>
      <c r="H359">
        <f t="shared" si="52"/>
        <v>128</v>
      </c>
      <c r="I359" t="str">
        <f t="shared" si="53"/>
        <v>80</v>
      </c>
      <c r="J359" s="44"/>
    </row>
    <row r="360" spans="1:10" ht="9.75" customHeight="1" x14ac:dyDescent="0.3">
      <c r="A360" s="42"/>
      <c r="B360" s="43"/>
      <c r="C360">
        <v>1</v>
      </c>
      <c r="D360">
        <v>1</v>
      </c>
      <c r="E360">
        <v>1</v>
      </c>
      <c r="F360">
        <v>1</v>
      </c>
      <c r="G360">
        <v>1</v>
      </c>
      <c r="H360">
        <f t="shared" si="52"/>
        <v>248</v>
      </c>
      <c r="I360" t="str">
        <f t="shared" si="53"/>
        <v>F8</v>
      </c>
      <c r="J360" s="44"/>
    </row>
    <row r="361" spans="1:10" ht="9.75" customHeight="1" x14ac:dyDescent="0.3">
      <c r="A361" s="42"/>
      <c r="B361" s="27"/>
      <c r="J361" s="25"/>
    </row>
    <row r="362" spans="1:10" ht="9.75" customHeight="1" x14ac:dyDescent="0.3">
      <c r="A362" s="42">
        <v>77</v>
      </c>
      <c r="B362" s="43" t="s">
        <v>130</v>
      </c>
      <c r="C362">
        <v>1</v>
      </c>
      <c r="G362">
        <v>1</v>
      </c>
      <c r="H362">
        <f t="shared" si="31"/>
        <v>136</v>
      </c>
      <c r="I362" t="str">
        <f t="shared" si="27"/>
        <v>88</v>
      </c>
      <c r="J362" s="44" t="str">
        <f>CONCATENATE("0x",I362,",0x",I363,",0x",I364,",0x",I365,",0x",I366,",0x",I367,",0x",I368,", //",B362)</f>
        <v>0x88,0xD8,0xA8,0x88,0x88,0x88,0x88, //M</v>
      </c>
    </row>
    <row r="363" spans="1:10" ht="9.75" customHeight="1" x14ac:dyDescent="0.3">
      <c r="A363" s="42"/>
      <c r="B363" s="43"/>
      <c r="C363">
        <v>1</v>
      </c>
      <c r="D363">
        <v>1</v>
      </c>
      <c r="F363">
        <v>1</v>
      </c>
      <c r="G363">
        <v>1</v>
      </c>
      <c r="H363">
        <f t="shared" si="31"/>
        <v>216</v>
      </c>
      <c r="I363" t="str">
        <f t="shared" si="27"/>
        <v>D8</v>
      </c>
      <c r="J363" s="44"/>
    </row>
    <row r="364" spans="1:10" ht="9.75" customHeight="1" x14ac:dyDescent="0.3">
      <c r="A364" s="42"/>
      <c r="B364" s="43"/>
      <c r="C364">
        <v>1</v>
      </c>
      <c r="E364">
        <v>1</v>
      </c>
      <c r="G364">
        <v>1</v>
      </c>
      <c r="H364">
        <f t="shared" si="31"/>
        <v>168</v>
      </c>
      <c r="I364" t="str">
        <f t="shared" si="27"/>
        <v>A8</v>
      </c>
      <c r="J364" s="44"/>
    </row>
    <row r="365" spans="1:10" ht="9.75" customHeight="1" x14ac:dyDescent="0.3">
      <c r="A365" s="42"/>
      <c r="B365" s="43"/>
      <c r="C365">
        <v>1</v>
      </c>
      <c r="G365">
        <v>1</v>
      </c>
      <c r="H365">
        <f t="shared" si="31"/>
        <v>136</v>
      </c>
      <c r="I365" t="str">
        <f t="shared" si="27"/>
        <v>88</v>
      </c>
      <c r="J365" s="44"/>
    </row>
    <row r="366" spans="1:10" ht="9.75" customHeight="1" x14ac:dyDescent="0.3">
      <c r="A366" s="42"/>
      <c r="B366" s="43"/>
      <c r="C366">
        <v>1</v>
      </c>
      <c r="G366">
        <v>1</v>
      </c>
      <c r="H366">
        <f t="shared" si="31"/>
        <v>136</v>
      </c>
      <c r="I366" t="str">
        <f t="shared" si="27"/>
        <v>88</v>
      </c>
      <c r="J366" s="44"/>
    </row>
    <row r="367" spans="1:10" ht="9.75" customHeight="1" x14ac:dyDescent="0.3">
      <c r="A367" s="42"/>
      <c r="B367" s="43"/>
      <c r="C367">
        <v>1</v>
      </c>
      <c r="G367">
        <v>1</v>
      </c>
      <c r="H367">
        <f t="shared" si="31"/>
        <v>136</v>
      </c>
      <c r="I367" t="str">
        <f t="shared" si="27"/>
        <v>88</v>
      </c>
      <c r="J367" s="44"/>
    </row>
    <row r="368" spans="1:10" ht="9.75" customHeight="1" x14ac:dyDescent="0.3">
      <c r="A368" s="42"/>
      <c r="B368" s="43"/>
      <c r="C368">
        <v>1</v>
      </c>
      <c r="G368">
        <v>1</v>
      </c>
      <c r="H368">
        <f t="shared" si="31"/>
        <v>136</v>
      </c>
      <c r="I368" t="str">
        <f t="shared" si="27"/>
        <v>88</v>
      </c>
      <c r="J368" s="44"/>
    </row>
    <row r="369" spans="1:10" ht="9.75" customHeight="1" x14ac:dyDescent="0.3">
      <c r="A369" s="42"/>
      <c r="B369" s="27"/>
      <c r="J369" s="25"/>
    </row>
    <row r="370" spans="1:10" ht="9.75" customHeight="1" x14ac:dyDescent="0.3">
      <c r="A370" s="42">
        <v>78</v>
      </c>
      <c r="B370" s="43" t="s">
        <v>131</v>
      </c>
      <c r="C370">
        <v>1</v>
      </c>
      <c r="G370">
        <v>1</v>
      </c>
      <c r="H370">
        <f t="shared" ref="H370:H376" si="54">C370*C$1+D370*D$1+E370*E$1+F370*F$1+G370*G$1</f>
        <v>136</v>
      </c>
      <c r="I370" t="str">
        <f t="shared" ref="I370:I376" si="55">DEC2HEX(H370,2)</f>
        <v>88</v>
      </c>
      <c r="J370" s="44" t="str">
        <f>CONCATENATE("0x",I370,",0x",I371,",0x",I372,",0x",I373,",0x",I374,",0x",I375,",0x",I376,", //",B370)</f>
        <v>0x88,0x88,0xC8,0xA8,0x98,0x88,0x88, //N</v>
      </c>
    </row>
    <row r="371" spans="1:10" ht="9.75" customHeight="1" x14ac:dyDescent="0.3">
      <c r="A371" s="42"/>
      <c r="B371" s="43"/>
      <c r="C371">
        <v>1</v>
      </c>
      <c r="G371">
        <v>1</v>
      </c>
      <c r="H371">
        <f t="shared" si="54"/>
        <v>136</v>
      </c>
      <c r="I371" t="str">
        <f t="shared" si="55"/>
        <v>88</v>
      </c>
      <c r="J371" s="44"/>
    </row>
    <row r="372" spans="1:10" ht="9.75" customHeight="1" x14ac:dyDescent="0.3">
      <c r="A372" s="42"/>
      <c r="B372" s="43"/>
      <c r="C372">
        <v>1</v>
      </c>
      <c r="D372">
        <v>1</v>
      </c>
      <c r="G372">
        <v>1</v>
      </c>
      <c r="H372">
        <f t="shared" si="54"/>
        <v>200</v>
      </c>
      <c r="I372" t="str">
        <f t="shared" si="55"/>
        <v>C8</v>
      </c>
      <c r="J372" s="44"/>
    </row>
    <row r="373" spans="1:10" ht="9.75" customHeight="1" x14ac:dyDescent="0.3">
      <c r="A373" s="42"/>
      <c r="B373" s="43"/>
      <c r="C373">
        <v>1</v>
      </c>
      <c r="E373">
        <v>1</v>
      </c>
      <c r="G373">
        <v>1</v>
      </c>
      <c r="H373">
        <f t="shared" si="54"/>
        <v>168</v>
      </c>
      <c r="I373" t="str">
        <f t="shared" si="55"/>
        <v>A8</v>
      </c>
      <c r="J373" s="44"/>
    </row>
    <row r="374" spans="1:10" ht="9.75" customHeight="1" x14ac:dyDescent="0.3">
      <c r="A374" s="42"/>
      <c r="B374" s="43"/>
      <c r="C374">
        <v>1</v>
      </c>
      <c r="F374">
        <v>1</v>
      </c>
      <c r="G374">
        <v>1</v>
      </c>
      <c r="H374">
        <f t="shared" si="54"/>
        <v>152</v>
      </c>
      <c r="I374" t="str">
        <f t="shared" si="55"/>
        <v>98</v>
      </c>
      <c r="J374" s="44"/>
    </row>
    <row r="375" spans="1:10" ht="9.75" customHeight="1" x14ac:dyDescent="0.3">
      <c r="A375" s="42"/>
      <c r="B375" s="43"/>
      <c r="C375">
        <v>1</v>
      </c>
      <c r="G375">
        <v>1</v>
      </c>
      <c r="H375">
        <f t="shared" si="54"/>
        <v>136</v>
      </c>
      <c r="I375" t="str">
        <f t="shared" si="55"/>
        <v>88</v>
      </c>
      <c r="J375" s="44"/>
    </row>
    <row r="376" spans="1:10" ht="9.75" customHeight="1" x14ac:dyDescent="0.3">
      <c r="A376" s="42"/>
      <c r="B376" s="43"/>
      <c r="C376">
        <v>1</v>
      </c>
      <c r="G376">
        <v>1</v>
      </c>
      <c r="H376">
        <f t="shared" si="54"/>
        <v>136</v>
      </c>
      <c r="I376" t="str">
        <f t="shared" si="55"/>
        <v>88</v>
      </c>
      <c r="J376" s="44"/>
    </row>
    <row r="377" spans="1:10" ht="9.75" customHeight="1" x14ac:dyDescent="0.3">
      <c r="A377" s="42"/>
      <c r="B377" s="27"/>
      <c r="J377" s="25"/>
    </row>
    <row r="378" spans="1:10" ht="9.75" customHeight="1" x14ac:dyDescent="0.3">
      <c r="A378" s="42">
        <v>79</v>
      </c>
      <c r="B378" s="43" t="s">
        <v>132</v>
      </c>
      <c r="D378">
        <v>1</v>
      </c>
      <c r="E378">
        <v>1</v>
      </c>
      <c r="F378">
        <v>1</v>
      </c>
      <c r="H378">
        <f t="shared" si="31"/>
        <v>112</v>
      </c>
      <c r="I378" t="str">
        <f t="shared" si="27"/>
        <v>70</v>
      </c>
      <c r="J378" s="44" t="str">
        <f>CONCATENATE("0x",I378,",0x",I379,",0x",I380,",0x",I381,",0x",I382,",0x",I383,",0x",I384,", //",B378)</f>
        <v>0x70,0x88,0x88,0x88,0x88,0x88,0x70, //O</v>
      </c>
    </row>
    <row r="379" spans="1:10" ht="9.75" customHeight="1" x14ac:dyDescent="0.3">
      <c r="A379" s="42"/>
      <c r="B379" s="43"/>
      <c r="C379">
        <v>1</v>
      </c>
      <c r="G379">
        <v>1</v>
      </c>
      <c r="H379">
        <f t="shared" si="31"/>
        <v>136</v>
      </c>
      <c r="I379" t="str">
        <f t="shared" si="27"/>
        <v>88</v>
      </c>
      <c r="J379" s="44"/>
    </row>
    <row r="380" spans="1:10" ht="9.75" customHeight="1" x14ac:dyDescent="0.3">
      <c r="A380" s="42"/>
      <c r="B380" s="43"/>
      <c r="C380">
        <v>1</v>
      </c>
      <c r="G380">
        <v>1</v>
      </c>
      <c r="H380">
        <f t="shared" si="31"/>
        <v>136</v>
      </c>
      <c r="I380" t="str">
        <f t="shared" si="27"/>
        <v>88</v>
      </c>
      <c r="J380" s="44"/>
    </row>
    <row r="381" spans="1:10" ht="9.75" customHeight="1" x14ac:dyDescent="0.3">
      <c r="A381" s="42"/>
      <c r="B381" s="43"/>
      <c r="C381">
        <v>1</v>
      </c>
      <c r="G381">
        <v>1</v>
      </c>
      <c r="H381">
        <f t="shared" si="31"/>
        <v>136</v>
      </c>
      <c r="I381" t="str">
        <f t="shared" si="27"/>
        <v>88</v>
      </c>
      <c r="J381" s="44"/>
    </row>
    <row r="382" spans="1:10" ht="9.75" customHeight="1" x14ac:dyDescent="0.3">
      <c r="A382" s="42"/>
      <c r="B382" s="43"/>
      <c r="C382">
        <v>1</v>
      </c>
      <c r="G382">
        <v>1</v>
      </c>
      <c r="H382">
        <f t="shared" si="31"/>
        <v>136</v>
      </c>
      <c r="I382" t="str">
        <f t="shared" si="27"/>
        <v>88</v>
      </c>
      <c r="J382" s="44"/>
    </row>
    <row r="383" spans="1:10" ht="9.75" customHeight="1" x14ac:dyDescent="0.3">
      <c r="A383" s="42"/>
      <c r="B383" s="43"/>
      <c r="C383">
        <v>1</v>
      </c>
      <c r="G383">
        <v>1</v>
      </c>
      <c r="H383">
        <f t="shared" si="31"/>
        <v>136</v>
      </c>
      <c r="I383" t="str">
        <f t="shared" si="27"/>
        <v>88</v>
      </c>
      <c r="J383" s="44"/>
    </row>
    <row r="384" spans="1:10" ht="9.75" customHeight="1" x14ac:dyDescent="0.3">
      <c r="A384" s="42"/>
      <c r="B384" s="43"/>
      <c r="D384">
        <v>1</v>
      </c>
      <c r="E384">
        <v>1</v>
      </c>
      <c r="F384">
        <v>1</v>
      </c>
      <c r="H384">
        <f t="shared" si="31"/>
        <v>112</v>
      </c>
      <c r="I384" t="str">
        <f t="shared" si="27"/>
        <v>70</v>
      </c>
      <c r="J384" s="44"/>
    </row>
    <row r="385" spans="1:10" ht="9.75" customHeight="1" x14ac:dyDescent="0.3">
      <c r="A385" s="42"/>
      <c r="B385" s="27"/>
      <c r="J385" s="25"/>
    </row>
    <row r="386" spans="1:10" ht="9.75" customHeight="1" x14ac:dyDescent="0.3">
      <c r="A386" s="42">
        <v>80</v>
      </c>
      <c r="B386" s="43" t="s">
        <v>133</v>
      </c>
      <c r="C386">
        <v>1</v>
      </c>
      <c r="D386">
        <v>1</v>
      </c>
      <c r="E386">
        <v>1</v>
      </c>
      <c r="F386">
        <v>1</v>
      </c>
      <c r="H386">
        <f t="shared" ref="H386:H392" si="56">C386*C$1+D386*D$1+E386*E$1+F386*F$1+G386*G$1</f>
        <v>240</v>
      </c>
      <c r="I386" t="str">
        <f t="shared" ref="I386:I392" si="57">DEC2HEX(H386,2)</f>
        <v>F0</v>
      </c>
      <c r="J386" s="44" t="str">
        <f>CONCATENATE("0x",I386,",0x",I387,",0x",I388,",0x",I389,",0x",I390,",0x",I391,",0x",I392,", //",B386)</f>
        <v>0xF0,0x88,0x88,0xF0,0x80,0x80,0x80, //P</v>
      </c>
    </row>
    <row r="387" spans="1:10" ht="9.75" customHeight="1" x14ac:dyDescent="0.3">
      <c r="A387" s="42"/>
      <c r="B387" s="43"/>
      <c r="C387">
        <v>1</v>
      </c>
      <c r="G387">
        <v>1</v>
      </c>
      <c r="H387">
        <f t="shared" si="56"/>
        <v>136</v>
      </c>
      <c r="I387" t="str">
        <f t="shared" si="57"/>
        <v>88</v>
      </c>
      <c r="J387" s="44"/>
    </row>
    <row r="388" spans="1:10" ht="9.75" customHeight="1" x14ac:dyDescent="0.3">
      <c r="A388" s="42"/>
      <c r="B388" s="43"/>
      <c r="C388">
        <v>1</v>
      </c>
      <c r="G388">
        <v>1</v>
      </c>
      <c r="H388">
        <f t="shared" si="56"/>
        <v>136</v>
      </c>
      <c r="I388" t="str">
        <f t="shared" si="57"/>
        <v>88</v>
      </c>
      <c r="J388" s="44"/>
    </row>
    <row r="389" spans="1:10" ht="9.75" customHeight="1" x14ac:dyDescent="0.3">
      <c r="A389" s="42"/>
      <c r="B389" s="43"/>
      <c r="C389">
        <v>1</v>
      </c>
      <c r="D389">
        <v>1</v>
      </c>
      <c r="E389">
        <v>1</v>
      </c>
      <c r="F389">
        <v>1</v>
      </c>
      <c r="H389">
        <f t="shared" si="56"/>
        <v>240</v>
      </c>
      <c r="I389" t="str">
        <f t="shared" si="57"/>
        <v>F0</v>
      </c>
      <c r="J389" s="44"/>
    </row>
    <row r="390" spans="1:10" ht="9.75" customHeight="1" x14ac:dyDescent="0.3">
      <c r="A390" s="42"/>
      <c r="B390" s="43"/>
      <c r="C390">
        <v>1</v>
      </c>
      <c r="H390">
        <f t="shared" si="56"/>
        <v>128</v>
      </c>
      <c r="I390" t="str">
        <f t="shared" si="57"/>
        <v>80</v>
      </c>
      <c r="J390" s="44"/>
    </row>
    <row r="391" spans="1:10" ht="9.75" customHeight="1" x14ac:dyDescent="0.3">
      <c r="A391" s="42"/>
      <c r="B391" s="43"/>
      <c r="C391">
        <v>1</v>
      </c>
      <c r="H391">
        <f t="shared" si="56"/>
        <v>128</v>
      </c>
      <c r="I391" t="str">
        <f t="shared" si="57"/>
        <v>80</v>
      </c>
      <c r="J391" s="44"/>
    </row>
    <row r="392" spans="1:10" ht="9.75" customHeight="1" x14ac:dyDescent="0.3">
      <c r="A392" s="42"/>
      <c r="B392" s="43"/>
      <c r="C392">
        <v>1</v>
      </c>
      <c r="H392">
        <f t="shared" si="56"/>
        <v>128</v>
      </c>
      <c r="I392" t="str">
        <f t="shared" si="57"/>
        <v>80</v>
      </c>
      <c r="J392" s="44"/>
    </row>
    <row r="393" spans="1:10" ht="9.75" customHeight="1" x14ac:dyDescent="0.3">
      <c r="A393" s="42"/>
      <c r="B393" s="27"/>
      <c r="J393" s="25"/>
    </row>
    <row r="394" spans="1:10" ht="9.75" customHeight="1" x14ac:dyDescent="0.3">
      <c r="A394" s="42">
        <v>81</v>
      </c>
      <c r="B394" s="43" t="s">
        <v>134</v>
      </c>
      <c r="D394">
        <v>1</v>
      </c>
      <c r="E394">
        <v>1</v>
      </c>
      <c r="F394">
        <v>1</v>
      </c>
      <c r="H394">
        <f t="shared" si="31"/>
        <v>112</v>
      </c>
      <c r="I394" t="str">
        <f t="shared" si="27"/>
        <v>70</v>
      </c>
      <c r="J394" s="44" t="str">
        <f>CONCATENATE("0x",I394,",0x",I395,",0x",I396,",0x",I397,",0x",I398,",0x",I399,",0x",I400,", //",B394)</f>
        <v>0x70,0x88,0x88,0x88,0x88,0x98,0x78, //Q</v>
      </c>
    </row>
    <row r="395" spans="1:10" ht="9.75" customHeight="1" x14ac:dyDescent="0.3">
      <c r="A395" s="42"/>
      <c r="B395" s="43"/>
      <c r="C395">
        <v>1</v>
      </c>
      <c r="G395">
        <v>1</v>
      </c>
      <c r="H395">
        <f t="shared" si="31"/>
        <v>136</v>
      </c>
      <c r="I395" t="str">
        <f t="shared" si="27"/>
        <v>88</v>
      </c>
      <c r="J395" s="44"/>
    </row>
    <row r="396" spans="1:10" ht="9.75" customHeight="1" x14ac:dyDescent="0.3">
      <c r="A396" s="42"/>
      <c r="B396" s="43"/>
      <c r="C396">
        <v>1</v>
      </c>
      <c r="G396">
        <v>1</v>
      </c>
      <c r="H396">
        <f t="shared" si="31"/>
        <v>136</v>
      </c>
      <c r="I396" t="str">
        <f t="shared" si="27"/>
        <v>88</v>
      </c>
      <c r="J396" s="44"/>
    </row>
    <row r="397" spans="1:10" ht="9.75" customHeight="1" x14ac:dyDescent="0.3">
      <c r="A397" s="42"/>
      <c r="B397" s="43"/>
      <c r="C397">
        <v>1</v>
      </c>
      <c r="G397">
        <v>1</v>
      </c>
      <c r="H397">
        <f t="shared" si="31"/>
        <v>136</v>
      </c>
      <c r="I397" t="str">
        <f t="shared" si="27"/>
        <v>88</v>
      </c>
      <c r="J397" s="44"/>
    </row>
    <row r="398" spans="1:10" ht="9.75" customHeight="1" x14ac:dyDescent="0.3">
      <c r="A398" s="42"/>
      <c r="B398" s="43"/>
      <c r="C398">
        <v>1</v>
      </c>
      <c r="G398">
        <v>1</v>
      </c>
      <c r="H398">
        <f t="shared" si="31"/>
        <v>136</v>
      </c>
      <c r="I398" t="str">
        <f t="shared" si="27"/>
        <v>88</v>
      </c>
      <c r="J398" s="44"/>
    </row>
    <row r="399" spans="1:10" ht="9.75" customHeight="1" x14ac:dyDescent="0.3">
      <c r="A399" s="42"/>
      <c r="B399" s="43"/>
      <c r="C399">
        <v>1</v>
      </c>
      <c r="F399">
        <v>1</v>
      </c>
      <c r="G399">
        <v>1</v>
      </c>
      <c r="H399">
        <f t="shared" si="31"/>
        <v>152</v>
      </c>
      <c r="I399" t="str">
        <f t="shared" si="27"/>
        <v>98</v>
      </c>
      <c r="J399" s="44"/>
    </row>
    <row r="400" spans="1:10" ht="9.75" customHeight="1" x14ac:dyDescent="0.3">
      <c r="A400" s="42"/>
      <c r="B400" s="43"/>
      <c r="D400">
        <v>1</v>
      </c>
      <c r="E400">
        <v>1</v>
      </c>
      <c r="F400">
        <v>1</v>
      </c>
      <c r="G400">
        <v>1</v>
      </c>
      <c r="H400">
        <f t="shared" si="31"/>
        <v>120</v>
      </c>
      <c r="I400" t="str">
        <f t="shared" si="27"/>
        <v>78</v>
      </c>
      <c r="J400" s="44"/>
    </row>
    <row r="401" spans="1:10" ht="9.75" customHeight="1" x14ac:dyDescent="0.3">
      <c r="A401" s="42"/>
      <c r="B401" s="27"/>
      <c r="J401" s="25"/>
    </row>
    <row r="402" spans="1:10" ht="9.75" customHeight="1" x14ac:dyDescent="0.3">
      <c r="A402" s="42">
        <v>82</v>
      </c>
      <c r="B402" s="43" t="s">
        <v>135</v>
      </c>
      <c r="C402">
        <v>1</v>
      </c>
      <c r="D402">
        <v>1</v>
      </c>
      <c r="E402">
        <v>1</v>
      </c>
      <c r="F402">
        <v>1</v>
      </c>
      <c r="H402">
        <f t="shared" ref="H402:H408" si="58">C402*C$1+D402*D$1+E402*E$1+F402*F$1+G402*G$1</f>
        <v>240</v>
      </c>
      <c r="I402" t="str">
        <f t="shared" ref="I402:I408" si="59">DEC2HEX(H402,2)</f>
        <v>F0</v>
      </c>
      <c r="J402" s="44" t="str">
        <f>CONCATENATE("0x",I402,",0x",I403,",0x",I404,",0x",I405,",0x",I406,",0x",I407,",0x",I408,", //",B402)</f>
        <v>0xF0,0x88,0x88,0xF0,0x90,0x88,0x88, //R</v>
      </c>
    </row>
    <row r="403" spans="1:10" ht="9.75" customHeight="1" x14ac:dyDescent="0.3">
      <c r="A403" s="42"/>
      <c r="B403" s="43"/>
      <c r="C403">
        <v>1</v>
      </c>
      <c r="G403">
        <v>1</v>
      </c>
      <c r="H403">
        <f t="shared" si="58"/>
        <v>136</v>
      </c>
      <c r="I403" t="str">
        <f t="shared" si="59"/>
        <v>88</v>
      </c>
      <c r="J403" s="44"/>
    </row>
    <row r="404" spans="1:10" ht="9.75" customHeight="1" x14ac:dyDescent="0.3">
      <c r="A404" s="42"/>
      <c r="B404" s="43"/>
      <c r="C404">
        <v>1</v>
      </c>
      <c r="G404">
        <v>1</v>
      </c>
      <c r="H404">
        <f t="shared" si="58"/>
        <v>136</v>
      </c>
      <c r="I404" t="str">
        <f t="shared" si="59"/>
        <v>88</v>
      </c>
      <c r="J404" s="44"/>
    </row>
    <row r="405" spans="1:10" ht="9.75" customHeight="1" x14ac:dyDescent="0.3">
      <c r="A405" s="42"/>
      <c r="B405" s="43"/>
      <c r="C405">
        <v>1</v>
      </c>
      <c r="D405">
        <v>1</v>
      </c>
      <c r="E405">
        <v>1</v>
      </c>
      <c r="F405">
        <v>1</v>
      </c>
      <c r="H405">
        <f t="shared" si="58"/>
        <v>240</v>
      </c>
      <c r="I405" t="str">
        <f t="shared" si="59"/>
        <v>F0</v>
      </c>
      <c r="J405" s="44"/>
    </row>
    <row r="406" spans="1:10" ht="9.75" customHeight="1" x14ac:dyDescent="0.3">
      <c r="A406" s="42"/>
      <c r="B406" s="43"/>
      <c r="C406">
        <v>1</v>
      </c>
      <c r="F406">
        <v>1</v>
      </c>
      <c r="H406">
        <f t="shared" si="58"/>
        <v>144</v>
      </c>
      <c r="I406" t="str">
        <f t="shared" si="59"/>
        <v>90</v>
      </c>
      <c r="J406" s="44"/>
    </row>
    <row r="407" spans="1:10" ht="9.75" customHeight="1" x14ac:dyDescent="0.3">
      <c r="A407" s="42"/>
      <c r="B407" s="43"/>
      <c r="C407">
        <v>1</v>
      </c>
      <c r="G407">
        <v>1</v>
      </c>
      <c r="H407">
        <f t="shared" si="58"/>
        <v>136</v>
      </c>
      <c r="I407" t="str">
        <f t="shared" si="59"/>
        <v>88</v>
      </c>
      <c r="J407" s="44"/>
    </row>
    <row r="408" spans="1:10" ht="9.75" customHeight="1" x14ac:dyDescent="0.3">
      <c r="A408" s="42"/>
      <c r="B408" s="43"/>
      <c r="C408">
        <v>1</v>
      </c>
      <c r="G408">
        <v>1</v>
      </c>
      <c r="H408">
        <f t="shared" si="58"/>
        <v>136</v>
      </c>
      <c r="I408" t="str">
        <f t="shared" si="59"/>
        <v>88</v>
      </c>
      <c r="J408" s="44"/>
    </row>
    <row r="409" spans="1:10" ht="9.75" customHeight="1" x14ac:dyDescent="0.3">
      <c r="A409" s="42"/>
      <c r="B409" s="27"/>
      <c r="J409" s="25"/>
    </row>
    <row r="410" spans="1:10" ht="9.75" customHeight="1" x14ac:dyDescent="0.3">
      <c r="A410" s="42">
        <v>83</v>
      </c>
      <c r="B410" s="43" t="s">
        <v>136</v>
      </c>
      <c r="D410">
        <v>1</v>
      </c>
      <c r="E410">
        <v>1</v>
      </c>
      <c r="F410">
        <v>1</v>
      </c>
      <c r="H410">
        <f t="shared" si="31"/>
        <v>112</v>
      </c>
      <c r="I410" t="str">
        <f t="shared" si="27"/>
        <v>70</v>
      </c>
      <c r="J410" s="44" t="str">
        <f>CONCATENATE("0x",I410,",0x",I411,",0x",I412,",0x",I413,",0x",I414,",0x",I415,",0x",I416,", //",B410)</f>
        <v>0x70,0x88,0x80,0x70,0x08,0x88,0x70, //S</v>
      </c>
    </row>
    <row r="411" spans="1:10" ht="9.75" customHeight="1" x14ac:dyDescent="0.3">
      <c r="A411" s="42"/>
      <c r="B411" s="43"/>
      <c r="C411">
        <v>1</v>
      </c>
      <c r="G411">
        <v>1</v>
      </c>
      <c r="H411">
        <f t="shared" si="31"/>
        <v>136</v>
      </c>
      <c r="I411" t="str">
        <f t="shared" si="27"/>
        <v>88</v>
      </c>
      <c r="J411" s="44"/>
    </row>
    <row r="412" spans="1:10" ht="9.75" customHeight="1" x14ac:dyDescent="0.3">
      <c r="A412" s="42"/>
      <c r="B412" s="43"/>
      <c r="C412">
        <v>1</v>
      </c>
      <c r="H412">
        <f t="shared" si="31"/>
        <v>128</v>
      </c>
      <c r="I412" t="str">
        <f t="shared" si="27"/>
        <v>80</v>
      </c>
      <c r="J412" s="44"/>
    </row>
    <row r="413" spans="1:10" ht="9.75" customHeight="1" x14ac:dyDescent="0.3">
      <c r="A413" s="42"/>
      <c r="B413" s="43"/>
      <c r="D413">
        <v>1</v>
      </c>
      <c r="E413">
        <v>1</v>
      </c>
      <c r="F413">
        <v>1</v>
      </c>
      <c r="H413">
        <f t="shared" si="31"/>
        <v>112</v>
      </c>
      <c r="I413" t="str">
        <f t="shared" si="27"/>
        <v>70</v>
      </c>
      <c r="J413" s="44"/>
    </row>
    <row r="414" spans="1:10" ht="9.75" customHeight="1" x14ac:dyDescent="0.3">
      <c r="A414" s="42"/>
      <c r="B414" s="43"/>
      <c r="G414">
        <v>1</v>
      </c>
      <c r="H414">
        <f t="shared" si="31"/>
        <v>8</v>
      </c>
      <c r="I414" t="str">
        <f t="shared" si="27"/>
        <v>08</v>
      </c>
      <c r="J414" s="44"/>
    </row>
    <row r="415" spans="1:10" ht="9.75" customHeight="1" x14ac:dyDescent="0.3">
      <c r="A415" s="42"/>
      <c r="B415" s="43"/>
      <c r="C415">
        <v>1</v>
      </c>
      <c r="G415">
        <v>1</v>
      </c>
      <c r="H415">
        <f t="shared" si="31"/>
        <v>136</v>
      </c>
      <c r="I415" t="str">
        <f t="shared" si="27"/>
        <v>88</v>
      </c>
      <c r="J415" s="44"/>
    </row>
    <row r="416" spans="1:10" ht="9.75" customHeight="1" x14ac:dyDescent="0.3">
      <c r="A416" s="42"/>
      <c r="B416" s="43"/>
      <c r="D416">
        <v>1</v>
      </c>
      <c r="E416">
        <v>1</v>
      </c>
      <c r="F416">
        <v>1</v>
      </c>
      <c r="H416">
        <f t="shared" si="31"/>
        <v>112</v>
      </c>
      <c r="I416" t="str">
        <f t="shared" si="27"/>
        <v>70</v>
      </c>
      <c r="J416" s="44"/>
    </row>
    <row r="417" spans="1:10" ht="9.75" customHeight="1" x14ac:dyDescent="0.3">
      <c r="A417" s="42"/>
      <c r="B417" s="27"/>
      <c r="J417" s="25"/>
    </row>
    <row r="418" spans="1:10" ht="9.75" customHeight="1" x14ac:dyDescent="0.3">
      <c r="A418" s="42">
        <v>84</v>
      </c>
      <c r="B418" s="43" t="s">
        <v>137</v>
      </c>
      <c r="C418">
        <v>1</v>
      </c>
      <c r="D418">
        <v>1</v>
      </c>
      <c r="E418">
        <v>1</v>
      </c>
      <c r="F418">
        <v>1</v>
      </c>
      <c r="G418">
        <v>1</v>
      </c>
      <c r="H418">
        <f t="shared" ref="H418:H424" si="60">C418*C$1+D418*D$1+E418*E$1+F418*F$1+G418*G$1</f>
        <v>248</v>
      </c>
      <c r="I418" t="str">
        <f t="shared" ref="I418:I424" si="61">DEC2HEX(H418,2)</f>
        <v>F8</v>
      </c>
      <c r="J418" s="44" t="str">
        <f>CONCATENATE("0x",I418,",0x",I419,",0x",I420,",0x",I421,",0x",I422,",0x",I423,",0x",I424,", //",B418)</f>
        <v>0xF8,0x20,0x20,0x20,0x20,0x20,0x20, //T</v>
      </c>
    </row>
    <row r="419" spans="1:10" ht="9.75" customHeight="1" x14ac:dyDescent="0.3">
      <c r="A419" s="42"/>
      <c r="B419" s="43"/>
      <c r="E419">
        <v>1</v>
      </c>
      <c r="H419">
        <f t="shared" si="60"/>
        <v>32</v>
      </c>
      <c r="I419" t="str">
        <f t="shared" si="61"/>
        <v>20</v>
      </c>
      <c r="J419" s="44"/>
    </row>
    <row r="420" spans="1:10" ht="9.75" customHeight="1" x14ac:dyDescent="0.3">
      <c r="A420" s="42"/>
      <c r="B420" s="43"/>
      <c r="E420">
        <v>1</v>
      </c>
      <c r="H420">
        <f t="shared" si="60"/>
        <v>32</v>
      </c>
      <c r="I420" t="str">
        <f t="shared" si="61"/>
        <v>20</v>
      </c>
      <c r="J420" s="44"/>
    </row>
    <row r="421" spans="1:10" ht="9.75" customHeight="1" x14ac:dyDescent="0.3">
      <c r="A421" s="42"/>
      <c r="B421" s="43"/>
      <c r="E421">
        <v>1</v>
      </c>
      <c r="H421">
        <f t="shared" si="60"/>
        <v>32</v>
      </c>
      <c r="I421" t="str">
        <f t="shared" si="61"/>
        <v>20</v>
      </c>
      <c r="J421" s="44"/>
    </row>
    <row r="422" spans="1:10" ht="9.75" customHeight="1" x14ac:dyDescent="0.3">
      <c r="A422" s="42"/>
      <c r="B422" s="43"/>
      <c r="E422">
        <v>1</v>
      </c>
      <c r="H422">
        <f t="shared" si="60"/>
        <v>32</v>
      </c>
      <c r="I422" t="str">
        <f t="shared" si="61"/>
        <v>20</v>
      </c>
      <c r="J422" s="44"/>
    </row>
    <row r="423" spans="1:10" ht="9.75" customHeight="1" x14ac:dyDescent="0.3">
      <c r="A423" s="42"/>
      <c r="B423" s="43"/>
      <c r="E423">
        <v>1</v>
      </c>
      <c r="H423">
        <f t="shared" si="60"/>
        <v>32</v>
      </c>
      <c r="I423" t="str">
        <f t="shared" si="61"/>
        <v>20</v>
      </c>
      <c r="J423" s="44"/>
    </row>
    <row r="424" spans="1:10" ht="9.75" customHeight="1" x14ac:dyDescent="0.3">
      <c r="A424" s="42"/>
      <c r="B424" s="43"/>
      <c r="E424">
        <v>1</v>
      </c>
      <c r="H424">
        <f t="shared" si="60"/>
        <v>32</v>
      </c>
      <c r="I424" t="str">
        <f t="shared" si="61"/>
        <v>20</v>
      </c>
      <c r="J424" s="44"/>
    </row>
    <row r="425" spans="1:10" ht="9.75" customHeight="1" x14ac:dyDescent="0.3">
      <c r="A425" s="42"/>
      <c r="B425" s="27"/>
      <c r="J425" s="25"/>
    </row>
    <row r="426" spans="1:10" ht="9.75" customHeight="1" x14ac:dyDescent="0.3">
      <c r="A426" s="42">
        <v>85</v>
      </c>
      <c r="B426" s="43" t="s">
        <v>138</v>
      </c>
      <c r="C426">
        <v>1</v>
      </c>
      <c r="G426">
        <v>1</v>
      </c>
      <c r="H426">
        <f t="shared" si="31"/>
        <v>136</v>
      </c>
      <c r="I426" t="str">
        <f t="shared" si="27"/>
        <v>88</v>
      </c>
      <c r="J426" s="44" t="str">
        <f>CONCATENATE("0x",I426,",0x",I427,",0x",I428,",0x",I429,",0x",I430,",0x",I431,",0x",I432,", //",B426)</f>
        <v>0x88,0x88,0x88,0x88,0x88,0x88,0x70, //U</v>
      </c>
    </row>
    <row r="427" spans="1:10" ht="9.75" customHeight="1" x14ac:dyDescent="0.3">
      <c r="A427" s="42"/>
      <c r="B427" s="43"/>
      <c r="C427">
        <v>1</v>
      </c>
      <c r="G427">
        <v>1</v>
      </c>
      <c r="H427">
        <f t="shared" si="31"/>
        <v>136</v>
      </c>
      <c r="I427" t="str">
        <f t="shared" si="27"/>
        <v>88</v>
      </c>
      <c r="J427" s="44"/>
    </row>
    <row r="428" spans="1:10" ht="9.75" customHeight="1" x14ac:dyDescent="0.3">
      <c r="A428" s="42"/>
      <c r="B428" s="43"/>
      <c r="C428">
        <v>1</v>
      </c>
      <c r="G428">
        <v>1</v>
      </c>
      <c r="H428">
        <f t="shared" si="31"/>
        <v>136</v>
      </c>
      <c r="I428" t="str">
        <f t="shared" si="27"/>
        <v>88</v>
      </c>
      <c r="J428" s="44"/>
    </row>
    <row r="429" spans="1:10" ht="9.75" customHeight="1" x14ac:dyDescent="0.3">
      <c r="A429" s="42"/>
      <c r="B429" s="43"/>
      <c r="C429">
        <v>1</v>
      </c>
      <c r="G429">
        <v>1</v>
      </c>
      <c r="H429">
        <f t="shared" si="31"/>
        <v>136</v>
      </c>
      <c r="I429" t="str">
        <f t="shared" si="27"/>
        <v>88</v>
      </c>
      <c r="J429" s="44"/>
    </row>
    <row r="430" spans="1:10" ht="9.75" customHeight="1" x14ac:dyDescent="0.3">
      <c r="A430" s="42"/>
      <c r="B430" s="43"/>
      <c r="C430">
        <v>1</v>
      </c>
      <c r="G430">
        <v>1</v>
      </c>
      <c r="H430">
        <f t="shared" si="31"/>
        <v>136</v>
      </c>
      <c r="I430" t="str">
        <f t="shared" si="27"/>
        <v>88</v>
      </c>
      <c r="J430" s="44"/>
    </row>
    <row r="431" spans="1:10" ht="9.75" customHeight="1" x14ac:dyDescent="0.3">
      <c r="A431" s="42"/>
      <c r="B431" s="43"/>
      <c r="C431">
        <v>1</v>
      </c>
      <c r="G431">
        <v>1</v>
      </c>
      <c r="H431">
        <f t="shared" si="31"/>
        <v>136</v>
      </c>
      <c r="I431" t="str">
        <f t="shared" si="27"/>
        <v>88</v>
      </c>
      <c r="J431" s="44"/>
    </row>
    <row r="432" spans="1:10" ht="9.75" customHeight="1" x14ac:dyDescent="0.3">
      <c r="A432" s="42"/>
      <c r="B432" s="43"/>
      <c r="D432">
        <v>1</v>
      </c>
      <c r="E432">
        <v>1</v>
      </c>
      <c r="F432">
        <v>1</v>
      </c>
      <c r="H432">
        <f t="shared" si="31"/>
        <v>112</v>
      </c>
      <c r="I432" t="str">
        <f t="shared" si="27"/>
        <v>70</v>
      </c>
      <c r="J432" s="44"/>
    </row>
    <row r="433" spans="1:10" ht="9.75" customHeight="1" x14ac:dyDescent="0.3">
      <c r="A433" s="42"/>
      <c r="B433" s="27"/>
      <c r="J433" s="25"/>
    </row>
    <row r="434" spans="1:10" ht="9.75" customHeight="1" x14ac:dyDescent="0.3">
      <c r="A434" s="42">
        <v>86</v>
      </c>
      <c r="B434" s="43" t="s">
        <v>139</v>
      </c>
      <c r="C434">
        <v>1</v>
      </c>
      <c r="G434">
        <v>1</v>
      </c>
      <c r="H434">
        <f t="shared" ref="H434:H440" si="62">C434*C$1+D434*D$1+E434*E$1+F434*F$1+G434*G$1</f>
        <v>136</v>
      </c>
      <c r="I434" t="str">
        <f t="shared" ref="I434:I440" si="63">DEC2HEX(H434,2)</f>
        <v>88</v>
      </c>
      <c r="J434" s="44" t="str">
        <f>CONCATENATE("0x",I434,",0x",I435,",0x",I436,",0x",I437,",0x",I438,",0x",I439,",0x",I440,", //",B434)</f>
        <v>0x88,0x88,0x88,0x88,0x88,0x50,0x20, //V</v>
      </c>
    </row>
    <row r="435" spans="1:10" ht="9.75" customHeight="1" x14ac:dyDescent="0.3">
      <c r="A435" s="42"/>
      <c r="B435" s="43"/>
      <c r="C435">
        <v>1</v>
      </c>
      <c r="G435">
        <v>1</v>
      </c>
      <c r="H435">
        <f t="shared" si="62"/>
        <v>136</v>
      </c>
      <c r="I435" t="str">
        <f t="shared" si="63"/>
        <v>88</v>
      </c>
      <c r="J435" s="44"/>
    </row>
    <row r="436" spans="1:10" ht="9.75" customHeight="1" x14ac:dyDescent="0.3">
      <c r="A436" s="42"/>
      <c r="B436" s="43"/>
      <c r="C436">
        <v>1</v>
      </c>
      <c r="G436">
        <v>1</v>
      </c>
      <c r="H436">
        <f t="shared" si="62"/>
        <v>136</v>
      </c>
      <c r="I436" t="str">
        <f t="shared" si="63"/>
        <v>88</v>
      </c>
      <c r="J436" s="44"/>
    </row>
    <row r="437" spans="1:10" ht="9.75" customHeight="1" x14ac:dyDescent="0.3">
      <c r="A437" s="42"/>
      <c r="B437" s="43"/>
      <c r="C437">
        <v>1</v>
      </c>
      <c r="G437">
        <v>1</v>
      </c>
      <c r="H437">
        <f t="shared" si="62"/>
        <v>136</v>
      </c>
      <c r="I437" t="str">
        <f t="shared" si="63"/>
        <v>88</v>
      </c>
      <c r="J437" s="44"/>
    </row>
    <row r="438" spans="1:10" ht="9.75" customHeight="1" x14ac:dyDescent="0.3">
      <c r="A438" s="42"/>
      <c r="B438" s="43"/>
      <c r="C438">
        <v>1</v>
      </c>
      <c r="G438">
        <v>1</v>
      </c>
      <c r="H438">
        <f t="shared" si="62"/>
        <v>136</v>
      </c>
      <c r="I438" t="str">
        <f t="shared" si="63"/>
        <v>88</v>
      </c>
      <c r="J438" s="44"/>
    </row>
    <row r="439" spans="1:10" ht="9.75" customHeight="1" x14ac:dyDescent="0.3">
      <c r="A439" s="42"/>
      <c r="B439" s="43"/>
      <c r="D439">
        <v>1</v>
      </c>
      <c r="F439">
        <v>1</v>
      </c>
      <c r="H439">
        <f t="shared" si="62"/>
        <v>80</v>
      </c>
      <c r="I439" t="str">
        <f t="shared" si="63"/>
        <v>50</v>
      </c>
      <c r="J439" s="44"/>
    </row>
    <row r="440" spans="1:10" ht="9.75" customHeight="1" x14ac:dyDescent="0.3">
      <c r="A440" s="42"/>
      <c r="B440" s="43"/>
      <c r="E440">
        <v>1</v>
      </c>
      <c r="H440">
        <f t="shared" si="62"/>
        <v>32</v>
      </c>
      <c r="I440" t="str">
        <f t="shared" si="63"/>
        <v>20</v>
      </c>
      <c r="J440" s="44"/>
    </row>
    <row r="441" spans="1:10" ht="9.75" customHeight="1" x14ac:dyDescent="0.3">
      <c r="A441" s="42"/>
      <c r="B441" s="27"/>
      <c r="J441" s="25"/>
    </row>
    <row r="442" spans="1:10" ht="9.75" customHeight="1" x14ac:dyDescent="0.3">
      <c r="A442" s="42">
        <v>87</v>
      </c>
      <c r="B442" s="43" t="s">
        <v>140</v>
      </c>
      <c r="C442">
        <v>1</v>
      </c>
      <c r="E442">
        <v>1</v>
      </c>
      <c r="G442">
        <v>1</v>
      </c>
      <c r="H442">
        <f t="shared" si="31"/>
        <v>168</v>
      </c>
      <c r="I442" t="str">
        <f t="shared" si="27"/>
        <v>A8</v>
      </c>
      <c r="J442" s="44" t="str">
        <f>CONCATENATE("0x",I442,",0x",I443,",0x",I444,",0x",I445,",0x",I446,",0x",I447,",0x",I448,", //",B442)</f>
        <v>0xA8,0xA8,0xA8,0xA8,0xA8,0xA8,0x50, //W</v>
      </c>
    </row>
    <row r="443" spans="1:10" ht="9.75" customHeight="1" x14ac:dyDescent="0.3">
      <c r="A443" s="42"/>
      <c r="B443" s="43"/>
      <c r="C443">
        <v>1</v>
      </c>
      <c r="E443">
        <v>1</v>
      </c>
      <c r="G443">
        <v>1</v>
      </c>
      <c r="H443">
        <f t="shared" si="31"/>
        <v>168</v>
      </c>
      <c r="I443" t="str">
        <f t="shared" si="27"/>
        <v>A8</v>
      </c>
      <c r="J443" s="44"/>
    </row>
    <row r="444" spans="1:10" ht="9.75" customHeight="1" x14ac:dyDescent="0.3">
      <c r="A444" s="42"/>
      <c r="B444" s="43"/>
      <c r="C444">
        <v>1</v>
      </c>
      <c r="E444">
        <v>1</v>
      </c>
      <c r="G444">
        <v>1</v>
      </c>
      <c r="H444">
        <f t="shared" si="31"/>
        <v>168</v>
      </c>
      <c r="I444" t="str">
        <f t="shared" si="27"/>
        <v>A8</v>
      </c>
      <c r="J444" s="44"/>
    </row>
    <row r="445" spans="1:10" ht="9.75" customHeight="1" x14ac:dyDescent="0.3">
      <c r="A445" s="42"/>
      <c r="B445" s="43"/>
      <c r="C445">
        <v>1</v>
      </c>
      <c r="E445">
        <v>1</v>
      </c>
      <c r="G445">
        <v>1</v>
      </c>
      <c r="H445">
        <f t="shared" si="31"/>
        <v>168</v>
      </c>
      <c r="I445" t="str">
        <f t="shared" si="27"/>
        <v>A8</v>
      </c>
      <c r="J445" s="44"/>
    </row>
    <row r="446" spans="1:10" ht="9.75" customHeight="1" x14ac:dyDescent="0.3">
      <c r="A446" s="42"/>
      <c r="B446" s="43"/>
      <c r="C446">
        <v>1</v>
      </c>
      <c r="E446">
        <v>1</v>
      </c>
      <c r="G446">
        <v>1</v>
      </c>
      <c r="H446">
        <f t="shared" si="31"/>
        <v>168</v>
      </c>
      <c r="I446" t="str">
        <f t="shared" si="27"/>
        <v>A8</v>
      </c>
      <c r="J446" s="44"/>
    </row>
    <row r="447" spans="1:10" ht="9.75" customHeight="1" x14ac:dyDescent="0.3">
      <c r="A447" s="42"/>
      <c r="B447" s="43"/>
      <c r="C447">
        <v>1</v>
      </c>
      <c r="E447">
        <v>1</v>
      </c>
      <c r="G447">
        <v>1</v>
      </c>
      <c r="H447">
        <f t="shared" si="31"/>
        <v>168</v>
      </c>
      <c r="I447" t="str">
        <f t="shared" si="27"/>
        <v>A8</v>
      </c>
      <c r="J447" s="44"/>
    </row>
    <row r="448" spans="1:10" ht="9.75" customHeight="1" x14ac:dyDescent="0.3">
      <c r="A448" s="42"/>
      <c r="B448" s="43"/>
      <c r="D448">
        <v>1</v>
      </c>
      <c r="F448">
        <v>1</v>
      </c>
      <c r="H448">
        <f t="shared" si="31"/>
        <v>80</v>
      </c>
      <c r="I448" t="str">
        <f t="shared" si="27"/>
        <v>50</v>
      </c>
      <c r="J448" s="44"/>
    </row>
    <row r="449" spans="1:10" ht="9.75" customHeight="1" x14ac:dyDescent="0.3">
      <c r="A449" s="42"/>
      <c r="B449" s="27"/>
      <c r="J449" s="25"/>
    </row>
    <row r="450" spans="1:10" ht="9.75" customHeight="1" x14ac:dyDescent="0.3">
      <c r="A450" s="42">
        <v>88</v>
      </c>
      <c r="B450" s="43" t="s">
        <v>141</v>
      </c>
      <c r="C450">
        <v>1</v>
      </c>
      <c r="G450">
        <v>1</v>
      </c>
      <c r="H450">
        <f t="shared" ref="H450:H456" si="64">C450*C$1+D450*D$1+E450*E$1+F450*F$1+G450*G$1</f>
        <v>136</v>
      </c>
      <c r="I450" t="str">
        <f t="shared" ref="I450:I456" si="65">DEC2HEX(H450,2)</f>
        <v>88</v>
      </c>
      <c r="J450" s="44" t="str">
        <f>CONCATENATE("0x",I450,",0x",I451,",0x",I452,",0x",I453,",0x",I454,",0x",I455,",0x",I456,", //",B450)</f>
        <v>0x88,0x88,0x50,0x20,0x50,0x88,0x88, //X</v>
      </c>
    </row>
    <row r="451" spans="1:10" ht="9.75" customHeight="1" x14ac:dyDescent="0.3">
      <c r="A451" s="42"/>
      <c r="B451" s="43"/>
      <c r="C451">
        <v>1</v>
      </c>
      <c r="G451">
        <v>1</v>
      </c>
      <c r="H451">
        <f t="shared" si="64"/>
        <v>136</v>
      </c>
      <c r="I451" t="str">
        <f t="shared" si="65"/>
        <v>88</v>
      </c>
      <c r="J451" s="44"/>
    </row>
    <row r="452" spans="1:10" ht="9.75" customHeight="1" x14ac:dyDescent="0.3">
      <c r="A452" s="42"/>
      <c r="B452" s="43"/>
      <c r="D452">
        <v>1</v>
      </c>
      <c r="F452">
        <v>1</v>
      </c>
      <c r="H452">
        <f t="shared" si="64"/>
        <v>80</v>
      </c>
      <c r="I452" t="str">
        <f t="shared" si="65"/>
        <v>50</v>
      </c>
      <c r="J452" s="44"/>
    </row>
    <row r="453" spans="1:10" ht="9.75" customHeight="1" x14ac:dyDescent="0.3">
      <c r="A453" s="42"/>
      <c r="B453" s="43"/>
      <c r="E453">
        <v>1</v>
      </c>
      <c r="H453">
        <f t="shared" si="64"/>
        <v>32</v>
      </c>
      <c r="I453" t="str">
        <f t="shared" si="65"/>
        <v>20</v>
      </c>
      <c r="J453" s="44"/>
    </row>
    <row r="454" spans="1:10" ht="9.75" customHeight="1" x14ac:dyDescent="0.3">
      <c r="A454" s="42"/>
      <c r="B454" s="43"/>
      <c r="D454">
        <v>1</v>
      </c>
      <c r="F454">
        <v>1</v>
      </c>
      <c r="H454">
        <f t="shared" si="64"/>
        <v>80</v>
      </c>
      <c r="I454" t="str">
        <f t="shared" si="65"/>
        <v>50</v>
      </c>
      <c r="J454" s="44"/>
    </row>
    <row r="455" spans="1:10" ht="9.75" customHeight="1" x14ac:dyDescent="0.3">
      <c r="A455" s="42"/>
      <c r="B455" s="43"/>
      <c r="C455">
        <v>1</v>
      </c>
      <c r="G455">
        <v>1</v>
      </c>
      <c r="H455">
        <f t="shared" si="64"/>
        <v>136</v>
      </c>
      <c r="I455" t="str">
        <f t="shared" si="65"/>
        <v>88</v>
      </c>
      <c r="J455" s="44"/>
    </row>
    <row r="456" spans="1:10" ht="9.75" customHeight="1" x14ac:dyDescent="0.3">
      <c r="A456" s="42"/>
      <c r="B456" s="43"/>
      <c r="C456">
        <v>1</v>
      </c>
      <c r="G456">
        <v>1</v>
      </c>
      <c r="H456">
        <f t="shared" si="64"/>
        <v>136</v>
      </c>
      <c r="I456" t="str">
        <f t="shared" si="65"/>
        <v>88</v>
      </c>
      <c r="J456" s="44"/>
    </row>
    <row r="457" spans="1:10" ht="9.75" customHeight="1" x14ac:dyDescent="0.3">
      <c r="A457" s="42"/>
      <c r="B457" s="27"/>
      <c r="J457" s="25"/>
    </row>
    <row r="458" spans="1:10" ht="9.75" customHeight="1" x14ac:dyDescent="0.3">
      <c r="A458" s="42">
        <v>89</v>
      </c>
      <c r="B458" s="43" t="s">
        <v>142</v>
      </c>
      <c r="C458">
        <v>1</v>
      </c>
      <c r="G458">
        <v>1</v>
      </c>
      <c r="H458">
        <f t="shared" si="31"/>
        <v>136</v>
      </c>
      <c r="I458" t="str">
        <f t="shared" si="27"/>
        <v>88</v>
      </c>
      <c r="J458" s="44" t="str">
        <f>CONCATENATE("0x",I458,",0x",I459,",0x",I460,",0x",I461,",0x",I462,",0x",I463,",0x",I464,", //",B458)</f>
        <v>0x88,0x88,0x50,0x20,0x20,0x20,0x20, //Y</v>
      </c>
    </row>
    <row r="459" spans="1:10" ht="9.75" customHeight="1" x14ac:dyDescent="0.3">
      <c r="A459" s="42"/>
      <c r="B459" s="43"/>
      <c r="C459">
        <v>1</v>
      </c>
      <c r="G459">
        <v>1</v>
      </c>
      <c r="H459">
        <f t="shared" si="31"/>
        <v>136</v>
      </c>
      <c r="I459" t="str">
        <f t="shared" si="27"/>
        <v>88</v>
      </c>
      <c r="J459" s="44"/>
    </row>
    <row r="460" spans="1:10" ht="9.75" customHeight="1" x14ac:dyDescent="0.3">
      <c r="A460" s="42"/>
      <c r="B460" s="43"/>
      <c r="D460">
        <v>1</v>
      </c>
      <c r="F460">
        <v>1</v>
      </c>
      <c r="H460">
        <f t="shared" si="31"/>
        <v>80</v>
      </c>
      <c r="I460" t="str">
        <f t="shared" si="27"/>
        <v>50</v>
      </c>
      <c r="J460" s="44"/>
    </row>
    <row r="461" spans="1:10" ht="9.75" customHeight="1" x14ac:dyDescent="0.3">
      <c r="A461" s="42"/>
      <c r="B461" s="43"/>
      <c r="E461">
        <v>1</v>
      </c>
      <c r="H461">
        <f t="shared" si="31"/>
        <v>32</v>
      </c>
      <c r="I461" t="str">
        <f t="shared" si="27"/>
        <v>20</v>
      </c>
      <c r="J461" s="44"/>
    </row>
    <row r="462" spans="1:10" ht="9.75" customHeight="1" x14ac:dyDescent="0.3">
      <c r="A462" s="42"/>
      <c r="B462" s="43"/>
      <c r="E462">
        <v>1</v>
      </c>
      <c r="H462">
        <f t="shared" si="31"/>
        <v>32</v>
      </c>
      <c r="I462" t="str">
        <f t="shared" si="27"/>
        <v>20</v>
      </c>
      <c r="J462" s="44"/>
    </row>
    <row r="463" spans="1:10" ht="9.75" customHeight="1" x14ac:dyDescent="0.3">
      <c r="A463" s="42"/>
      <c r="B463" s="43"/>
      <c r="E463">
        <v>1</v>
      </c>
      <c r="H463">
        <f t="shared" si="31"/>
        <v>32</v>
      </c>
      <c r="I463" t="str">
        <f t="shared" si="27"/>
        <v>20</v>
      </c>
      <c r="J463" s="44"/>
    </row>
    <row r="464" spans="1:10" ht="9.75" customHeight="1" x14ac:dyDescent="0.3">
      <c r="A464" s="42"/>
      <c r="B464" s="43"/>
      <c r="E464">
        <v>1</v>
      </c>
      <c r="H464">
        <f t="shared" si="31"/>
        <v>32</v>
      </c>
      <c r="I464" t="str">
        <f t="shared" si="27"/>
        <v>20</v>
      </c>
      <c r="J464" s="44"/>
    </row>
    <row r="465" spans="1:10" ht="9.75" customHeight="1" x14ac:dyDescent="0.3">
      <c r="A465" s="42"/>
      <c r="B465" s="27"/>
      <c r="J465" s="25"/>
    </row>
    <row r="466" spans="1:10" ht="9.75" customHeight="1" x14ac:dyDescent="0.3">
      <c r="A466" s="42">
        <v>90</v>
      </c>
      <c r="B466" s="43" t="s">
        <v>143</v>
      </c>
      <c r="C466">
        <v>1</v>
      </c>
      <c r="D466">
        <v>1</v>
      </c>
      <c r="E466">
        <v>1</v>
      </c>
      <c r="F466">
        <v>1</v>
      </c>
      <c r="G466">
        <v>1</v>
      </c>
      <c r="H466">
        <f t="shared" ref="H466:H472" si="66">C466*C$1+D466*D$1+E466*E$1+F466*F$1+G466*G$1</f>
        <v>248</v>
      </c>
      <c r="I466" t="str">
        <f t="shared" ref="I466:I472" si="67">DEC2HEX(H466,2)</f>
        <v>F8</v>
      </c>
      <c r="J466" s="44" t="str">
        <f>CONCATENATE("0x",I466,",0x",I467,",0x",I468,",0x",I469,",0x",I470,",0x",I471,",0x",I472,", //",B466)</f>
        <v>0xF8,0x08,0x10,0x20,0x40,0x80,0xF8, //Z</v>
      </c>
    </row>
    <row r="467" spans="1:10" ht="9.75" customHeight="1" x14ac:dyDescent="0.3">
      <c r="A467" s="42"/>
      <c r="B467" s="43"/>
      <c r="G467">
        <v>1</v>
      </c>
      <c r="H467">
        <f t="shared" si="66"/>
        <v>8</v>
      </c>
      <c r="I467" t="str">
        <f t="shared" si="67"/>
        <v>08</v>
      </c>
      <c r="J467" s="44"/>
    </row>
    <row r="468" spans="1:10" ht="9.75" customHeight="1" x14ac:dyDescent="0.3">
      <c r="A468" s="42"/>
      <c r="B468" s="43"/>
      <c r="F468">
        <v>1</v>
      </c>
      <c r="H468">
        <f t="shared" si="66"/>
        <v>16</v>
      </c>
      <c r="I468" t="str">
        <f t="shared" si="67"/>
        <v>10</v>
      </c>
      <c r="J468" s="44"/>
    </row>
    <row r="469" spans="1:10" ht="9.75" customHeight="1" x14ac:dyDescent="0.3">
      <c r="A469" s="42"/>
      <c r="B469" s="43"/>
      <c r="E469">
        <v>1</v>
      </c>
      <c r="H469">
        <f t="shared" si="66"/>
        <v>32</v>
      </c>
      <c r="I469" t="str">
        <f t="shared" si="67"/>
        <v>20</v>
      </c>
      <c r="J469" s="44"/>
    </row>
    <row r="470" spans="1:10" ht="9.75" customHeight="1" x14ac:dyDescent="0.3">
      <c r="A470" s="42"/>
      <c r="B470" s="43"/>
      <c r="D470">
        <v>1</v>
      </c>
      <c r="H470">
        <f t="shared" si="66"/>
        <v>64</v>
      </c>
      <c r="I470" t="str">
        <f t="shared" si="67"/>
        <v>40</v>
      </c>
      <c r="J470" s="44"/>
    </row>
    <row r="471" spans="1:10" ht="9.75" customHeight="1" x14ac:dyDescent="0.3">
      <c r="A471" s="42"/>
      <c r="B471" s="43"/>
      <c r="C471">
        <v>1</v>
      </c>
      <c r="H471">
        <f t="shared" si="66"/>
        <v>128</v>
      </c>
      <c r="I471" t="str">
        <f t="shared" si="67"/>
        <v>80</v>
      </c>
      <c r="J471" s="44"/>
    </row>
    <row r="472" spans="1:10" ht="9.75" customHeight="1" x14ac:dyDescent="0.3">
      <c r="A472" s="42"/>
      <c r="B472" s="43"/>
      <c r="C472">
        <v>1</v>
      </c>
      <c r="D472">
        <v>1</v>
      </c>
      <c r="E472">
        <v>1</v>
      </c>
      <c r="F472">
        <v>1</v>
      </c>
      <c r="G472">
        <v>1</v>
      </c>
      <c r="H472">
        <f t="shared" si="66"/>
        <v>248</v>
      </c>
      <c r="I472" t="str">
        <f t="shared" si="67"/>
        <v>F8</v>
      </c>
      <c r="J472" s="44"/>
    </row>
    <row r="473" spans="1:10" ht="9.75" customHeight="1" x14ac:dyDescent="0.3">
      <c r="A473" s="42"/>
      <c r="B473" s="27"/>
      <c r="J473" s="25"/>
    </row>
    <row r="474" spans="1:10" ht="9.75" customHeight="1" x14ac:dyDescent="0.3">
      <c r="B474" s="43" t="s">
        <v>217</v>
      </c>
      <c r="H474">
        <f t="shared" si="31"/>
        <v>0</v>
      </c>
      <c r="I474" t="str">
        <f t="shared" si="27"/>
        <v>00</v>
      </c>
      <c r="J474" s="44" t="str">
        <f>CONCATENATE("0x",I474,",0x",I475,",0x",I476,",0x",I477,",0x",I478,",0x",I479,",0x",I480,",")</f>
        <v>0x00,0x00,0x00,0x00,0x00,0x00,0x00,</v>
      </c>
    </row>
    <row r="475" spans="1:10" ht="9.75" customHeight="1" x14ac:dyDescent="0.3">
      <c r="B475" s="43"/>
      <c r="H475">
        <f t="shared" si="31"/>
        <v>0</v>
      </c>
      <c r="I475" t="str">
        <f t="shared" si="27"/>
        <v>00</v>
      </c>
      <c r="J475" s="44"/>
    </row>
    <row r="476" spans="1:10" ht="9.75" customHeight="1" x14ac:dyDescent="0.3">
      <c r="B476" s="43"/>
      <c r="H476">
        <f t="shared" si="31"/>
        <v>0</v>
      </c>
      <c r="I476" t="str">
        <f t="shared" si="27"/>
        <v>00</v>
      </c>
      <c r="J476" s="44"/>
    </row>
    <row r="477" spans="1:10" ht="9.75" customHeight="1" x14ac:dyDescent="0.3">
      <c r="B477" s="43"/>
      <c r="H477">
        <f t="shared" si="31"/>
        <v>0</v>
      </c>
      <c r="I477" t="str">
        <f t="shared" si="27"/>
        <v>00</v>
      </c>
      <c r="J477" s="44"/>
    </row>
    <row r="478" spans="1:10" ht="9.75" customHeight="1" x14ac:dyDescent="0.3">
      <c r="B478" s="43"/>
      <c r="H478">
        <f t="shared" si="31"/>
        <v>0</v>
      </c>
      <c r="I478" t="str">
        <f t="shared" si="27"/>
        <v>00</v>
      </c>
      <c r="J478" s="44"/>
    </row>
    <row r="479" spans="1:10" ht="9.75" customHeight="1" x14ac:dyDescent="0.3">
      <c r="B479" s="43"/>
      <c r="H479">
        <f t="shared" si="31"/>
        <v>0</v>
      </c>
      <c r="I479" t="str">
        <f t="shared" si="27"/>
        <v>00</v>
      </c>
      <c r="J479" s="44"/>
    </row>
    <row r="480" spans="1:10" ht="9.75" customHeight="1" x14ac:dyDescent="0.3">
      <c r="B480" s="43"/>
      <c r="H480">
        <f t="shared" si="31"/>
        <v>0</v>
      </c>
      <c r="I480" t="str">
        <f t="shared" si="27"/>
        <v>00</v>
      </c>
      <c r="J480" s="44"/>
    </row>
    <row r="481" spans="2:10" ht="9.75" customHeight="1" x14ac:dyDescent="0.3">
      <c r="B481" s="27"/>
      <c r="J481" s="25"/>
    </row>
    <row r="482" spans="2:10" ht="9.75" customHeight="1" x14ac:dyDescent="0.3">
      <c r="B482" s="43" t="s">
        <v>217</v>
      </c>
      <c r="H482">
        <f t="shared" ref="H482:H488" si="68">C482*C$1+D482*D$1+E482*E$1+F482*F$1+G482*G$1</f>
        <v>0</v>
      </c>
      <c r="I482" t="str">
        <f t="shared" ref="I482:I488" si="69">DEC2HEX(H482,2)</f>
        <v>00</v>
      </c>
      <c r="J482" s="44" t="str">
        <f>CONCATENATE("0x",I482,",0x",I483,",0x",I484,",0x",I485,",0x",I486,",0x",I487,",0x",I488,",")</f>
        <v>0x00,0x00,0x00,0x00,0x00,0x00,0x00,</v>
      </c>
    </row>
    <row r="483" spans="2:10" ht="9.75" customHeight="1" x14ac:dyDescent="0.3">
      <c r="B483" s="43"/>
      <c r="H483">
        <f t="shared" si="68"/>
        <v>0</v>
      </c>
      <c r="I483" t="str">
        <f t="shared" si="69"/>
        <v>00</v>
      </c>
      <c r="J483" s="44"/>
    </row>
    <row r="484" spans="2:10" ht="9.75" customHeight="1" x14ac:dyDescent="0.3">
      <c r="B484" s="43"/>
      <c r="H484">
        <f t="shared" si="68"/>
        <v>0</v>
      </c>
      <c r="I484" t="str">
        <f t="shared" si="69"/>
        <v>00</v>
      </c>
      <c r="J484" s="44"/>
    </row>
    <row r="485" spans="2:10" ht="9.75" customHeight="1" x14ac:dyDescent="0.3">
      <c r="B485" s="43"/>
      <c r="H485">
        <f t="shared" si="68"/>
        <v>0</v>
      </c>
      <c r="I485" t="str">
        <f t="shared" si="69"/>
        <v>00</v>
      </c>
      <c r="J485" s="44"/>
    </row>
    <row r="486" spans="2:10" ht="9.75" customHeight="1" x14ac:dyDescent="0.3">
      <c r="B486" s="43"/>
      <c r="H486">
        <f t="shared" si="68"/>
        <v>0</v>
      </c>
      <c r="I486" t="str">
        <f t="shared" si="69"/>
        <v>00</v>
      </c>
      <c r="J486" s="44"/>
    </row>
    <row r="487" spans="2:10" ht="9.75" customHeight="1" x14ac:dyDescent="0.3">
      <c r="B487" s="43"/>
      <c r="H487">
        <f t="shared" si="68"/>
        <v>0</v>
      </c>
      <c r="I487" t="str">
        <f t="shared" si="69"/>
        <v>00</v>
      </c>
      <c r="J487" s="44"/>
    </row>
    <row r="488" spans="2:10" ht="9.75" customHeight="1" x14ac:dyDescent="0.3">
      <c r="B488" s="43"/>
      <c r="H488">
        <f t="shared" si="68"/>
        <v>0</v>
      </c>
      <c r="I488" t="str">
        <f t="shared" si="69"/>
        <v>00</v>
      </c>
      <c r="J488" s="44"/>
    </row>
    <row r="489" spans="2:10" ht="9.75" customHeight="1" x14ac:dyDescent="0.3">
      <c r="B489" s="27"/>
      <c r="J489" s="25"/>
    </row>
    <row r="490" spans="2:10" ht="9.75" customHeight="1" x14ac:dyDescent="0.3">
      <c r="B490" s="43" t="s">
        <v>217</v>
      </c>
      <c r="H490">
        <f t="shared" si="31"/>
        <v>0</v>
      </c>
      <c r="I490" t="str">
        <f t="shared" si="27"/>
        <v>00</v>
      </c>
      <c r="J490" s="44" t="str">
        <f>CONCATENATE("0x",I490,",0x",I491,",0x",I492,",0x",I493,",0x",I494,",0x",I495,",0x",I496,",")</f>
        <v>0x00,0x00,0x00,0x00,0x00,0x00,0x00,</v>
      </c>
    </row>
    <row r="491" spans="2:10" ht="9.75" customHeight="1" x14ac:dyDescent="0.3">
      <c r="B491" s="43"/>
      <c r="H491">
        <f t="shared" si="31"/>
        <v>0</v>
      </c>
      <c r="I491" t="str">
        <f t="shared" si="27"/>
        <v>00</v>
      </c>
      <c r="J491" s="44"/>
    </row>
    <row r="492" spans="2:10" ht="9.75" customHeight="1" x14ac:dyDescent="0.3">
      <c r="B492" s="43"/>
      <c r="H492">
        <f t="shared" si="31"/>
        <v>0</v>
      </c>
      <c r="I492" t="str">
        <f t="shared" si="27"/>
        <v>00</v>
      </c>
      <c r="J492" s="44"/>
    </row>
    <row r="493" spans="2:10" ht="9.75" customHeight="1" x14ac:dyDescent="0.3">
      <c r="B493" s="43"/>
      <c r="H493">
        <f t="shared" si="31"/>
        <v>0</v>
      </c>
      <c r="I493" t="str">
        <f t="shared" si="27"/>
        <v>00</v>
      </c>
      <c r="J493" s="44"/>
    </row>
    <row r="494" spans="2:10" ht="9.75" customHeight="1" x14ac:dyDescent="0.3">
      <c r="B494" s="43"/>
      <c r="H494">
        <f t="shared" si="31"/>
        <v>0</v>
      </c>
      <c r="I494" t="str">
        <f t="shared" si="27"/>
        <v>00</v>
      </c>
      <c r="J494" s="44"/>
    </row>
    <row r="495" spans="2:10" ht="9.75" customHeight="1" x14ac:dyDescent="0.3">
      <c r="B495" s="43"/>
      <c r="H495">
        <f t="shared" si="31"/>
        <v>0</v>
      </c>
      <c r="I495" t="str">
        <f t="shared" si="27"/>
        <v>00</v>
      </c>
      <c r="J495" s="44"/>
    </row>
    <row r="496" spans="2:10" ht="9.75" customHeight="1" x14ac:dyDescent="0.3">
      <c r="B496" s="43"/>
      <c r="H496">
        <f t="shared" si="31"/>
        <v>0</v>
      </c>
      <c r="I496" t="str">
        <f t="shared" si="27"/>
        <v>00</v>
      </c>
      <c r="J496" s="44"/>
    </row>
    <row r="497" spans="2:10" ht="9.75" customHeight="1" x14ac:dyDescent="0.3">
      <c r="B497" s="27"/>
      <c r="J497" s="25"/>
    </row>
    <row r="498" spans="2:10" ht="9.75" customHeight="1" x14ac:dyDescent="0.3">
      <c r="B498" s="43" t="s">
        <v>217</v>
      </c>
      <c r="H498">
        <f t="shared" ref="H498:H504" si="70">C498*C$1+D498*D$1+E498*E$1+F498*F$1+G498*G$1</f>
        <v>0</v>
      </c>
      <c r="I498" t="str">
        <f t="shared" ref="I498:I504" si="71">DEC2HEX(H498,2)</f>
        <v>00</v>
      </c>
      <c r="J498" s="44" t="str">
        <f>CONCATENATE("0x",I498,",0x",I499,",0x",I500,",0x",I501,",0x",I502,",0x",I503,",0x",I504,",")</f>
        <v>0x00,0x00,0x00,0x00,0x00,0x00,0x00,</v>
      </c>
    </row>
    <row r="499" spans="2:10" ht="9.75" customHeight="1" x14ac:dyDescent="0.3">
      <c r="B499" s="43"/>
      <c r="H499">
        <f t="shared" si="70"/>
        <v>0</v>
      </c>
      <c r="I499" t="str">
        <f t="shared" si="71"/>
        <v>00</v>
      </c>
      <c r="J499" s="44"/>
    </row>
    <row r="500" spans="2:10" ht="9.75" customHeight="1" x14ac:dyDescent="0.3">
      <c r="B500" s="43"/>
      <c r="H500">
        <f t="shared" si="70"/>
        <v>0</v>
      </c>
      <c r="I500" t="str">
        <f t="shared" si="71"/>
        <v>00</v>
      </c>
      <c r="J500" s="44"/>
    </row>
    <row r="501" spans="2:10" ht="9.75" customHeight="1" x14ac:dyDescent="0.3">
      <c r="B501" s="43"/>
      <c r="H501">
        <f t="shared" si="70"/>
        <v>0</v>
      </c>
      <c r="I501" t="str">
        <f t="shared" si="71"/>
        <v>00</v>
      </c>
      <c r="J501" s="44"/>
    </row>
    <row r="502" spans="2:10" ht="9.75" customHeight="1" x14ac:dyDescent="0.3">
      <c r="B502" s="43"/>
      <c r="H502">
        <f t="shared" si="70"/>
        <v>0</v>
      </c>
      <c r="I502" t="str">
        <f t="shared" si="71"/>
        <v>00</v>
      </c>
      <c r="J502" s="44"/>
    </row>
    <row r="503" spans="2:10" ht="9.75" customHeight="1" x14ac:dyDescent="0.3">
      <c r="B503" s="43"/>
      <c r="H503">
        <f t="shared" si="70"/>
        <v>0</v>
      </c>
      <c r="I503" t="str">
        <f t="shared" si="71"/>
        <v>00</v>
      </c>
      <c r="J503" s="44"/>
    </row>
    <row r="504" spans="2:10" ht="9.75" customHeight="1" x14ac:dyDescent="0.3">
      <c r="B504" s="43"/>
      <c r="H504">
        <f t="shared" si="70"/>
        <v>0</v>
      </c>
      <c r="I504" t="str">
        <f t="shared" si="71"/>
        <v>00</v>
      </c>
      <c r="J504" s="44"/>
    </row>
    <row r="505" spans="2:10" ht="9.75" customHeight="1" x14ac:dyDescent="0.3">
      <c r="B505" s="27"/>
      <c r="J505" s="25"/>
    </row>
    <row r="506" spans="2:10" ht="9.75" customHeight="1" x14ac:dyDescent="0.3">
      <c r="B506" s="43" t="s">
        <v>217</v>
      </c>
      <c r="H506">
        <f t="shared" si="31"/>
        <v>0</v>
      </c>
      <c r="I506" t="str">
        <f t="shared" si="27"/>
        <v>00</v>
      </c>
      <c r="J506" s="44" t="str">
        <f>CONCATENATE("0x",I506,",0x",I507,",0x",I508,",0x",I509,",0x",I510,",0x",I511,",0x",I512,",")</f>
        <v>0x00,0x00,0x00,0x00,0x00,0x00,0x00,</v>
      </c>
    </row>
    <row r="507" spans="2:10" ht="9.75" customHeight="1" x14ac:dyDescent="0.3">
      <c r="B507" s="43"/>
      <c r="H507">
        <f t="shared" si="31"/>
        <v>0</v>
      </c>
      <c r="I507" t="str">
        <f t="shared" si="27"/>
        <v>00</v>
      </c>
      <c r="J507" s="44"/>
    </row>
    <row r="508" spans="2:10" ht="9.75" customHeight="1" x14ac:dyDescent="0.3">
      <c r="B508" s="43"/>
      <c r="H508">
        <f t="shared" si="31"/>
        <v>0</v>
      </c>
      <c r="I508" t="str">
        <f t="shared" si="27"/>
        <v>00</v>
      </c>
      <c r="J508" s="44"/>
    </row>
    <row r="509" spans="2:10" ht="9.75" customHeight="1" x14ac:dyDescent="0.3">
      <c r="B509" s="43"/>
      <c r="H509">
        <f t="shared" si="31"/>
        <v>0</v>
      </c>
      <c r="I509" t="str">
        <f t="shared" si="27"/>
        <v>00</v>
      </c>
      <c r="J509" s="44"/>
    </row>
    <row r="510" spans="2:10" ht="9.75" customHeight="1" x14ac:dyDescent="0.3">
      <c r="B510" s="43"/>
      <c r="H510">
        <f t="shared" si="31"/>
        <v>0</v>
      </c>
      <c r="I510" t="str">
        <f t="shared" si="27"/>
        <v>00</v>
      </c>
      <c r="J510" s="44"/>
    </row>
    <row r="511" spans="2:10" ht="9.75" customHeight="1" x14ac:dyDescent="0.3">
      <c r="B511" s="43"/>
      <c r="H511">
        <f t="shared" si="31"/>
        <v>0</v>
      </c>
      <c r="I511" t="str">
        <f t="shared" si="27"/>
        <v>00</v>
      </c>
      <c r="J511" s="44"/>
    </row>
    <row r="512" spans="2:10" ht="9.75" customHeight="1" x14ac:dyDescent="0.3">
      <c r="B512" s="43"/>
      <c r="H512">
        <f t="shared" si="31"/>
        <v>0</v>
      </c>
      <c r="I512" t="str">
        <f t="shared" si="27"/>
        <v>00</v>
      </c>
      <c r="J512" s="44"/>
    </row>
    <row r="513" spans="2:10" ht="9.75" customHeight="1" x14ac:dyDescent="0.3">
      <c r="B513" s="27"/>
      <c r="J513" s="25"/>
    </row>
  </sheetData>
  <mergeCells count="187">
    <mergeCell ref="A2:A9"/>
    <mergeCell ref="A250:A257"/>
    <mergeCell ref="A258:A265"/>
    <mergeCell ref="A266:A273"/>
    <mergeCell ref="A274:A281"/>
    <mergeCell ref="A282:A289"/>
    <mergeCell ref="A290:A297"/>
    <mergeCell ref="A298:A305"/>
    <mergeCell ref="A306:A313"/>
    <mergeCell ref="A178:A185"/>
    <mergeCell ref="A186:A193"/>
    <mergeCell ref="A194:A201"/>
    <mergeCell ref="A202:A209"/>
    <mergeCell ref="A210:A217"/>
    <mergeCell ref="A218:A225"/>
    <mergeCell ref="A226:A233"/>
    <mergeCell ref="A234:A241"/>
    <mergeCell ref="A242:A249"/>
    <mergeCell ref="A106:A113"/>
    <mergeCell ref="A114:A121"/>
    <mergeCell ref="A122:A129"/>
    <mergeCell ref="A130:A137"/>
    <mergeCell ref="A138:A145"/>
    <mergeCell ref="A146:A153"/>
    <mergeCell ref="B242:B248"/>
    <mergeCell ref="A10:A17"/>
    <mergeCell ref="A18:A25"/>
    <mergeCell ref="A26:A33"/>
    <mergeCell ref="A34:A41"/>
    <mergeCell ref="A42:A49"/>
    <mergeCell ref="B50:B56"/>
    <mergeCell ref="J50:J56"/>
    <mergeCell ref="B98:B104"/>
    <mergeCell ref="J98:J104"/>
    <mergeCell ref="A50:A57"/>
    <mergeCell ref="A58:A65"/>
    <mergeCell ref="A66:A73"/>
    <mergeCell ref="A74:A81"/>
    <mergeCell ref="A82:A89"/>
    <mergeCell ref="A90:A97"/>
    <mergeCell ref="A98:A105"/>
    <mergeCell ref="B66:B72"/>
    <mergeCell ref="J66:J72"/>
    <mergeCell ref="B42:B48"/>
    <mergeCell ref="J42:J48"/>
    <mergeCell ref="J218:J224"/>
    <mergeCell ref="B210:B216"/>
    <mergeCell ref="J210:J216"/>
    <mergeCell ref="B258:B264"/>
    <mergeCell ref="J258:J264"/>
    <mergeCell ref="B250:B256"/>
    <mergeCell ref="J250:J256"/>
    <mergeCell ref="B226:B232"/>
    <mergeCell ref="J226:J232"/>
    <mergeCell ref="B202:B208"/>
    <mergeCell ref="J202:J208"/>
    <mergeCell ref="B130:B136"/>
    <mergeCell ref="J130:J136"/>
    <mergeCell ref="J162:J168"/>
    <mergeCell ref="B170:B176"/>
    <mergeCell ref="J170:J176"/>
    <mergeCell ref="B178:B184"/>
    <mergeCell ref="J178:J184"/>
    <mergeCell ref="B186:B192"/>
    <mergeCell ref="J242:J248"/>
    <mergeCell ref="J186:J192"/>
    <mergeCell ref="B138:B144"/>
    <mergeCell ref="J138:J144"/>
    <mergeCell ref="J146:J152"/>
    <mergeCell ref="B234:B240"/>
    <mergeCell ref="J234:J240"/>
    <mergeCell ref="B218:B224"/>
    <mergeCell ref="B282:B288"/>
    <mergeCell ref="J282:J288"/>
    <mergeCell ref="B274:B280"/>
    <mergeCell ref="J274:J280"/>
    <mergeCell ref="B266:B272"/>
    <mergeCell ref="J266:J272"/>
    <mergeCell ref="B306:B312"/>
    <mergeCell ref="J306:J312"/>
    <mergeCell ref="B298:B304"/>
    <mergeCell ref="J298:J304"/>
    <mergeCell ref="B290:B296"/>
    <mergeCell ref="J290:J296"/>
    <mergeCell ref="B330:B336"/>
    <mergeCell ref="J330:J336"/>
    <mergeCell ref="B322:B328"/>
    <mergeCell ref="J322:J328"/>
    <mergeCell ref="B314:B320"/>
    <mergeCell ref="J314:J320"/>
    <mergeCell ref="B354:B360"/>
    <mergeCell ref="J354:J360"/>
    <mergeCell ref="B346:B352"/>
    <mergeCell ref="J346:J352"/>
    <mergeCell ref="B338:B344"/>
    <mergeCell ref="J338:J344"/>
    <mergeCell ref="B378:B384"/>
    <mergeCell ref="J378:J384"/>
    <mergeCell ref="B370:B376"/>
    <mergeCell ref="J370:J376"/>
    <mergeCell ref="B362:B368"/>
    <mergeCell ref="J362:J368"/>
    <mergeCell ref="B402:B408"/>
    <mergeCell ref="J402:J408"/>
    <mergeCell ref="B394:B400"/>
    <mergeCell ref="J394:J400"/>
    <mergeCell ref="B386:B392"/>
    <mergeCell ref="J386:J392"/>
    <mergeCell ref="B426:B432"/>
    <mergeCell ref="J426:J432"/>
    <mergeCell ref="B418:B424"/>
    <mergeCell ref="J418:J424"/>
    <mergeCell ref="B410:B416"/>
    <mergeCell ref="J410:J416"/>
    <mergeCell ref="B450:B456"/>
    <mergeCell ref="J450:J456"/>
    <mergeCell ref="B442:B448"/>
    <mergeCell ref="J442:J448"/>
    <mergeCell ref="B434:B440"/>
    <mergeCell ref="J434:J440"/>
    <mergeCell ref="B506:B512"/>
    <mergeCell ref="J506:J512"/>
    <mergeCell ref="B498:B504"/>
    <mergeCell ref="J498:J504"/>
    <mergeCell ref="B490:B496"/>
    <mergeCell ref="J490:J496"/>
    <mergeCell ref="B482:B488"/>
    <mergeCell ref="J482:J488"/>
    <mergeCell ref="B474:B480"/>
    <mergeCell ref="J474:J480"/>
    <mergeCell ref="B466:B472"/>
    <mergeCell ref="J466:J472"/>
    <mergeCell ref="B458:B464"/>
    <mergeCell ref="J458:J464"/>
    <mergeCell ref="B58:B64"/>
    <mergeCell ref="J58:J64"/>
    <mergeCell ref="B122:B128"/>
    <mergeCell ref="J122:J128"/>
    <mergeCell ref="B114:B120"/>
    <mergeCell ref="J114:J120"/>
    <mergeCell ref="B106:B112"/>
    <mergeCell ref="J106:J112"/>
    <mergeCell ref="B90:B96"/>
    <mergeCell ref="J90:J96"/>
    <mergeCell ref="B82:B88"/>
    <mergeCell ref="J82:J88"/>
    <mergeCell ref="B74:B80"/>
    <mergeCell ref="J74:J80"/>
    <mergeCell ref="B154:B160"/>
    <mergeCell ref="J154:J160"/>
    <mergeCell ref="B162:B168"/>
    <mergeCell ref="B146:B152"/>
    <mergeCell ref="B194:B200"/>
    <mergeCell ref="J194:J200"/>
    <mergeCell ref="B2:B8"/>
    <mergeCell ref="J2:J8"/>
    <mergeCell ref="B10:B16"/>
    <mergeCell ref="J10:J16"/>
    <mergeCell ref="B18:B24"/>
    <mergeCell ref="J18:J24"/>
    <mergeCell ref="B26:B32"/>
    <mergeCell ref="J26:J32"/>
    <mergeCell ref="B34:B40"/>
    <mergeCell ref="J34:J40"/>
    <mergeCell ref="A154:A161"/>
    <mergeCell ref="A162:A169"/>
    <mergeCell ref="A170:A177"/>
    <mergeCell ref="A314:A321"/>
    <mergeCell ref="A322:A329"/>
    <mergeCell ref="A330:A337"/>
    <mergeCell ref="A338:A345"/>
    <mergeCell ref="A346:A353"/>
    <mergeCell ref="A354:A361"/>
    <mergeCell ref="A362:A369"/>
    <mergeCell ref="A370:A377"/>
    <mergeCell ref="A378:A385"/>
    <mergeCell ref="A458:A465"/>
    <mergeCell ref="A466:A473"/>
    <mergeCell ref="A386:A393"/>
    <mergeCell ref="A394:A401"/>
    <mergeCell ref="A402:A409"/>
    <mergeCell ref="A410:A417"/>
    <mergeCell ref="A418:A425"/>
    <mergeCell ref="A426:A433"/>
    <mergeCell ref="A434:A441"/>
    <mergeCell ref="A442:A449"/>
    <mergeCell ref="A450:A457"/>
  </mergeCells>
  <phoneticPr fontId="5" type="noConversion"/>
  <conditionalFormatting sqref="C138:G152 C154:G160 C162:G168 C129:G129">
    <cfRule type="expression" dxfId="570" priority="93">
      <formula>C129=1</formula>
    </cfRule>
  </conditionalFormatting>
  <conditionalFormatting sqref="C169:G176">
    <cfRule type="expression" dxfId="569" priority="90">
      <formula>C169=1</formula>
    </cfRule>
  </conditionalFormatting>
  <conditionalFormatting sqref="C177:G184">
    <cfRule type="expression" dxfId="568" priority="89">
      <formula>C177=1</formula>
    </cfRule>
  </conditionalFormatting>
  <conditionalFormatting sqref="C186:G192">
    <cfRule type="expression" dxfId="567" priority="88">
      <formula>C186=1</formula>
    </cfRule>
  </conditionalFormatting>
  <conditionalFormatting sqref="C194:G200">
    <cfRule type="expression" dxfId="566" priority="87">
      <formula>C194=1</formula>
    </cfRule>
  </conditionalFormatting>
  <conditionalFormatting sqref="C202:G209">
    <cfRule type="expression" dxfId="565" priority="86">
      <formula>C202=1</formula>
    </cfRule>
  </conditionalFormatting>
  <conditionalFormatting sqref="C130:G137">
    <cfRule type="expression" dxfId="564" priority="85">
      <formula>C130=1</formula>
    </cfRule>
  </conditionalFormatting>
  <conditionalFormatting sqref="C2:G9">
    <cfRule type="expression" dxfId="563" priority="84">
      <formula>C2=1</formula>
    </cfRule>
  </conditionalFormatting>
  <conditionalFormatting sqref="C10:G16 C25:G25">
    <cfRule type="expression" dxfId="562" priority="83">
      <formula>C10=1</formula>
    </cfRule>
  </conditionalFormatting>
  <conditionalFormatting sqref="C17:G17">
    <cfRule type="expression" dxfId="561" priority="82">
      <formula>C17=1</formula>
    </cfRule>
  </conditionalFormatting>
  <conditionalFormatting sqref="C18:G24">
    <cfRule type="expression" dxfId="560" priority="81">
      <formula>C18=1</formula>
    </cfRule>
  </conditionalFormatting>
  <conditionalFormatting sqref="C26:G33">
    <cfRule type="expression" dxfId="559" priority="80">
      <formula>C26=1</formula>
    </cfRule>
  </conditionalFormatting>
  <conditionalFormatting sqref="C34:G41">
    <cfRule type="expression" dxfId="558" priority="79">
      <formula>C34=1</formula>
    </cfRule>
  </conditionalFormatting>
  <conditionalFormatting sqref="C42:G48 C57:G57">
    <cfRule type="expression" dxfId="557" priority="78">
      <formula>C42=1</formula>
    </cfRule>
  </conditionalFormatting>
  <conditionalFormatting sqref="C58:G58 C65:G65">
    <cfRule type="expression" dxfId="556" priority="77">
      <formula>C58=1</formula>
    </cfRule>
  </conditionalFormatting>
  <conditionalFormatting sqref="C122:G128">
    <cfRule type="expression" dxfId="555" priority="75">
      <formula>C122=1</formula>
    </cfRule>
  </conditionalFormatting>
  <conditionalFormatting sqref="C114:G121">
    <cfRule type="expression" dxfId="554" priority="74">
      <formula>C114=1</formula>
    </cfRule>
  </conditionalFormatting>
  <conditionalFormatting sqref="C113:G113">
    <cfRule type="expression" dxfId="553" priority="73">
      <formula>C113=1</formula>
    </cfRule>
  </conditionalFormatting>
  <conditionalFormatting sqref="C90:G96">
    <cfRule type="expression" dxfId="552" priority="72">
      <formula>C90=1</formula>
    </cfRule>
  </conditionalFormatting>
  <conditionalFormatting sqref="C89:G89">
    <cfRule type="expression" dxfId="551" priority="71">
      <formula>C89=1</formula>
    </cfRule>
  </conditionalFormatting>
  <conditionalFormatting sqref="C74:G81">
    <cfRule type="expression" dxfId="550" priority="70">
      <formula>C74=1</formula>
    </cfRule>
  </conditionalFormatting>
  <conditionalFormatting sqref="C66:G73">
    <cfRule type="expression" dxfId="549" priority="69">
      <formula>C66=1</formula>
    </cfRule>
  </conditionalFormatting>
  <conditionalFormatting sqref="C506:G513">
    <cfRule type="expression" dxfId="548" priority="68">
      <formula>C506=1</formula>
    </cfRule>
  </conditionalFormatting>
  <conditionalFormatting sqref="C498:G505">
    <cfRule type="expression" dxfId="547" priority="67">
      <formula>C498=1</formula>
    </cfRule>
  </conditionalFormatting>
  <conditionalFormatting sqref="C490:G497">
    <cfRule type="expression" dxfId="546" priority="66">
      <formula>C490=1</formula>
    </cfRule>
  </conditionalFormatting>
  <conditionalFormatting sqref="C482:G489">
    <cfRule type="expression" dxfId="545" priority="65">
      <formula>C482=1</formula>
    </cfRule>
  </conditionalFormatting>
  <conditionalFormatting sqref="C474:G481">
    <cfRule type="expression" dxfId="544" priority="64">
      <formula>C474=1</formula>
    </cfRule>
  </conditionalFormatting>
  <conditionalFormatting sqref="C466:G473">
    <cfRule type="expression" dxfId="543" priority="63">
      <formula>C466=1</formula>
    </cfRule>
  </conditionalFormatting>
  <conditionalFormatting sqref="C462:G465">
    <cfRule type="expression" dxfId="542" priority="62">
      <formula>C462=1</formula>
    </cfRule>
  </conditionalFormatting>
  <conditionalFormatting sqref="C450:G457">
    <cfRule type="expression" dxfId="541" priority="61">
      <formula>C450=1</formula>
    </cfRule>
  </conditionalFormatting>
  <conditionalFormatting sqref="C449:G449">
    <cfRule type="expression" dxfId="540" priority="60">
      <formula>C449=1</formula>
    </cfRule>
  </conditionalFormatting>
  <conditionalFormatting sqref="C441:G441">
    <cfRule type="expression" dxfId="539" priority="59">
      <formula>C441=1</formula>
    </cfRule>
  </conditionalFormatting>
  <conditionalFormatting sqref="C433:G433">
    <cfRule type="expression" dxfId="538" priority="58">
      <formula>C433=1</formula>
    </cfRule>
  </conditionalFormatting>
  <conditionalFormatting sqref="C424:G425">
    <cfRule type="expression" dxfId="537" priority="57">
      <formula>C424=1</formula>
    </cfRule>
  </conditionalFormatting>
  <conditionalFormatting sqref="C417:G417">
    <cfRule type="expression" dxfId="536" priority="56">
      <formula>C417=1</formula>
    </cfRule>
  </conditionalFormatting>
  <conditionalFormatting sqref="C409:G409">
    <cfRule type="expression" dxfId="535" priority="55">
      <formula>C409=1</formula>
    </cfRule>
  </conditionalFormatting>
  <conditionalFormatting sqref="C401:G401">
    <cfRule type="expression" dxfId="534" priority="54">
      <formula>C401=1</formula>
    </cfRule>
  </conditionalFormatting>
  <conditionalFormatting sqref="C393:G393">
    <cfRule type="expression" dxfId="533" priority="53">
      <formula>C393=1</formula>
    </cfRule>
  </conditionalFormatting>
  <conditionalFormatting sqref="C385:G385">
    <cfRule type="expression" dxfId="532" priority="52">
      <formula>C385=1</formula>
    </cfRule>
  </conditionalFormatting>
  <conditionalFormatting sqref="C377:G377">
    <cfRule type="expression" dxfId="531" priority="51">
      <formula>C377=1</formula>
    </cfRule>
  </conditionalFormatting>
  <conditionalFormatting sqref="C369:G369">
    <cfRule type="expression" dxfId="530" priority="50">
      <formula>C369=1</formula>
    </cfRule>
  </conditionalFormatting>
  <conditionalFormatting sqref="C361:G361">
    <cfRule type="expression" dxfId="529" priority="49">
      <formula>C361=1</formula>
    </cfRule>
  </conditionalFormatting>
  <conditionalFormatting sqref="C353:G353">
    <cfRule type="expression" dxfId="528" priority="48">
      <formula>C353=1</formula>
    </cfRule>
  </conditionalFormatting>
  <conditionalFormatting sqref="C345:G345">
    <cfRule type="expression" dxfId="527" priority="47">
      <formula>C345=1</formula>
    </cfRule>
  </conditionalFormatting>
  <conditionalFormatting sqref="C330:G337">
    <cfRule type="expression" dxfId="526" priority="46">
      <formula>C330=1</formula>
    </cfRule>
  </conditionalFormatting>
  <conditionalFormatting sqref="C329:G329">
    <cfRule type="expression" dxfId="525" priority="45">
      <formula>C329=1</formula>
    </cfRule>
  </conditionalFormatting>
  <conditionalFormatting sqref="C321:G321">
    <cfRule type="expression" dxfId="524" priority="44">
      <formula>C321=1</formula>
    </cfRule>
  </conditionalFormatting>
  <conditionalFormatting sqref="C313:G313">
    <cfRule type="expression" dxfId="523" priority="43">
      <formula>C313=1</formula>
    </cfRule>
  </conditionalFormatting>
  <conditionalFormatting sqref="C298:G305">
    <cfRule type="expression" dxfId="522" priority="42">
      <formula>C298=1</formula>
    </cfRule>
  </conditionalFormatting>
  <conditionalFormatting sqref="C297:G297">
    <cfRule type="expression" dxfId="521" priority="41">
      <formula>C297=1</formula>
    </cfRule>
  </conditionalFormatting>
  <conditionalFormatting sqref="C282:G289">
    <cfRule type="expression" dxfId="520" priority="40">
      <formula>C282=1</formula>
    </cfRule>
  </conditionalFormatting>
  <conditionalFormatting sqref="C281:G281">
    <cfRule type="expression" dxfId="519" priority="39">
      <formula>C281=1</formula>
    </cfRule>
  </conditionalFormatting>
  <conditionalFormatting sqref="C266:G273">
    <cfRule type="expression" dxfId="518" priority="38">
      <formula>C266=1</formula>
    </cfRule>
  </conditionalFormatting>
  <conditionalFormatting sqref="C258:G265">
    <cfRule type="expression" dxfId="517" priority="37">
      <formula>C258=1</formula>
    </cfRule>
  </conditionalFormatting>
  <conditionalFormatting sqref="C250:G257">
    <cfRule type="expression" dxfId="516" priority="36">
      <formula>C250=1</formula>
    </cfRule>
  </conditionalFormatting>
  <conditionalFormatting sqref="C226:G233">
    <cfRule type="expression" dxfId="515" priority="35">
      <formula>C226=1</formula>
    </cfRule>
  </conditionalFormatting>
  <conditionalFormatting sqref="C218:G225">
    <cfRule type="expression" dxfId="514" priority="34">
      <formula>C218=1</formula>
    </cfRule>
  </conditionalFormatting>
  <conditionalFormatting sqref="C210:G217">
    <cfRule type="expression" dxfId="513" priority="33">
      <formula>C210=1</formula>
    </cfRule>
  </conditionalFormatting>
  <conditionalFormatting sqref="C274:G280">
    <cfRule type="expression" dxfId="512" priority="32">
      <formula>C274=1</formula>
    </cfRule>
  </conditionalFormatting>
  <conditionalFormatting sqref="C290:G296">
    <cfRule type="expression" dxfId="511" priority="31">
      <formula>C290=1</formula>
    </cfRule>
  </conditionalFormatting>
  <conditionalFormatting sqref="C306:G312">
    <cfRule type="expression" dxfId="510" priority="30">
      <formula>C306=1</formula>
    </cfRule>
  </conditionalFormatting>
  <conditionalFormatting sqref="C314:G320">
    <cfRule type="expression" dxfId="509" priority="29">
      <formula>C314=1</formula>
    </cfRule>
  </conditionalFormatting>
  <conditionalFormatting sqref="C322:G328">
    <cfRule type="expression" dxfId="508" priority="28">
      <formula>C322=1</formula>
    </cfRule>
  </conditionalFormatting>
  <conditionalFormatting sqref="C338:G344">
    <cfRule type="expression" dxfId="507" priority="27">
      <formula>C338=1</formula>
    </cfRule>
  </conditionalFormatting>
  <conditionalFormatting sqref="C346:G352">
    <cfRule type="expression" dxfId="506" priority="26">
      <formula>C346=1</formula>
    </cfRule>
  </conditionalFormatting>
  <conditionalFormatting sqref="C354:G360">
    <cfRule type="expression" dxfId="505" priority="25">
      <formula>C354=1</formula>
    </cfRule>
  </conditionalFormatting>
  <conditionalFormatting sqref="C362:G368">
    <cfRule type="expression" dxfId="504" priority="24">
      <formula>C362=1</formula>
    </cfRule>
  </conditionalFormatting>
  <conditionalFormatting sqref="C370:G376">
    <cfRule type="expression" dxfId="503" priority="23">
      <formula>C370=1</formula>
    </cfRule>
  </conditionalFormatting>
  <conditionalFormatting sqref="C378:G384">
    <cfRule type="expression" dxfId="502" priority="22">
      <formula>C378=1</formula>
    </cfRule>
  </conditionalFormatting>
  <conditionalFormatting sqref="C386:G392">
    <cfRule type="expression" dxfId="501" priority="21">
      <formula>C386=1</formula>
    </cfRule>
  </conditionalFormatting>
  <conditionalFormatting sqref="C394:G400">
    <cfRule type="expression" dxfId="500" priority="20">
      <formula>C394=1</formula>
    </cfRule>
  </conditionalFormatting>
  <conditionalFormatting sqref="C402:G408">
    <cfRule type="expression" dxfId="499" priority="19">
      <formula>C402=1</formula>
    </cfRule>
  </conditionalFormatting>
  <conditionalFormatting sqref="C410:G416">
    <cfRule type="expression" dxfId="498" priority="18">
      <formula>C410=1</formula>
    </cfRule>
  </conditionalFormatting>
  <conditionalFormatting sqref="C418:G423">
    <cfRule type="expression" dxfId="497" priority="17">
      <formula>C418=1</formula>
    </cfRule>
  </conditionalFormatting>
  <conditionalFormatting sqref="C426:G432">
    <cfRule type="expression" dxfId="496" priority="16">
      <formula>C426=1</formula>
    </cfRule>
  </conditionalFormatting>
  <conditionalFormatting sqref="C434:G440">
    <cfRule type="expression" dxfId="495" priority="15">
      <formula>C434=1</formula>
    </cfRule>
  </conditionalFormatting>
  <conditionalFormatting sqref="C442:G448">
    <cfRule type="expression" dxfId="494" priority="14">
      <formula>C442=1</formula>
    </cfRule>
  </conditionalFormatting>
  <conditionalFormatting sqref="C458:G461">
    <cfRule type="expression" dxfId="493" priority="13">
      <formula>C458=1</formula>
    </cfRule>
  </conditionalFormatting>
  <conditionalFormatting sqref="C49:G49">
    <cfRule type="expression" dxfId="492" priority="12">
      <formula>C49=1</formula>
    </cfRule>
  </conditionalFormatting>
  <conditionalFormatting sqref="C50:G56">
    <cfRule type="expression" dxfId="491" priority="11">
      <formula>C50=1</formula>
    </cfRule>
  </conditionalFormatting>
  <conditionalFormatting sqref="C59:G64">
    <cfRule type="expression" dxfId="490" priority="10">
      <formula>C59=1</formula>
    </cfRule>
  </conditionalFormatting>
  <conditionalFormatting sqref="C97:G97">
    <cfRule type="expression" dxfId="489" priority="8">
      <formula>C97=1</formula>
    </cfRule>
  </conditionalFormatting>
  <conditionalFormatting sqref="C105:G105">
    <cfRule type="expression" dxfId="488" priority="9">
      <formula>C105=1</formula>
    </cfRule>
  </conditionalFormatting>
  <conditionalFormatting sqref="C242:G249">
    <cfRule type="expression" dxfId="487" priority="7">
      <formula>C242=1</formula>
    </cfRule>
  </conditionalFormatting>
  <conditionalFormatting sqref="C234:G241">
    <cfRule type="expression" dxfId="486" priority="6">
      <formula>C234=1</formula>
    </cfRule>
  </conditionalFormatting>
  <conditionalFormatting sqref="C98:G104">
    <cfRule type="expression" dxfId="485" priority="5">
      <formula>C98=1</formula>
    </cfRule>
  </conditionalFormatting>
  <conditionalFormatting sqref="C106:G106">
    <cfRule type="expression" dxfId="484" priority="4">
      <formula>C106=1</formula>
    </cfRule>
  </conditionalFormatting>
  <conditionalFormatting sqref="C106:G112">
    <cfRule type="expression" dxfId="483" priority="3">
      <formula>C106=1</formula>
    </cfRule>
  </conditionalFormatting>
  <conditionalFormatting sqref="C82:G82">
    <cfRule type="expression" dxfId="482" priority="2">
      <formula>C82=1</formula>
    </cfRule>
  </conditionalFormatting>
  <conditionalFormatting sqref="C82:G88">
    <cfRule type="expression" dxfId="481" priority="1">
      <formula>C82=1</formula>
    </cfRule>
  </conditionalFormatting>
  <pageMargins left="0.7" right="0.7" top="0.75" bottom="0.75" header="0.3" footer="0.3"/>
  <pageSetup orientation="portrait" copies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CCE6B-0016-4072-A8E7-B5903559B52B}">
  <dimension ref="A1:X1725"/>
  <sheetViews>
    <sheetView tabSelected="1" topLeftCell="A97" zoomScale="70" zoomScaleNormal="70" workbookViewId="0">
      <selection activeCell="P74" sqref="P74:P83"/>
    </sheetView>
  </sheetViews>
  <sheetFormatPr defaultColWidth="2.1171875" defaultRowHeight="59.25" x14ac:dyDescent="0.3"/>
  <cols>
    <col min="1" max="1" width="2.1171875" style="32"/>
    <col min="2" max="3" width="15.64453125" style="33" customWidth="1"/>
    <col min="4" max="6" width="2.1171875" style="32"/>
    <col min="7" max="7" width="2.1171875" style="35"/>
    <col min="8" max="11" width="2.1171875" style="32"/>
    <col min="12" max="12" width="3.64453125" style="35" customWidth="1"/>
    <col min="13" max="14" width="6.64453125" style="32" customWidth="1"/>
    <col min="15" max="15" width="3.64453125" style="32" customWidth="1"/>
    <col min="16" max="16" width="75.64453125" style="32" customWidth="1"/>
    <col min="17" max="23" width="2.1171875" style="32"/>
    <col min="24" max="24" width="2.1171875" style="37"/>
    <col min="25" max="16384" width="2.1171875" style="32"/>
  </cols>
  <sheetData>
    <row r="1" spans="1:24" ht="12" customHeight="1" x14ac:dyDescent="0.3">
      <c r="X1" s="38"/>
    </row>
    <row r="2" spans="1:24" ht="24" customHeight="1" x14ac:dyDescent="0.3">
      <c r="D2" s="34">
        <v>128</v>
      </c>
      <c r="E2" s="34">
        <v>64</v>
      </c>
      <c r="F2" s="34">
        <v>32</v>
      </c>
      <c r="G2" s="36">
        <v>16</v>
      </c>
      <c r="H2" s="34">
        <v>8</v>
      </c>
      <c r="I2" s="34">
        <v>4</v>
      </c>
      <c r="J2" s="34">
        <v>2</v>
      </c>
      <c r="K2" s="34">
        <v>1</v>
      </c>
      <c r="X2" s="38"/>
    </row>
    <row r="3" spans="1:24" ht="12" customHeight="1" x14ac:dyDescent="0.3">
      <c r="D3" s="32">
        <v>8</v>
      </c>
      <c r="E3" s="32">
        <v>7</v>
      </c>
      <c r="F3" s="32">
        <v>6</v>
      </c>
      <c r="G3" s="35">
        <v>5</v>
      </c>
      <c r="H3" s="32">
        <v>4</v>
      </c>
      <c r="I3" s="32">
        <v>3</v>
      </c>
      <c r="J3" s="32">
        <v>2</v>
      </c>
      <c r="K3" s="32">
        <v>1</v>
      </c>
      <c r="X3" s="38"/>
    </row>
    <row r="4" spans="1:24" ht="12" customHeight="1" x14ac:dyDescent="0.3">
      <c r="A4" s="32">
        <v>1</v>
      </c>
      <c r="B4" s="46">
        <v>32</v>
      </c>
      <c r="C4" s="46" t="s">
        <v>215</v>
      </c>
      <c r="M4" s="32">
        <f>G4*G$2+H4*H$2+I4*I$2+J4*J$2+K4*K$2+F4*F$2+E4*E$2+D4*D$2</f>
        <v>0</v>
      </c>
      <c r="N4" s="32" t="str">
        <f t="shared" ref="N4" si="0">DEC2HEX(M4,2)</f>
        <v>00</v>
      </c>
      <c r="P4" s="47" t="str">
        <f t="shared" ref="P4" si="1">CONCATENATE("0x",N4,",0x",N5,",0x",N6,",0x",N7,",0x",N8,",0x",N9,",0x",N10,",0x",N11,",0x",N12,",0x",N13,", //",C4)</f>
        <v>0x00,0x00,0x00,0x00,0x00,0x00,0x00,0x00,0x00,0x00, //sp</v>
      </c>
      <c r="X4" s="38"/>
    </row>
    <row r="5" spans="1:24" ht="12" customHeight="1" x14ac:dyDescent="0.3">
      <c r="A5" s="32">
        <v>2</v>
      </c>
      <c r="B5" s="46"/>
      <c r="C5" s="46"/>
      <c r="M5" s="32">
        <f t="shared" ref="M5:M68" si="2">G5*G$2+H5*H$2+I5*I$2+J5*J$2+K5*K$2+F5*F$2+E5*E$2+D5*D$2</f>
        <v>0</v>
      </c>
      <c r="N5" s="32" t="str">
        <f t="shared" ref="N5:N163" si="3">DEC2HEX(M5,2)</f>
        <v>00</v>
      </c>
      <c r="P5" s="47"/>
      <c r="X5" s="38"/>
    </row>
    <row r="6" spans="1:24" ht="12" customHeight="1" x14ac:dyDescent="0.3">
      <c r="A6" s="32">
        <v>3</v>
      </c>
      <c r="B6" s="46"/>
      <c r="C6" s="46"/>
      <c r="M6" s="32">
        <f t="shared" si="2"/>
        <v>0</v>
      </c>
      <c r="N6" s="32" t="str">
        <f t="shared" si="3"/>
        <v>00</v>
      </c>
      <c r="P6" s="47"/>
      <c r="X6" s="38"/>
    </row>
    <row r="7" spans="1:24" ht="12" customHeight="1" x14ac:dyDescent="0.3">
      <c r="A7" s="32">
        <v>4</v>
      </c>
      <c r="B7" s="46"/>
      <c r="C7" s="46"/>
      <c r="M7" s="32">
        <f t="shared" si="2"/>
        <v>0</v>
      </c>
      <c r="N7" s="32" t="str">
        <f t="shared" si="3"/>
        <v>00</v>
      </c>
      <c r="P7" s="47"/>
      <c r="X7" s="38"/>
    </row>
    <row r="8" spans="1:24" ht="12" customHeight="1" x14ac:dyDescent="0.3">
      <c r="A8" s="32">
        <v>5</v>
      </c>
      <c r="B8" s="46"/>
      <c r="C8" s="46"/>
      <c r="M8" s="32">
        <f t="shared" si="2"/>
        <v>0</v>
      </c>
      <c r="N8" s="32" t="str">
        <f t="shared" si="3"/>
        <v>00</v>
      </c>
      <c r="P8" s="47"/>
      <c r="X8" s="38"/>
    </row>
    <row r="9" spans="1:24" ht="12" customHeight="1" x14ac:dyDescent="0.3">
      <c r="A9" s="32">
        <v>6</v>
      </c>
      <c r="B9" s="46"/>
      <c r="C9" s="46"/>
      <c r="M9" s="32">
        <f t="shared" si="2"/>
        <v>0</v>
      </c>
      <c r="N9" s="32" t="str">
        <f t="shared" si="3"/>
        <v>00</v>
      </c>
      <c r="P9" s="47"/>
      <c r="X9" s="38"/>
    </row>
    <row r="10" spans="1:24" ht="12" customHeight="1" x14ac:dyDescent="0.3">
      <c r="A10" s="32">
        <v>7</v>
      </c>
      <c r="B10" s="46"/>
      <c r="C10" s="46"/>
      <c r="M10" s="32">
        <f t="shared" si="2"/>
        <v>0</v>
      </c>
      <c r="N10" s="32" t="str">
        <f t="shared" si="3"/>
        <v>00</v>
      </c>
      <c r="P10" s="47"/>
      <c r="X10" s="38"/>
    </row>
    <row r="11" spans="1:24" ht="12" customHeight="1" x14ac:dyDescent="0.3">
      <c r="A11" s="32">
        <v>8</v>
      </c>
      <c r="B11" s="46"/>
      <c r="C11" s="46"/>
      <c r="M11" s="32">
        <f t="shared" si="2"/>
        <v>0</v>
      </c>
      <c r="N11" s="32" t="str">
        <f t="shared" si="3"/>
        <v>00</v>
      </c>
      <c r="P11" s="47"/>
      <c r="X11" s="38"/>
    </row>
    <row r="12" spans="1:24" ht="12" customHeight="1" x14ac:dyDescent="0.3">
      <c r="A12" s="32">
        <v>9</v>
      </c>
      <c r="B12" s="46"/>
      <c r="C12" s="46"/>
      <c r="M12" s="32">
        <f t="shared" si="2"/>
        <v>0</v>
      </c>
      <c r="N12" s="32" t="str">
        <f t="shared" si="3"/>
        <v>00</v>
      </c>
      <c r="P12" s="47"/>
      <c r="X12" s="38"/>
    </row>
    <row r="13" spans="1:24" ht="12" customHeight="1" x14ac:dyDescent="0.3">
      <c r="A13" s="32">
        <v>10</v>
      </c>
      <c r="B13" s="46"/>
      <c r="C13" s="46"/>
      <c r="M13" s="32">
        <f t="shared" si="2"/>
        <v>0</v>
      </c>
      <c r="N13" s="32" t="str">
        <f t="shared" si="3"/>
        <v>00</v>
      </c>
      <c r="P13" s="47"/>
      <c r="X13" s="38"/>
    </row>
    <row r="14" spans="1:24" ht="12" customHeight="1" x14ac:dyDescent="0.3">
      <c r="A14" s="32">
        <v>1</v>
      </c>
      <c r="B14" s="46">
        <v>33</v>
      </c>
      <c r="C14" s="46" t="str">
        <f t="shared" ref="C14:C74" si="4">CHAR(B14)</f>
        <v>!</v>
      </c>
      <c r="K14" s="32">
        <v>1</v>
      </c>
      <c r="M14" s="32">
        <f t="shared" si="2"/>
        <v>1</v>
      </c>
      <c r="N14" s="32" t="str">
        <f t="shared" ref="N14:N45" si="5">DEC2HEX(M14,2)</f>
        <v>01</v>
      </c>
      <c r="P14" s="47" t="str">
        <f t="shared" ref="P14" si="6">CONCATENATE("0x",N14,",0x",N15,",0x",N16,",0x",N17,",0x",N18,",0x",N19,",0x",N20,",0x",N21,",0x",N22,",0x",N23,", //",C14)</f>
        <v>0x01,0x01,0x01,0x01,0x01,0x01,0x00,0x01,0x00,0x00, //!</v>
      </c>
      <c r="X14" s="38"/>
    </row>
    <row r="15" spans="1:24" ht="12" customHeight="1" x14ac:dyDescent="0.3">
      <c r="A15" s="32">
        <v>2</v>
      </c>
      <c r="B15" s="46"/>
      <c r="C15" s="46"/>
      <c r="K15" s="32">
        <v>1</v>
      </c>
      <c r="M15" s="32">
        <f t="shared" si="2"/>
        <v>1</v>
      </c>
      <c r="N15" s="32" t="str">
        <f t="shared" si="5"/>
        <v>01</v>
      </c>
      <c r="P15" s="47"/>
      <c r="X15" s="38"/>
    </row>
    <row r="16" spans="1:24" ht="12" customHeight="1" x14ac:dyDescent="0.3">
      <c r="A16" s="32">
        <v>3</v>
      </c>
      <c r="B16" s="46"/>
      <c r="C16" s="46"/>
      <c r="K16" s="32">
        <v>1</v>
      </c>
      <c r="M16" s="32">
        <f t="shared" si="2"/>
        <v>1</v>
      </c>
      <c r="N16" s="32" t="str">
        <f t="shared" si="5"/>
        <v>01</v>
      </c>
      <c r="P16" s="47"/>
      <c r="X16" s="38"/>
    </row>
    <row r="17" spans="1:24" ht="12" customHeight="1" x14ac:dyDescent="0.3">
      <c r="A17" s="32">
        <v>4</v>
      </c>
      <c r="B17" s="46"/>
      <c r="C17" s="46"/>
      <c r="K17" s="32">
        <v>1</v>
      </c>
      <c r="M17" s="32">
        <f t="shared" si="2"/>
        <v>1</v>
      </c>
      <c r="N17" s="32" t="str">
        <f t="shared" si="5"/>
        <v>01</v>
      </c>
      <c r="P17" s="47"/>
      <c r="X17" s="38"/>
    </row>
    <row r="18" spans="1:24" ht="12" customHeight="1" x14ac:dyDescent="0.3">
      <c r="A18" s="32">
        <v>5</v>
      </c>
      <c r="B18" s="46"/>
      <c r="C18" s="46"/>
      <c r="K18" s="32">
        <v>1</v>
      </c>
      <c r="M18" s="32">
        <f t="shared" si="2"/>
        <v>1</v>
      </c>
      <c r="N18" s="32" t="str">
        <f t="shared" si="5"/>
        <v>01</v>
      </c>
      <c r="P18" s="47"/>
      <c r="X18" s="38"/>
    </row>
    <row r="19" spans="1:24" ht="12" customHeight="1" x14ac:dyDescent="0.3">
      <c r="A19" s="32">
        <v>6</v>
      </c>
      <c r="B19" s="46"/>
      <c r="C19" s="46"/>
      <c r="K19" s="32">
        <v>1</v>
      </c>
      <c r="M19" s="32">
        <f t="shared" si="2"/>
        <v>1</v>
      </c>
      <c r="N19" s="32" t="str">
        <f t="shared" si="5"/>
        <v>01</v>
      </c>
      <c r="P19" s="47"/>
      <c r="X19" s="38"/>
    </row>
    <row r="20" spans="1:24" ht="12" customHeight="1" x14ac:dyDescent="0.3">
      <c r="A20" s="32">
        <v>7</v>
      </c>
      <c r="B20" s="46"/>
      <c r="C20" s="46"/>
      <c r="M20" s="32">
        <f t="shared" si="2"/>
        <v>0</v>
      </c>
      <c r="N20" s="32" t="str">
        <f t="shared" si="5"/>
        <v>00</v>
      </c>
      <c r="P20" s="47"/>
      <c r="X20" s="38"/>
    </row>
    <row r="21" spans="1:24" ht="12" customHeight="1" x14ac:dyDescent="0.3">
      <c r="A21" s="32">
        <v>8</v>
      </c>
      <c r="B21" s="46"/>
      <c r="C21" s="46"/>
      <c r="K21" s="32">
        <v>1</v>
      </c>
      <c r="M21" s="32">
        <f t="shared" si="2"/>
        <v>1</v>
      </c>
      <c r="N21" s="32" t="str">
        <f t="shared" si="5"/>
        <v>01</v>
      </c>
      <c r="P21" s="47"/>
      <c r="X21" s="38"/>
    </row>
    <row r="22" spans="1:24" ht="12" customHeight="1" x14ac:dyDescent="0.3">
      <c r="A22" s="32">
        <v>9</v>
      </c>
      <c r="B22" s="46"/>
      <c r="C22" s="46"/>
      <c r="M22" s="32">
        <f t="shared" si="2"/>
        <v>0</v>
      </c>
      <c r="N22" s="32" t="str">
        <f t="shared" si="5"/>
        <v>00</v>
      </c>
      <c r="P22" s="47"/>
      <c r="X22" s="38"/>
    </row>
    <row r="23" spans="1:24" ht="12" customHeight="1" x14ac:dyDescent="0.3">
      <c r="A23" s="32">
        <v>10</v>
      </c>
      <c r="B23" s="46"/>
      <c r="C23" s="46"/>
      <c r="M23" s="32">
        <f t="shared" si="2"/>
        <v>0</v>
      </c>
      <c r="N23" s="32" t="str">
        <f t="shared" si="5"/>
        <v>00</v>
      </c>
      <c r="P23" s="47"/>
      <c r="X23" s="38"/>
    </row>
    <row r="24" spans="1:24" ht="12" customHeight="1" x14ac:dyDescent="0.3">
      <c r="A24" s="32">
        <v>1</v>
      </c>
      <c r="B24" s="46">
        <v>34</v>
      </c>
      <c r="C24" s="46" t="str">
        <f t="shared" si="4"/>
        <v>"</v>
      </c>
      <c r="M24" s="32">
        <f t="shared" si="2"/>
        <v>0</v>
      </c>
      <c r="N24" s="32" t="str">
        <f t="shared" si="5"/>
        <v>00</v>
      </c>
      <c r="P24" s="47" t="str">
        <f t="shared" ref="P24" si="7">CONCATENATE("0x",N24,",0x",N25,",0x",N26,",0x",N27,",0x",N28,",0x",N29,",0x",N30,",0x",N31,",0x",N32,",0x",N33,", //",C24)</f>
        <v>0x00,0x00,0x00,0x00,0x00,0x00,0x00,0x00,0x00,0x00, //"</v>
      </c>
      <c r="X24" s="38"/>
    </row>
    <row r="25" spans="1:24" ht="12" customHeight="1" x14ac:dyDescent="0.3">
      <c r="A25" s="32">
        <v>2</v>
      </c>
      <c r="B25" s="46"/>
      <c r="C25" s="46"/>
      <c r="M25" s="32">
        <f t="shared" si="2"/>
        <v>0</v>
      </c>
      <c r="N25" s="32" t="str">
        <f t="shared" si="5"/>
        <v>00</v>
      </c>
      <c r="P25" s="47"/>
      <c r="X25" s="38"/>
    </row>
    <row r="26" spans="1:24" ht="12" customHeight="1" x14ac:dyDescent="0.3">
      <c r="A26" s="32">
        <v>3</v>
      </c>
      <c r="B26" s="46"/>
      <c r="C26" s="46"/>
      <c r="M26" s="32">
        <f t="shared" si="2"/>
        <v>0</v>
      </c>
      <c r="N26" s="32" t="str">
        <f t="shared" si="5"/>
        <v>00</v>
      </c>
      <c r="P26" s="47"/>
      <c r="X26" s="38"/>
    </row>
    <row r="27" spans="1:24" ht="12" customHeight="1" x14ac:dyDescent="0.3">
      <c r="A27" s="32">
        <v>4</v>
      </c>
      <c r="B27" s="46"/>
      <c r="C27" s="46"/>
      <c r="M27" s="32">
        <f t="shared" si="2"/>
        <v>0</v>
      </c>
      <c r="N27" s="32" t="str">
        <f t="shared" si="5"/>
        <v>00</v>
      </c>
      <c r="P27" s="47"/>
      <c r="X27" s="38"/>
    </row>
    <row r="28" spans="1:24" ht="12" customHeight="1" x14ac:dyDescent="0.3">
      <c r="A28" s="32">
        <v>5</v>
      </c>
      <c r="B28" s="46"/>
      <c r="C28" s="46"/>
      <c r="M28" s="32">
        <f t="shared" si="2"/>
        <v>0</v>
      </c>
      <c r="N28" s="32" t="str">
        <f t="shared" si="5"/>
        <v>00</v>
      </c>
      <c r="P28" s="47"/>
      <c r="X28" s="38"/>
    </row>
    <row r="29" spans="1:24" ht="12" customHeight="1" x14ac:dyDescent="0.3">
      <c r="A29" s="32">
        <v>6</v>
      </c>
      <c r="B29" s="46"/>
      <c r="C29" s="46"/>
      <c r="M29" s="32">
        <f t="shared" si="2"/>
        <v>0</v>
      </c>
      <c r="N29" s="32" t="str">
        <f t="shared" si="5"/>
        <v>00</v>
      </c>
      <c r="P29" s="47"/>
      <c r="X29" s="38"/>
    </row>
    <row r="30" spans="1:24" ht="12" customHeight="1" x14ac:dyDescent="0.3">
      <c r="A30" s="32">
        <v>7</v>
      </c>
      <c r="B30" s="46"/>
      <c r="C30" s="46"/>
      <c r="M30" s="32">
        <f t="shared" si="2"/>
        <v>0</v>
      </c>
      <c r="N30" s="32" t="str">
        <f t="shared" si="5"/>
        <v>00</v>
      </c>
      <c r="P30" s="47"/>
      <c r="X30" s="38"/>
    </row>
    <row r="31" spans="1:24" ht="12" customHeight="1" x14ac:dyDescent="0.3">
      <c r="A31" s="32">
        <v>8</v>
      </c>
      <c r="B31" s="46"/>
      <c r="C31" s="46"/>
      <c r="M31" s="32">
        <f t="shared" si="2"/>
        <v>0</v>
      </c>
      <c r="N31" s="32" t="str">
        <f t="shared" si="5"/>
        <v>00</v>
      </c>
      <c r="P31" s="47"/>
      <c r="X31" s="38"/>
    </row>
    <row r="32" spans="1:24" ht="12" customHeight="1" x14ac:dyDescent="0.3">
      <c r="A32" s="32">
        <v>9</v>
      </c>
      <c r="B32" s="46"/>
      <c r="C32" s="46"/>
      <c r="M32" s="32">
        <f t="shared" si="2"/>
        <v>0</v>
      </c>
      <c r="N32" s="32" t="str">
        <f t="shared" si="5"/>
        <v>00</v>
      </c>
      <c r="P32" s="47"/>
      <c r="X32" s="38"/>
    </row>
    <row r="33" spans="1:24" ht="12" customHeight="1" x14ac:dyDescent="0.3">
      <c r="A33" s="32">
        <v>10</v>
      </c>
      <c r="B33" s="46"/>
      <c r="C33" s="46"/>
      <c r="M33" s="32">
        <f t="shared" si="2"/>
        <v>0</v>
      </c>
      <c r="N33" s="32" t="str">
        <f t="shared" si="5"/>
        <v>00</v>
      </c>
      <c r="P33" s="47"/>
      <c r="X33" s="38"/>
    </row>
    <row r="34" spans="1:24" ht="12" customHeight="1" x14ac:dyDescent="0.3">
      <c r="A34" s="32">
        <v>1</v>
      </c>
      <c r="B34" s="46">
        <v>35</v>
      </c>
      <c r="C34" s="46" t="str">
        <f t="shared" si="4"/>
        <v>#</v>
      </c>
      <c r="M34" s="32">
        <f t="shared" si="2"/>
        <v>0</v>
      </c>
      <c r="N34" s="32" t="str">
        <f t="shared" si="5"/>
        <v>00</v>
      </c>
      <c r="P34" s="47" t="str">
        <f t="shared" ref="P34" si="8">CONCATENATE("0x",N34,",0x",N35,",0x",N36,",0x",N37,",0x",N38,",0x",N39,",0x",N40,",0x",N41,",0x",N42,",0x",N43,", //",C34)</f>
        <v>0x00,0x00,0x00,0x00,0x00,0x00,0x00,0x00,0x00,0x00, //#</v>
      </c>
      <c r="X34" s="38"/>
    </row>
    <row r="35" spans="1:24" ht="12" customHeight="1" x14ac:dyDescent="0.3">
      <c r="A35" s="32">
        <v>2</v>
      </c>
      <c r="B35" s="46"/>
      <c r="C35" s="46"/>
      <c r="M35" s="32">
        <f t="shared" si="2"/>
        <v>0</v>
      </c>
      <c r="N35" s="32" t="str">
        <f t="shared" si="5"/>
        <v>00</v>
      </c>
      <c r="P35" s="47"/>
      <c r="X35" s="38"/>
    </row>
    <row r="36" spans="1:24" ht="12" customHeight="1" x14ac:dyDescent="0.3">
      <c r="A36" s="32">
        <v>3</v>
      </c>
      <c r="B36" s="46"/>
      <c r="C36" s="46"/>
      <c r="M36" s="32">
        <f t="shared" si="2"/>
        <v>0</v>
      </c>
      <c r="N36" s="32" t="str">
        <f t="shared" si="5"/>
        <v>00</v>
      </c>
      <c r="P36" s="47"/>
      <c r="X36" s="38"/>
    </row>
    <row r="37" spans="1:24" ht="12" customHeight="1" x14ac:dyDescent="0.3">
      <c r="A37" s="32">
        <v>4</v>
      </c>
      <c r="B37" s="46"/>
      <c r="C37" s="46"/>
      <c r="M37" s="32">
        <f t="shared" si="2"/>
        <v>0</v>
      </c>
      <c r="N37" s="32" t="str">
        <f t="shared" si="5"/>
        <v>00</v>
      </c>
      <c r="P37" s="47"/>
      <c r="X37" s="38"/>
    </row>
    <row r="38" spans="1:24" ht="12" customHeight="1" x14ac:dyDescent="0.3">
      <c r="A38" s="32">
        <v>5</v>
      </c>
      <c r="B38" s="46"/>
      <c r="C38" s="46"/>
      <c r="M38" s="32">
        <f t="shared" si="2"/>
        <v>0</v>
      </c>
      <c r="N38" s="32" t="str">
        <f t="shared" si="5"/>
        <v>00</v>
      </c>
      <c r="P38" s="47"/>
      <c r="X38" s="38"/>
    </row>
    <row r="39" spans="1:24" ht="12" customHeight="1" x14ac:dyDescent="0.3">
      <c r="A39" s="32">
        <v>6</v>
      </c>
      <c r="B39" s="46"/>
      <c r="C39" s="46"/>
      <c r="M39" s="32">
        <f t="shared" si="2"/>
        <v>0</v>
      </c>
      <c r="N39" s="32" t="str">
        <f t="shared" si="5"/>
        <v>00</v>
      </c>
      <c r="P39" s="47"/>
      <c r="X39" s="38"/>
    </row>
    <row r="40" spans="1:24" ht="12" customHeight="1" x14ac:dyDescent="0.3">
      <c r="A40" s="32">
        <v>7</v>
      </c>
      <c r="B40" s="46"/>
      <c r="C40" s="46"/>
      <c r="M40" s="32">
        <f t="shared" si="2"/>
        <v>0</v>
      </c>
      <c r="N40" s="32" t="str">
        <f t="shared" si="5"/>
        <v>00</v>
      </c>
      <c r="P40" s="47"/>
      <c r="X40" s="38"/>
    </row>
    <row r="41" spans="1:24" ht="12" customHeight="1" x14ac:dyDescent="0.3">
      <c r="A41" s="32">
        <v>8</v>
      </c>
      <c r="B41" s="46"/>
      <c r="C41" s="46"/>
      <c r="M41" s="32">
        <f t="shared" si="2"/>
        <v>0</v>
      </c>
      <c r="N41" s="32" t="str">
        <f t="shared" si="5"/>
        <v>00</v>
      </c>
      <c r="P41" s="47"/>
      <c r="X41" s="38"/>
    </row>
    <row r="42" spans="1:24" ht="12" customHeight="1" x14ac:dyDescent="0.3">
      <c r="A42" s="32">
        <v>9</v>
      </c>
      <c r="B42" s="46"/>
      <c r="C42" s="46"/>
      <c r="M42" s="32">
        <f t="shared" si="2"/>
        <v>0</v>
      </c>
      <c r="N42" s="32" t="str">
        <f t="shared" si="5"/>
        <v>00</v>
      </c>
      <c r="P42" s="47"/>
      <c r="X42" s="38"/>
    </row>
    <row r="43" spans="1:24" ht="12" customHeight="1" x14ac:dyDescent="0.3">
      <c r="A43" s="32">
        <v>10</v>
      </c>
      <c r="B43" s="46"/>
      <c r="C43" s="46"/>
      <c r="M43" s="32">
        <f t="shared" si="2"/>
        <v>0</v>
      </c>
      <c r="N43" s="32" t="str">
        <f t="shared" si="5"/>
        <v>00</v>
      </c>
      <c r="P43" s="47"/>
      <c r="X43" s="38"/>
    </row>
    <row r="44" spans="1:24" ht="12" customHeight="1" x14ac:dyDescent="0.3">
      <c r="A44" s="32">
        <v>1</v>
      </c>
      <c r="B44" s="46">
        <v>36</v>
      </c>
      <c r="C44" s="46" t="str">
        <f t="shared" si="4"/>
        <v>$</v>
      </c>
      <c r="I44" s="32">
        <v>1</v>
      </c>
      <c r="M44" s="32">
        <f t="shared" si="2"/>
        <v>4</v>
      </c>
      <c r="N44" s="32" t="str">
        <f t="shared" si="5"/>
        <v>04</v>
      </c>
      <c r="P44" s="47" t="str">
        <f t="shared" ref="P44" si="9">CONCATENATE("0x",N44,",0x",N45,",0x",N46,",0x",N47,",0x",N48,",0x",N49,",0x",N50,",0x",N51,",0x",N52,",0x",N53,", //",C44)</f>
        <v>0x04,0x04,0x0E,0x0E,0x0E,0x1F,0x1F,0x1F,0x00,0x00, //$</v>
      </c>
      <c r="X44" s="38"/>
    </row>
    <row r="45" spans="1:24" ht="12" customHeight="1" x14ac:dyDescent="0.3">
      <c r="A45" s="32">
        <v>2</v>
      </c>
      <c r="B45" s="46"/>
      <c r="C45" s="46"/>
      <c r="I45" s="32">
        <v>1</v>
      </c>
      <c r="M45" s="32">
        <f t="shared" si="2"/>
        <v>4</v>
      </c>
      <c r="N45" s="32" t="str">
        <f t="shared" si="5"/>
        <v>04</v>
      </c>
      <c r="P45" s="47"/>
      <c r="X45" s="38"/>
    </row>
    <row r="46" spans="1:24" ht="12" customHeight="1" x14ac:dyDescent="0.3">
      <c r="A46" s="32">
        <v>3</v>
      </c>
      <c r="B46" s="46"/>
      <c r="C46" s="46"/>
      <c r="H46" s="32">
        <v>1</v>
      </c>
      <c r="I46" s="32">
        <v>1</v>
      </c>
      <c r="J46" s="32">
        <v>1</v>
      </c>
      <c r="M46" s="32">
        <f t="shared" si="2"/>
        <v>14</v>
      </c>
      <c r="N46" s="32" t="str">
        <f t="shared" ref="N46:N77" si="10">DEC2HEX(M46,2)</f>
        <v>0E</v>
      </c>
      <c r="P46" s="47"/>
      <c r="X46" s="38"/>
    </row>
    <row r="47" spans="1:24" ht="12" customHeight="1" x14ac:dyDescent="0.3">
      <c r="A47" s="32">
        <v>4</v>
      </c>
      <c r="B47" s="46"/>
      <c r="C47" s="46"/>
      <c r="H47" s="32">
        <v>1</v>
      </c>
      <c r="I47" s="32">
        <v>1</v>
      </c>
      <c r="J47" s="32">
        <v>1</v>
      </c>
      <c r="M47" s="32">
        <f t="shared" si="2"/>
        <v>14</v>
      </c>
      <c r="N47" s="32" t="str">
        <f t="shared" si="10"/>
        <v>0E</v>
      </c>
      <c r="P47" s="47"/>
      <c r="X47" s="38"/>
    </row>
    <row r="48" spans="1:24" ht="12" customHeight="1" x14ac:dyDescent="0.3">
      <c r="A48" s="32">
        <v>5</v>
      </c>
      <c r="B48" s="46"/>
      <c r="C48" s="46"/>
      <c r="H48" s="32">
        <v>1</v>
      </c>
      <c r="I48" s="32">
        <v>1</v>
      </c>
      <c r="J48" s="32">
        <v>1</v>
      </c>
      <c r="M48" s="32">
        <f t="shared" si="2"/>
        <v>14</v>
      </c>
      <c r="N48" s="32" t="str">
        <f t="shared" si="10"/>
        <v>0E</v>
      </c>
      <c r="P48" s="47"/>
      <c r="X48" s="38"/>
    </row>
    <row r="49" spans="1:24" ht="12" customHeight="1" x14ac:dyDescent="0.3">
      <c r="A49" s="32">
        <v>6</v>
      </c>
      <c r="B49" s="46"/>
      <c r="C49" s="46"/>
      <c r="G49" s="35">
        <v>1</v>
      </c>
      <c r="H49" s="32">
        <v>1</v>
      </c>
      <c r="I49" s="32">
        <v>1</v>
      </c>
      <c r="J49" s="32">
        <v>1</v>
      </c>
      <c r="K49" s="32">
        <v>1</v>
      </c>
      <c r="M49" s="32">
        <f t="shared" si="2"/>
        <v>31</v>
      </c>
      <c r="N49" s="32" t="str">
        <f t="shared" si="10"/>
        <v>1F</v>
      </c>
      <c r="P49" s="47"/>
      <c r="X49" s="38"/>
    </row>
    <row r="50" spans="1:24" ht="12" customHeight="1" x14ac:dyDescent="0.3">
      <c r="A50" s="32">
        <v>7</v>
      </c>
      <c r="B50" s="46"/>
      <c r="C50" s="46"/>
      <c r="G50" s="35">
        <v>1</v>
      </c>
      <c r="H50" s="32">
        <v>1</v>
      </c>
      <c r="I50" s="32">
        <v>1</v>
      </c>
      <c r="J50" s="32">
        <v>1</v>
      </c>
      <c r="K50" s="32">
        <v>1</v>
      </c>
      <c r="M50" s="32">
        <f t="shared" si="2"/>
        <v>31</v>
      </c>
      <c r="N50" s="32" t="str">
        <f t="shared" si="10"/>
        <v>1F</v>
      </c>
      <c r="P50" s="47"/>
      <c r="X50" s="38"/>
    </row>
    <row r="51" spans="1:24" ht="12" customHeight="1" x14ac:dyDescent="0.3">
      <c r="A51" s="32">
        <v>8</v>
      </c>
      <c r="B51" s="46"/>
      <c r="C51" s="46"/>
      <c r="G51" s="35">
        <v>1</v>
      </c>
      <c r="H51" s="32">
        <v>1</v>
      </c>
      <c r="I51" s="32">
        <v>1</v>
      </c>
      <c r="J51" s="32">
        <v>1</v>
      </c>
      <c r="K51" s="32">
        <v>1</v>
      </c>
      <c r="M51" s="32">
        <f t="shared" si="2"/>
        <v>31</v>
      </c>
      <c r="N51" s="32" t="str">
        <f t="shared" si="10"/>
        <v>1F</v>
      </c>
      <c r="P51" s="47"/>
      <c r="X51" s="38"/>
    </row>
    <row r="52" spans="1:24" ht="12" customHeight="1" x14ac:dyDescent="0.3">
      <c r="A52" s="32">
        <v>9</v>
      </c>
      <c r="B52" s="46"/>
      <c r="C52" s="46"/>
      <c r="M52" s="32">
        <f t="shared" si="2"/>
        <v>0</v>
      </c>
      <c r="N52" s="32" t="str">
        <f t="shared" si="10"/>
        <v>00</v>
      </c>
      <c r="P52" s="47"/>
      <c r="X52" s="38"/>
    </row>
    <row r="53" spans="1:24" ht="12" customHeight="1" x14ac:dyDescent="0.3">
      <c r="A53" s="32">
        <v>10</v>
      </c>
      <c r="B53" s="46"/>
      <c r="C53" s="46"/>
      <c r="M53" s="32">
        <f t="shared" si="2"/>
        <v>0</v>
      </c>
      <c r="N53" s="32" t="str">
        <f t="shared" si="10"/>
        <v>00</v>
      </c>
      <c r="P53" s="47"/>
      <c r="X53" s="38"/>
    </row>
    <row r="54" spans="1:24" ht="12" customHeight="1" x14ac:dyDescent="0.3">
      <c r="A54" s="32">
        <v>1</v>
      </c>
      <c r="B54" s="46">
        <v>37</v>
      </c>
      <c r="C54" s="46" t="str">
        <f t="shared" si="4"/>
        <v>%</v>
      </c>
      <c r="M54" s="32">
        <f t="shared" si="2"/>
        <v>0</v>
      </c>
      <c r="N54" s="32" t="str">
        <f t="shared" si="10"/>
        <v>00</v>
      </c>
      <c r="P54" s="47" t="str">
        <f t="shared" ref="P54" si="11">CONCATENATE("0x",N54,",0x",N55,",0x",N56,",0x",N57,",0x",N58,",0x",N59,",0x",N60,",0x",N61,",0x",N62,",0x",N63,", //",C54)</f>
        <v>0x00,0x00,0x00,0x00,0x00,0x00,0x00,0x00,0x00,0x00, //%</v>
      </c>
      <c r="X54" s="38"/>
    </row>
    <row r="55" spans="1:24" ht="12" customHeight="1" x14ac:dyDescent="0.3">
      <c r="A55" s="32">
        <v>2</v>
      </c>
      <c r="B55" s="46"/>
      <c r="C55" s="46"/>
      <c r="M55" s="32">
        <f t="shared" si="2"/>
        <v>0</v>
      </c>
      <c r="N55" s="32" t="str">
        <f t="shared" si="10"/>
        <v>00</v>
      </c>
      <c r="P55" s="47"/>
      <c r="X55" s="38"/>
    </row>
    <row r="56" spans="1:24" ht="12" customHeight="1" x14ac:dyDescent="0.3">
      <c r="A56" s="32">
        <v>3</v>
      </c>
      <c r="B56" s="46"/>
      <c r="C56" s="46"/>
      <c r="M56" s="32">
        <f t="shared" si="2"/>
        <v>0</v>
      </c>
      <c r="N56" s="32" t="str">
        <f t="shared" si="10"/>
        <v>00</v>
      </c>
      <c r="P56" s="47"/>
      <c r="X56" s="38"/>
    </row>
    <row r="57" spans="1:24" ht="12" customHeight="1" x14ac:dyDescent="0.3">
      <c r="A57" s="32">
        <v>4</v>
      </c>
      <c r="B57" s="46"/>
      <c r="C57" s="46"/>
      <c r="M57" s="32">
        <f t="shared" si="2"/>
        <v>0</v>
      </c>
      <c r="N57" s="32" t="str">
        <f t="shared" si="10"/>
        <v>00</v>
      </c>
      <c r="P57" s="47"/>
      <c r="X57" s="38"/>
    </row>
    <row r="58" spans="1:24" ht="12" customHeight="1" x14ac:dyDescent="0.3">
      <c r="A58" s="32">
        <v>5</v>
      </c>
      <c r="B58" s="46"/>
      <c r="C58" s="46"/>
      <c r="M58" s="32">
        <f t="shared" si="2"/>
        <v>0</v>
      </c>
      <c r="N58" s="32" t="str">
        <f t="shared" si="10"/>
        <v>00</v>
      </c>
      <c r="P58" s="47"/>
      <c r="X58" s="38"/>
    </row>
    <row r="59" spans="1:24" ht="12" customHeight="1" x14ac:dyDescent="0.3">
      <c r="A59" s="32">
        <v>6</v>
      </c>
      <c r="B59" s="46"/>
      <c r="C59" s="46"/>
      <c r="M59" s="32">
        <f t="shared" si="2"/>
        <v>0</v>
      </c>
      <c r="N59" s="32" t="str">
        <f t="shared" si="10"/>
        <v>00</v>
      </c>
      <c r="P59" s="47"/>
      <c r="X59" s="38"/>
    </row>
    <row r="60" spans="1:24" ht="12" customHeight="1" x14ac:dyDescent="0.3">
      <c r="A60" s="32">
        <v>7</v>
      </c>
      <c r="B60" s="46"/>
      <c r="C60" s="46"/>
      <c r="M60" s="32">
        <f t="shared" si="2"/>
        <v>0</v>
      </c>
      <c r="N60" s="32" t="str">
        <f t="shared" si="10"/>
        <v>00</v>
      </c>
      <c r="P60" s="47"/>
      <c r="X60" s="38"/>
    </row>
    <row r="61" spans="1:24" ht="12" customHeight="1" x14ac:dyDescent="0.3">
      <c r="A61" s="32">
        <v>8</v>
      </c>
      <c r="B61" s="46"/>
      <c r="C61" s="46"/>
      <c r="M61" s="32">
        <f t="shared" si="2"/>
        <v>0</v>
      </c>
      <c r="N61" s="32" t="str">
        <f t="shared" si="10"/>
        <v>00</v>
      </c>
      <c r="P61" s="47"/>
      <c r="X61" s="38"/>
    </row>
    <row r="62" spans="1:24" ht="12" customHeight="1" x14ac:dyDescent="0.3">
      <c r="A62" s="32">
        <v>9</v>
      </c>
      <c r="B62" s="46"/>
      <c r="C62" s="46"/>
      <c r="M62" s="32">
        <f t="shared" si="2"/>
        <v>0</v>
      </c>
      <c r="N62" s="32" t="str">
        <f t="shared" si="10"/>
        <v>00</v>
      </c>
      <c r="P62" s="47"/>
      <c r="X62" s="38"/>
    </row>
    <row r="63" spans="1:24" ht="12" customHeight="1" x14ac:dyDescent="0.3">
      <c r="A63" s="32">
        <v>10</v>
      </c>
      <c r="B63" s="46"/>
      <c r="C63" s="46"/>
      <c r="M63" s="32">
        <f t="shared" si="2"/>
        <v>0</v>
      </c>
      <c r="N63" s="32" t="str">
        <f t="shared" si="10"/>
        <v>00</v>
      </c>
      <c r="P63" s="47"/>
      <c r="X63" s="38"/>
    </row>
    <row r="64" spans="1:24" ht="12" customHeight="1" x14ac:dyDescent="0.3">
      <c r="A64" s="32">
        <v>1</v>
      </c>
      <c r="B64" s="46">
        <v>38</v>
      </c>
      <c r="C64" s="46" t="str">
        <f t="shared" si="4"/>
        <v>&amp;</v>
      </c>
      <c r="G64" s="35">
        <v>1</v>
      </c>
      <c r="H64" s="32">
        <v>1</v>
      </c>
      <c r="I64" s="32">
        <v>1</v>
      </c>
      <c r="J64" s="32">
        <v>1</v>
      </c>
      <c r="K64" s="32">
        <v>1</v>
      </c>
      <c r="M64" s="32">
        <f t="shared" si="2"/>
        <v>31</v>
      </c>
      <c r="N64" s="32" t="str">
        <f t="shared" si="10"/>
        <v>1F</v>
      </c>
      <c r="P64" s="47" t="str">
        <f t="shared" ref="P64" si="12">CONCATENATE("0x",N64,",0x",N65,",0x",N66,",0x",N67,",0x",N68,",0x",N69,",0x",N70,",0x",N71,",0x",N72,",0x",N73,", //",C64)</f>
        <v>0x1F,0x1F,0x1F,0x0E,0x0E,0x0E,0x04,0x04,0x00,0x00, //&amp;</v>
      </c>
      <c r="X64" s="38"/>
    </row>
    <row r="65" spans="1:24" ht="12" customHeight="1" x14ac:dyDescent="0.3">
      <c r="A65" s="32">
        <v>2</v>
      </c>
      <c r="B65" s="46"/>
      <c r="C65" s="46"/>
      <c r="G65" s="35">
        <v>1</v>
      </c>
      <c r="H65" s="32">
        <v>1</v>
      </c>
      <c r="I65" s="32">
        <v>1</v>
      </c>
      <c r="J65" s="32">
        <v>1</v>
      </c>
      <c r="K65" s="32">
        <v>1</v>
      </c>
      <c r="M65" s="32">
        <f t="shared" si="2"/>
        <v>31</v>
      </c>
      <c r="N65" s="32" t="str">
        <f t="shared" si="10"/>
        <v>1F</v>
      </c>
      <c r="P65" s="47"/>
      <c r="X65" s="38"/>
    </row>
    <row r="66" spans="1:24" ht="12" customHeight="1" x14ac:dyDescent="0.3">
      <c r="A66" s="32">
        <v>3</v>
      </c>
      <c r="B66" s="46"/>
      <c r="C66" s="46"/>
      <c r="G66" s="35">
        <v>1</v>
      </c>
      <c r="H66" s="32">
        <v>1</v>
      </c>
      <c r="I66" s="32">
        <v>1</v>
      </c>
      <c r="J66" s="32">
        <v>1</v>
      </c>
      <c r="K66" s="32">
        <v>1</v>
      </c>
      <c r="M66" s="32">
        <f t="shared" si="2"/>
        <v>31</v>
      </c>
      <c r="N66" s="32" t="str">
        <f t="shared" si="10"/>
        <v>1F</v>
      </c>
      <c r="P66" s="47"/>
      <c r="X66" s="38"/>
    </row>
    <row r="67" spans="1:24" ht="12" customHeight="1" x14ac:dyDescent="0.3">
      <c r="A67" s="32">
        <v>4</v>
      </c>
      <c r="B67" s="46"/>
      <c r="C67" s="46"/>
      <c r="H67" s="32">
        <v>1</v>
      </c>
      <c r="I67" s="32">
        <v>1</v>
      </c>
      <c r="J67" s="32">
        <v>1</v>
      </c>
      <c r="M67" s="32">
        <f t="shared" si="2"/>
        <v>14</v>
      </c>
      <c r="N67" s="32" t="str">
        <f t="shared" si="10"/>
        <v>0E</v>
      </c>
      <c r="P67" s="47"/>
      <c r="X67" s="38"/>
    </row>
    <row r="68" spans="1:24" ht="12" customHeight="1" x14ac:dyDescent="0.3">
      <c r="A68" s="32">
        <v>5</v>
      </c>
      <c r="B68" s="46"/>
      <c r="C68" s="46"/>
      <c r="H68" s="32">
        <v>1</v>
      </c>
      <c r="I68" s="32">
        <v>1</v>
      </c>
      <c r="J68" s="32">
        <v>1</v>
      </c>
      <c r="M68" s="32">
        <f t="shared" si="2"/>
        <v>14</v>
      </c>
      <c r="N68" s="32" t="str">
        <f t="shared" si="10"/>
        <v>0E</v>
      </c>
      <c r="P68" s="47"/>
      <c r="X68" s="38"/>
    </row>
    <row r="69" spans="1:24" ht="12" customHeight="1" x14ac:dyDescent="0.3">
      <c r="A69" s="32">
        <v>6</v>
      </c>
      <c r="B69" s="46"/>
      <c r="C69" s="46"/>
      <c r="H69" s="32">
        <v>1</v>
      </c>
      <c r="I69" s="32">
        <v>1</v>
      </c>
      <c r="J69" s="32">
        <v>1</v>
      </c>
      <c r="M69" s="32">
        <f t="shared" ref="M69:M132" si="13">G69*G$2+H69*H$2+I69*I$2+J69*J$2+K69*K$2+F69*F$2+E69*E$2+D69*D$2</f>
        <v>14</v>
      </c>
      <c r="N69" s="32" t="str">
        <f t="shared" si="10"/>
        <v>0E</v>
      </c>
      <c r="P69" s="47"/>
      <c r="X69" s="38"/>
    </row>
    <row r="70" spans="1:24" ht="12" customHeight="1" x14ac:dyDescent="0.3">
      <c r="A70" s="32">
        <v>7</v>
      </c>
      <c r="B70" s="46"/>
      <c r="C70" s="46"/>
      <c r="I70" s="32">
        <v>1</v>
      </c>
      <c r="M70" s="32">
        <f t="shared" si="13"/>
        <v>4</v>
      </c>
      <c r="N70" s="32" t="str">
        <f t="shared" si="10"/>
        <v>04</v>
      </c>
      <c r="P70" s="47"/>
      <c r="X70" s="38"/>
    </row>
    <row r="71" spans="1:24" ht="12" customHeight="1" x14ac:dyDescent="0.3">
      <c r="A71" s="32">
        <v>8</v>
      </c>
      <c r="B71" s="46"/>
      <c r="C71" s="46"/>
      <c r="I71" s="32">
        <v>1</v>
      </c>
      <c r="M71" s="32">
        <f t="shared" si="13"/>
        <v>4</v>
      </c>
      <c r="N71" s="32" t="str">
        <f t="shared" si="10"/>
        <v>04</v>
      </c>
      <c r="P71" s="47"/>
      <c r="X71" s="38"/>
    </row>
    <row r="72" spans="1:24" ht="12" customHeight="1" x14ac:dyDescent="0.3">
      <c r="A72" s="32">
        <v>9</v>
      </c>
      <c r="B72" s="46"/>
      <c r="C72" s="46"/>
      <c r="M72" s="32">
        <f t="shared" si="13"/>
        <v>0</v>
      </c>
      <c r="N72" s="32" t="str">
        <f t="shared" si="10"/>
        <v>00</v>
      </c>
      <c r="P72" s="47"/>
      <c r="X72" s="38"/>
    </row>
    <row r="73" spans="1:24" ht="12" customHeight="1" x14ac:dyDescent="0.3">
      <c r="A73" s="32">
        <v>10</v>
      </c>
      <c r="B73" s="46"/>
      <c r="C73" s="46"/>
      <c r="M73" s="32">
        <f t="shared" si="13"/>
        <v>0</v>
      </c>
      <c r="N73" s="32" t="str">
        <f t="shared" si="10"/>
        <v>00</v>
      </c>
      <c r="P73" s="47"/>
      <c r="X73" s="38"/>
    </row>
    <row r="74" spans="1:24" ht="12" customHeight="1" x14ac:dyDescent="0.3">
      <c r="A74" s="32">
        <v>1</v>
      </c>
      <c r="B74" s="46">
        <v>39</v>
      </c>
      <c r="C74" s="46" t="str">
        <f t="shared" si="4"/>
        <v>'</v>
      </c>
      <c r="M74" s="32">
        <f t="shared" si="13"/>
        <v>0</v>
      </c>
      <c r="N74" s="32" t="str">
        <f t="shared" si="10"/>
        <v>00</v>
      </c>
      <c r="P74" s="47" t="str">
        <f t="shared" ref="P74" si="14">CONCATENATE("0x",N74,",0x",N75,",0x",N76,",0x",N77,",0x",N78,",0x",N79,",0x",N80,",0x",N81,",0x",N82,",0x",N83,", //",C74)</f>
        <v>0x00,0x00,0x00,0x00,0x00,0x00,0x00,0x00,0x00,0x00, //'</v>
      </c>
      <c r="X74" s="38"/>
    </row>
    <row r="75" spans="1:24" ht="12" customHeight="1" x14ac:dyDescent="0.3">
      <c r="A75" s="32">
        <v>2</v>
      </c>
      <c r="B75" s="46"/>
      <c r="C75" s="46"/>
      <c r="M75" s="32">
        <f t="shared" si="13"/>
        <v>0</v>
      </c>
      <c r="N75" s="32" t="str">
        <f t="shared" si="10"/>
        <v>00</v>
      </c>
      <c r="P75" s="47"/>
      <c r="X75" s="38"/>
    </row>
    <row r="76" spans="1:24" ht="12" customHeight="1" x14ac:dyDescent="0.3">
      <c r="A76" s="32">
        <v>3</v>
      </c>
      <c r="B76" s="46"/>
      <c r="C76" s="46"/>
      <c r="M76" s="32">
        <f t="shared" si="13"/>
        <v>0</v>
      </c>
      <c r="N76" s="32" t="str">
        <f t="shared" si="10"/>
        <v>00</v>
      </c>
      <c r="P76" s="47"/>
      <c r="X76" s="38"/>
    </row>
    <row r="77" spans="1:24" ht="12" customHeight="1" x14ac:dyDescent="0.3">
      <c r="A77" s="32">
        <v>4</v>
      </c>
      <c r="B77" s="46"/>
      <c r="C77" s="46"/>
      <c r="M77" s="32">
        <f t="shared" si="13"/>
        <v>0</v>
      </c>
      <c r="N77" s="32" t="str">
        <f t="shared" si="10"/>
        <v>00</v>
      </c>
      <c r="P77" s="47"/>
      <c r="X77" s="38"/>
    </row>
    <row r="78" spans="1:24" ht="12" customHeight="1" x14ac:dyDescent="0.3">
      <c r="A78" s="32">
        <v>5</v>
      </c>
      <c r="B78" s="46"/>
      <c r="C78" s="46"/>
      <c r="M78" s="32">
        <f t="shared" si="13"/>
        <v>0</v>
      </c>
      <c r="N78" s="32" t="str">
        <f t="shared" ref="N78:N109" si="15">DEC2HEX(M78,2)</f>
        <v>00</v>
      </c>
      <c r="P78" s="47"/>
      <c r="X78" s="38"/>
    </row>
    <row r="79" spans="1:24" ht="12" customHeight="1" x14ac:dyDescent="0.3">
      <c r="A79" s="32">
        <v>6</v>
      </c>
      <c r="B79" s="46"/>
      <c r="C79" s="46"/>
      <c r="M79" s="32">
        <f t="shared" si="13"/>
        <v>0</v>
      </c>
      <c r="N79" s="32" t="str">
        <f t="shared" si="15"/>
        <v>00</v>
      </c>
      <c r="P79" s="47"/>
      <c r="X79" s="38"/>
    </row>
    <row r="80" spans="1:24" ht="12" customHeight="1" x14ac:dyDescent="0.3">
      <c r="A80" s="32">
        <v>7</v>
      </c>
      <c r="B80" s="46"/>
      <c r="C80" s="46"/>
      <c r="M80" s="32">
        <f t="shared" si="13"/>
        <v>0</v>
      </c>
      <c r="N80" s="32" t="str">
        <f t="shared" si="15"/>
        <v>00</v>
      </c>
      <c r="P80" s="47"/>
      <c r="X80" s="38"/>
    </row>
    <row r="81" spans="1:24" ht="12" customHeight="1" x14ac:dyDescent="0.3">
      <c r="A81" s="32">
        <v>8</v>
      </c>
      <c r="B81" s="46"/>
      <c r="C81" s="46"/>
      <c r="M81" s="32">
        <f t="shared" si="13"/>
        <v>0</v>
      </c>
      <c r="N81" s="32" t="str">
        <f t="shared" si="15"/>
        <v>00</v>
      </c>
      <c r="P81" s="47"/>
      <c r="X81" s="38"/>
    </row>
    <row r="82" spans="1:24" ht="12" customHeight="1" x14ac:dyDescent="0.3">
      <c r="A82" s="32">
        <v>9</v>
      </c>
      <c r="B82" s="46"/>
      <c r="C82" s="46"/>
      <c r="M82" s="32">
        <f t="shared" si="13"/>
        <v>0</v>
      </c>
      <c r="N82" s="32" t="str">
        <f t="shared" si="15"/>
        <v>00</v>
      </c>
      <c r="P82" s="47"/>
      <c r="X82" s="38"/>
    </row>
    <row r="83" spans="1:24" ht="12" customHeight="1" x14ac:dyDescent="0.3">
      <c r="A83" s="32">
        <v>10</v>
      </c>
      <c r="B83" s="46"/>
      <c r="C83" s="46"/>
      <c r="M83" s="32">
        <f t="shared" si="13"/>
        <v>0</v>
      </c>
      <c r="N83" s="32" t="str">
        <f t="shared" si="15"/>
        <v>00</v>
      </c>
      <c r="P83" s="47"/>
      <c r="X83" s="38"/>
    </row>
    <row r="84" spans="1:24" ht="12" customHeight="1" x14ac:dyDescent="0.3">
      <c r="A84" s="32">
        <v>1</v>
      </c>
      <c r="B84" s="46">
        <v>40</v>
      </c>
      <c r="C84" s="46" t="str">
        <f t="shared" ref="C84:C144" si="16">CHAR(B84)</f>
        <v>(</v>
      </c>
      <c r="M84" s="32">
        <f t="shared" si="13"/>
        <v>0</v>
      </c>
      <c r="N84" s="32" t="str">
        <f t="shared" si="15"/>
        <v>00</v>
      </c>
      <c r="P84" s="47" t="str">
        <f t="shared" ref="P84" si="17">CONCATENATE("0x",N84,",0x",N85,",0x",N86,",0x",N87,",0x",N88,",0x",N89,",0x",N90,",0x",N91,",0x",N92,",0x",N93,", //",C84)</f>
        <v>0x00,0x00,0x00,0x00,0x00,0x00,0x00,0x00,0x00,0x00, //(</v>
      </c>
      <c r="X84" s="38"/>
    </row>
    <row r="85" spans="1:24" ht="12" customHeight="1" x14ac:dyDescent="0.3">
      <c r="A85" s="32">
        <v>2</v>
      </c>
      <c r="B85" s="46"/>
      <c r="C85" s="46"/>
      <c r="M85" s="32">
        <f t="shared" si="13"/>
        <v>0</v>
      </c>
      <c r="N85" s="32" t="str">
        <f t="shared" si="15"/>
        <v>00</v>
      </c>
      <c r="P85" s="47"/>
      <c r="X85" s="38"/>
    </row>
    <row r="86" spans="1:24" ht="12" customHeight="1" x14ac:dyDescent="0.3">
      <c r="A86" s="32">
        <v>3</v>
      </c>
      <c r="B86" s="46"/>
      <c r="C86" s="46"/>
      <c r="M86" s="32">
        <f t="shared" si="13"/>
        <v>0</v>
      </c>
      <c r="N86" s="32" t="str">
        <f t="shared" si="15"/>
        <v>00</v>
      </c>
      <c r="P86" s="47"/>
    </row>
    <row r="87" spans="1:24" ht="12" customHeight="1" x14ac:dyDescent="0.3">
      <c r="A87" s="32">
        <v>4</v>
      </c>
      <c r="B87" s="46"/>
      <c r="C87" s="46"/>
      <c r="M87" s="32">
        <f t="shared" si="13"/>
        <v>0</v>
      </c>
      <c r="N87" s="32" t="str">
        <f t="shared" si="15"/>
        <v>00</v>
      </c>
      <c r="P87" s="47"/>
    </row>
    <row r="88" spans="1:24" ht="12" customHeight="1" x14ac:dyDescent="0.3">
      <c r="A88" s="32">
        <v>5</v>
      </c>
      <c r="B88" s="46"/>
      <c r="C88" s="46"/>
      <c r="M88" s="32">
        <f t="shared" si="13"/>
        <v>0</v>
      </c>
      <c r="N88" s="32" t="str">
        <f t="shared" si="15"/>
        <v>00</v>
      </c>
      <c r="P88" s="47"/>
    </row>
    <row r="89" spans="1:24" ht="12" customHeight="1" x14ac:dyDescent="0.3">
      <c r="A89" s="32">
        <v>6</v>
      </c>
      <c r="B89" s="46"/>
      <c r="C89" s="46"/>
      <c r="M89" s="32">
        <f t="shared" si="13"/>
        <v>0</v>
      </c>
      <c r="N89" s="32" t="str">
        <f t="shared" si="15"/>
        <v>00</v>
      </c>
      <c r="P89" s="47"/>
    </row>
    <row r="90" spans="1:24" ht="12" customHeight="1" x14ac:dyDescent="0.3">
      <c r="A90" s="32">
        <v>7</v>
      </c>
      <c r="B90" s="46"/>
      <c r="C90" s="46"/>
      <c r="M90" s="32">
        <f t="shared" si="13"/>
        <v>0</v>
      </c>
      <c r="N90" s="32" t="str">
        <f t="shared" si="15"/>
        <v>00</v>
      </c>
      <c r="P90" s="47"/>
    </row>
    <row r="91" spans="1:24" ht="12" customHeight="1" x14ac:dyDescent="0.3">
      <c r="A91" s="32">
        <v>8</v>
      </c>
      <c r="B91" s="46"/>
      <c r="C91" s="46"/>
      <c r="M91" s="32">
        <f t="shared" si="13"/>
        <v>0</v>
      </c>
      <c r="N91" s="32" t="str">
        <f t="shared" si="15"/>
        <v>00</v>
      </c>
      <c r="P91" s="47"/>
    </row>
    <row r="92" spans="1:24" ht="12" customHeight="1" x14ac:dyDescent="0.3">
      <c r="A92" s="32">
        <v>9</v>
      </c>
      <c r="B92" s="46"/>
      <c r="C92" s="46"/>
      <c r="M92" s="32">
        <f t="shared" si="13"/>
        <v>0</v>
      </c>
      <c r="N92" s="32" t="str">
        <f t="shared" si="15"/>
        <v>00</v>
      </c>
      <c r="P92" s="47"/>
    </row>
    <row r="93" spans="1:24" ht="12" customHeight="1" x14ac:dyDescent="0.3">
      <c r="A93" s="32">
        <v>10</v>
      </c>
      <c r="B93" s="46"/>
      <c r="C93" s="46"/>
      <c r="M93" s="32">
        <f t="shared" si="13"/>
        <v>0</v>
      </c>
      <c r="N93" s="32" t="str">
        <f t="shared" si="15"/>
        <v>00</v>
      </c>
      <c r="P93" s="47"/>
    </row>
    <row r="94" spans="1:24" ht="12" customHeight="1" x14ac:dyDescent="0.3">
      <c r="A94" s="32">
        <v>1</v>
      </c>
      <c r="B94" s="46">
        <v>41</v>
      </c>
      <c r="C94" s="46" t="str">
        <f t="shared" si="16"/>
        <v>)</v>
      </c>
      <c r="M94" s="32">
        <f t="shared" si="13"/>
        <v>0</v>
      </c>
      <c r="N94" s="32" t="str">
        <f t="shared" si="15"/>
        <v>00</v>
      </c>
      <c r="P94" s="47" t="str">
        <f t="shared" ref="P94" si="18">CONCATENATE("0x",N94,",0x",N95,",0x",N96,",0x",N97,",0x",N98,",0x",N99,",0x",N100,",0x",N101,",0x",N102,",0x",N103,", //",C94)</f>
        <v>0x00,0x00,0x00,0x00,0x00,0x00,0x00,0x00,0x00,0x00, //)</v>
      </c>
    </row>
    <row r="95" spans="1:24" ht="12" customHeight="1" x14ac:dyDescent="0.3">
      <c r="A95" s="32">
        <v>2</v>
      </c>
      <c r="B95" s="46"/>
      <c r="C95" s="46"/>
      <c r="M95" s="32">
        <f t="shared" si="13"/>
        <v>0</v>
      </c>
      <c r="N95" s="32" t="str">
        <f t="shared" si="15"/>
        <v>00</v>
      </c>
      <c r="P95" s="47"/>
    </row>
    <row r="96" spans="1:24" ht="12" customHeight="1" x14ac:dyDescent="0.3">
      <c r="A96" s="32">
        <v>3</v>
      </c>
      <c r="B96" s="46"/>
      <c r="C96" s="46"/>
      <c r="M96" s="32">
        <f t="shared" si="13"/>
        <v>0</v>
      </c>
      <c r="N96" s="32" t="str">
        <f t="shared" si="15"/>
        <v>00</v>
      </c>
      <c r="P96" s="47"/>
    </row>
    <row r="97" spans="1:16" ht="12" customHeight="1" x14ac:dyDescent="0.3">
      <c r="A97" s="32">
        <v>4</v>
      </c>
      <c r="B97" s="46"/>
      <c r="C97" s="46"/>
      <c r="M97" s="32">
        <f t="shared" si="13"/>
        <v>0</v>
      </c>
      <c r="N97" s="32" t="str">
        <f t="shared" si="15"/>
        <v>00</v>
      </c>
      <c r="P97" s="47"/>
    </row>
    <row r="98" spans="1:16" ht="12" customHeight="1" x14ac:dyDescent="0.3">
      <c r="A98" s="32">
        <v>5</v>
      </c>
      <c r="B98" s="46"/>
      <c r="C98" s="46"/>
      <c r="M98" s="32">
        <f t="shared" si="13"/>
        <v>0</v>
      </c>
      <c r="N98" s="32" t="str">
        <f t="shared" si="15"/>
        <v>00</v>
      </c>
      <c r="P98" s="47"/>
    </row>
    <row r="99" spans="1:16" ht="12" customHeight="1" x14ac:dyDescent="0.3">
      <c r="A99" s="32">
        <v>6</v>
      </c>
      <c r="B99" s="46"/>
      <c r="C99" s="46"/>
      <c r="M99" s="32">
        <f t="shared" si="13"/>
        <v>0</v>
      </c>
      <c r="N99" s="32" t="str">
        <f t="shared" si="15"/>
        <v>00</v>
      </c>
      <c r="P99" s="47"/>
    </row>
    <row r="100" spans="1:16" ht="12" customHeight="1" x14ac:dyDescent="0.3">
      <c r="A100" s="32">
        <v>7</v>
      </c>
      <c r="B100" s="46"/>
      <c r="C100" s="46"/>
      <c r="M100" s="32">
        <f t="shared" si="13"/>
        <v>0</v>
      </c>
      <c r="N100" s="32" t="str">
        <f t="shared" si="15"/>
        <v>00</v>
      </c>
      <c r="P100" s="47"/>
    </row>
    <row r="101" spans="1:16" ht="12" customHeight="1" x14ac:dyDescent="0.3">
      <c r="A101" s="32">
        <v>8</v>
      </c>
      <c r="B101" s="46"/>
      <c r="C101" s="46"/>
      <c r="M101" s="32">
        <f t="shared" si="13"/>
        <v>0</v>
      </c>
      <c r="N101" s="32" t="str">
        <f t="shared" si="15"/>
        <v>00</v>
      </c>
      <c r="P101" s="47"/>
    </row>
    <row r="102" spans="1:16" ht="12" customHeight="1" x14ac:dyDescent="0.3">
      <c r="A102" s="32">
        <v>9</v>
      </c>
      <c r="B102" s="46"/>
      <c r="C102" s="46"/>
      <c r="M102" s="32">
        <f t="shared" si="13"/>
        <v>0</v>
      </c>
      <c r="N102" s="32" t="str">
        <f t="shared" si="15"/>
        <v>00</v>
      </c>
      <c r="P102" s="47"/>
    </row>
    <row r="103" spans="1:16" ht="12" customHeight="1" x14ac:dyDescent="0.3">
      <c r="A103" s="32">
        <v>10</v>
      </c>
      <c r="B103" s="46"/>
      <c r="C103" s="46"/>
      <c r="M103" s="32">
        <f t="shared" si="13"/>
        <v>0</v>
      </c>
      <c r="N103" s="32" t="str">
        <f t="shared" si="15"/>
        <v>00</v>
      </c>
      <c r="P103" s="47"/>
    </row>
    <row r="104" spans="1:16" ht="12" customHeight="1" x14ac:dyDescent="0.3">
      <c r="A104" s="32">
        <v>1</v>
      </c>
      <c r="B104" s="46">
        <v>42</v>
      </c>
      <c r="C104" s="46" t="str">
        <f t="shared" si="16"/>
        <v>*</v>
      </c>
      <c r="G104" s="35">
        <v>1</v>
      </c>
      <c r="H104" s="32">
        <v>1</v>
      </c>
      <c r="I104" s="32">
        <v>1</v>
      </c>
      <c r="J104" s="32">
        <v>1</v>
      </c>
      <c r="K104" s="32">
        <v>1</v>
      </c>
      <c r="M104" s="32">
        <f t="shared" si="13"/>
        <v>31</v>
      </c>
      <c r="N104" s="32" t="str">
        <f t="shared" si="15"/>
        <v>1F</v>
      </c>
      <c r="P104" s="47" t="str">
        <f t="shared" ref="P104" si="19">CONCATENATE("0x",N104,",0x",N105,",0x",N106,",0x",N107,",0x",N108,",0x",N109,",0x",N110,",0x",N111,",0x",N112,",0x",N113,", //",C104)</f>
        <v>0x1F,0x1F,0x00,0x1F,0x1F,0x00,0x1F,0x1F,0x00,0x00, //*</v>
      </c>
    </row>
    <row r="105" spans="1:16" ht="12" customHeight="1" x14ac:dyDescent="0.3">
      <c r="A105" s="32">
        <v>2</v>
      </c>
      <c r="B105" s="46"/>
      <c r="C105" s="46"/>
      <c r="G105" s="35">
        <v>1</v>
      </c>
      <c r="H105" s="32">
        <v>1</v>
      </c>
      <c r="I105" s="32">
        <v>1</v>
      </c>
      <c r="J105" s="32">
        <v>1</v>
      </c>
      <c r="K105" s="32">
        <v>1</v>
      </c>
      <c r="M105" s="32">
        <f t="shared" si="13"/>
        <v>31</v>
      </c>
      <c r="N105" s="32" t="str">
        <f t="shared" si="15"/>
        <v>1F</v>
      </c>
      <c r="P105" s="47"/>
    </row>
    <row r="106" spans="1:16" ht="12" customHeight="1" x14ac:dyDescent="0.3">
      <c r="A106" s="32">
        <v>3</v>
      </c>
      <c r="B106" s="46"/>
      <c r="C106" s="46"/>
      <c r="M106" s="32">
        <f t="shared" si="13"/>
        <v>0</v>
      </c>
      <c r="N106" s="32" t="str">
        <f t="shared" si="15"/>
        <v>00</v>
      </c>
      <c r="P106" s="47"/>
    </row>
    <row r="107" spans="1:16" ht="12" customHeight="1" x14ac:dyDescent="0.3">
      <c r="A107" s="32">
        <v>4</v>
      </c>
      <c r="B107" s="46"/>
      <c r="C107" s="46"/>
      <c r="G107" s="35">
        <v>1</v>
      </c>
      <c r="H107" s="32">
        <v>1</v>
      </c>
      <c r="I107" s="32">
        <v>1</v>
      </c>
      <c r="J107" s="32">
        <v>1</v>
      </c>
      <c r="K107" s="32">
        <v>1</v>
      </c>
      <c r="M107" s="32">
        <f t="shared" si="13"/>
        <v>31</v>
      </c>
      <c r="N107" s="32" t="str">
        <f t="shared" si="15"/>
        <v>1F</v>
      </c>
      <c r="P107" s="47"/>
    </row>
    <row r="108" spans="1:16" ht="12" customHeight="1" x14ac:dyDescent="0.3">
      <c r="A108" s="32">
        <v>5</v>
      </c>
      <c r="B108" s="46"/>
      <c r="C108" s="46"/>
      <c r="G108" s="35">
        <v>1</v>
      </c>
      <c r="H108" s="32">
        <v>1</v>
      </c>
      <c r="I108" s="32">
        <v>1</v>
      </c>
      <c r="J108" s="32">
        <v>1</v>
      </c>
      <c r="K108" s="32">
        <v>1</v>
      </c>
      <c r="M108" s="32">
        <f t="shared" si="13"/>
        <v>31</v>
      </c>
      <c r="N108" s="32" t="str">
        <f t="shared" si="15"/>
        <v>1F</v>
      </c>
      <c r="P108" s="47"/>
    </row>
    <row r="109" spans="1:16" ht="12" customHeight="1" x14ac:dyDescent="0.3">
      <c r="A109" s="32">
        <v>6</v>
      </c>
      <c r="B109" s="46"/>
      <c r="C109" s="46"/>
      <c r="M109" s="32">
        <f t="shared" si="13"/>
        <v>0</v>
      </c>
      <c r="N109" s="32" t="str">
        <f t="shared" si="15"/>
        <v>00</v>
      </c>
      <c r="P109" s="47"/>
    </row>
    <row r="110" spans="1:16" ht="12" customHeight="1" x14ac:dyDescent="0.3">
      <c r="A110" s="32">
        <v>7</v>
      </c>
      <c r="B110" s="46"/>
      <c r="C110" s="46"/>
      <c r="G110" s="35">
        <v>1</v>
      </c>
      <c r="H110" s="32">
        <v>1</v>
      </c>
      <c r="I110" s="32">
        <v>1</v>
      </c>
      <c r="J110" s="32">
        <v>1</v>
      </c>
      <c r="K110" s="32">
        <v>1</v>
      </c>
      <c r="M110" s="32">
        <f t="shared" si="13"/>
        <v>31</v>
      </c>
      <c r="N110" s="32" t="str">
        <f t="shared" ref="N110:N141" si="20">DEC2HEX(M110,2)</f>
        <v>1F</v>
      </c>
      <c r="P110" s="47"/>
    </row>
    <row r="111" spans="1:16" ht="12" customHeight="1" x14ac:dyDescent="0.3">
      <c r="A111" s="32">
        <v>8</v>
      </c>
      <c r="B111" s="46"/>
      <c r="C111" s="46"/>
      <c r="G111" s="35">
        <v>1</v>
      </c>
      <c r="H111" s="32">
        <v>1</v>
      </c>
      <c r="I111" s="32">
        <v>1</v>
      </c>
      <c r="J111" s="32">
        <v>1</v>
      </c>
      <c r="K111" s="32">
        <v>1</v>
      </c>
      <c r="M111" s="32">
        <f t="shared" si="13"/>
        <v>31</v>
      </c>
      <c r="N111" s="32" t="str">
        <f t="shared" si="20"/>
        <v>1F</v>
      </c>
      <c r="P111" s="47"/>
    </row>
    <row r="112" spans="1:16" ht="12" customHeight="1" x14ac:dyDescent="0.3">
      <c r="A112" s="32">
        <v>9</v>
      </c>
      <c r="B112" s="46"/>
      <c r="C112" s="46"/>
      <c r="M112" s="32">
        <f t="shared" si="13"/>
        <v>0</v>
      </c>
      <c r="N112" s="32" t="str">
        <f t="shared" si="20"/>
        <v>00</v>
      </c>
      <c r="P112" s="47"/>
    </row>
    <row r="113" spans="1:16" ht="12" customHeight="1" x14ac:dyDescent="0.3">
      <c r="A113" s="32">
        <v>10</v>
      </c>
      <c r="B113" s="46"/>
      <c r="C113" s="46"/>
      <c r="M113" s="32">
        <f t="shared" si="13"/>
        <v>0</v>
      </c>
      <c r="N113" s="32" t="str">
        <f t="shared" si="20"/>
        <v>00</v>
      </c>
      <c r="P113" s="47"/>
    </row>
    <row r="114" spans="1:16" ht="12" customHeight="1" x14ac:dyDescent="0.3">
      <c r="A114" s="32">
        <v>1</v>
      </c>
      <c r="B114" s="46">
        <v>43</v>
      </c>
      <c r="C114" s="46" t="str">
        <f t="shared" si="16"/>
        <v>+</v>
      </c>
      <c r="M114" s="32">
        <f t="shared" si="13"/>
        <v>0</v>
      </c>
      <c r="N114" s="32" t="str">
        <f t="shared" si="20"/>
        <v>00</v>
      </c>
      <c r="P114" s="47" t="str">
        <f t="shared" ref="P114" si="21">CONCATENATE("0x",N114,",0x",N115,",0x",N116,",0x",N117,",0x",N118,",0x",N119,",0x",N120,",0x",N121,",0x",N122,",0x",N123,", //",C114)</f>
        <v>0x00,0x00,0x04,0x04,0x1F,0x04,0x04,0x00,0x00,0x00, //+</v>
      </c>
    </row>
    <row r="115" spans="1:16" ht="12" customHeight="1" x14ac:dyDescent="0.3">
      <c r="A115" s="32">
        <v>2</v>
      </c>
      <c r="B115" s="46"/>
      <c r="C115" s="46"/>
      <c r="M115" s="32">
        <f t="shared" si="13"/>
        <v>0</v>
      </c>
      <c r="N115" s="32" t="str">
        <f t="shared" si="20"/>
        <v>00</v>
      </c>
      <c r="P115" s="47"/>
    </row>
    <row r="116" spans="1:16" ht="12" customHeight="1" x14ac:dyDescent="0.3">
      <c r="A116" s="32">
        <v>3</v>
      </c>
      <c r="B116" s="46"/>
      <c r="C116" s="46"/>
      <c r="I116" s="32">
        <v>1</v>
      </c>
      <c r="M116" s="32">
        <f t="shared" si="13"/>
        <v>4</v>
      </c>
      <c r="N116" s="32" t="str">
        <f t="shared" si="20"/>
        <v>04</v>
      </c>
      <c r="P116" s="47"/>
    </row>
    <row r="117" spans="1:16" ht="12" customHeight="1" x14ac:dyDescent="0.3">
      <c r="A117" s="32">
        <v>4</v>
      </c>
      <c r="B117" s="46"/>
      <c r="C117" s="46"/>
      <c r="I117" s="32">
        <v>1</v>
      </c>
      <c r="M117" s="32">
        <f t="shared" si="13"/>
        <v>4</v>
      </c>
      <c r="N117" s="32" t="str">
        <f t="shared" si="20"/>
        <v>04</v>
      </c>
      <c r="P117" s="47"/>
    </row>
    <row r="118" spans="1:16" ht="12" customHeight="1" x14ac:dyDescent="0.3">
      <c r="A118" s="32">
        <v>5</v>
      </c>
      <c r="B118" s="46"/>
      <c r="C118" s="46"/>
      <c r="G118" s="35">
        <v>1</v>
      </c>
      <c r="H118" s="32">
        <v>1</v>
      </c>
      <c r="I118" s="32">
        <v>1</v>
      </c>
      <c r="J118" s="32">
        <v>1</v>
      </c>
      <c r="K118" s="32">
        <v>1</v>
      </c>
      <c r="M118" s="32">
        <f t="shared" si="13"/>
        <v>31</v>
      </c>
      <c r="N118" s="32" t="str">
        <f t="shared" si="20"/>
        <v>1F</v>
      </c>
      <c r="P118" s="47"/>
    </row>
    <row r="119" spans="1:16" ht="12" customHeight="1" x14ac:dyDescent="0.3">
      <c r="A119" s="32">
        <v>6</v>
      </c>
      <c r="B119" s="46"/>
      <c r="C119" s="46"/>
      <c r="I119" s="32">
        <v>1</v>
      </c>
      <c r="M119" s="32">
        <f t="shared" si="13"/>
        <v>4</v>
      </c>
      <c r="N119" s="32" t="str">
        <f t="shared" si="20"/>
        <v>04</v>
      </c>
      <c r="P119" s="47"/>
    </row>
    <row r="120" spans="1:16" ht="12" customHeight="1" x14ac:dyDescent="0.3">
      <c r="A120" s="32">
        <v>7</v>
      </c>
      <c r="B120" s="46"/>
      <c r="C120" s="46"/>
      <c r="I120" s="32">
        <v>1</v>
      </c>
      <c r="M120" s="32">
        <f t="shared" si="13"/>
        <v>4</v>
      </c>
      <c r="N120" s="32" t="str">
        <f t="shared" si="20"/>
        <v>04</v>
      </c>
      <c r="P120" s="47"/>
    </row>
    <row r="121" spans="1:16" ht="12" customHeight="1" x14ac:dyDescent="0.3">
      <c r="A121" s="32">
        <v>8</v>
      </c>
      <c r="B121" s="46"/>
      <c r="C121" s="46"/>
      <c r="M121" s="32">
        <f t="shared" si="13"/>
        <v>0</v>
      </c>
      <c r="N121" s="32" t="str">
        <f t="shared" si="20"/>
        <v>00</v>
      </c>
      <c r="P121" s="47"/>
    </row>
    <row r="122" spans="1:16" ht="12" customHeight="1" x14ac:dyDescent="0.3">
      <c r="A122" s="32">
        <v>9</v>
      </c>
      <c r="B122" s="46"/>
      <c r="C122" s="46"/>
      <c r="M122" s="32">
        <f t="shared" si="13"/>
        <v>0</v>
      </c>
      <c r="N122" s="32" t="str">
        <f t="shared" si="20"/>
        <v>00</v>
      </c>
      <c r="P122" s="47"/>
    </row>
    <row r="123" spans="1:16" ht="12" customHeight="1" x14ac:dyDescent="0.3">
      <c r="A123" s="32">
        <v>10</v>
      </c>
      <c r="B123" s="46"/>
      <c r="C123" s="46"/>
      <c r="M123" s="32">
        <f t="shared" si="13"/>
        <v>0</v>
      </c>
      <c r="N123" s="32" t="str">
        <f t="shared" si="20"/>
        <v>00</v>
      </c>
      <c r="P123" s="47"/>
    </row>
    <row r="124" spans="1:16" ht="12" customHeight="1" x14ac:dyDescent="0.3">
      <c r="A124" s="32">
        <v>1</v>
      </c>
      <c r="B124" s="46">
        <v>44</v>
      </c>
      <c r="C124" s="46" t="str">
        <f t="shared" si="16"/>
        <v>,</v>
      </c>
      <c r="M124" s="32">
        <f t="shared" si="13"/>
        <v>0</v>
      </c>
      <c r="N124" s="32" t="str">
        <f t="shared" si="20"/>
        <v>00</v>
      </c>
      <c r="P124" s="47" t="str">
        <f t="shared" ref="P124" si="22">CONCATENATE("0x",N124,",0x",N125,",0x",N126,",0x",N127,",0x",N128,",0x",N129,",0x",N130,",0x",N131,",0x",N132,",0x",N133,", //",C124)</f>
        <v>0x00,0x00,0x00,0x00,0x00,0x00,0x00,0x01,0x01,0x02, //,</v>
      </c>
    </row>
    <row r="125" spans="1:16" ht="12" customHeight="1" x14ac:dyDescent="0.3">
      <c r="A125" s="32">
        <v>2</v>
      </c>
      <c r="B125" s="46"/>
      <c r="C125" s="46"/>
      <c r="M125" s="32">
        <f t="shared" si="13"/>
        <v>0</v>
      </c>
      <c r="N125" s="32" t="str">
        <f t="shared" si="20"/>
        <v>00</v>
      </c>
      <c r="P125" s="47"/>
    </row>
    <row r="126" spans="1:16" ht="12" customHeight="1" x14ac:dyDescent="0.3">
      <c r="A126" s="32">
        <v>3</v>
      </c>
      <c r="B126" s="46"/>
      <c r="C126" s="46"/>
      <c r="M126" s="32">
        <f t="shared" si="13"/>
        <v>0</v>
      </c>
      <c r="N126" s="32" t="str">
        <f t="shared" si="20"/>
        <v>00</v>
      </c>
      <c r="P126" s="47"/>
    </row>
    <row r="127" spans="1:16" ht="12" customHeight="1" x14ac:dyDescent="0.3">
      <c r="A127" s="32">
        <v>4</v>
      </c>
      <c r="B127" s="46"/>
      <c r="C127" s="46"/>
      <c r="M127" s="32">
        <f t="shared" si="13"/>
        <v>0</v>
      </c>
      <c r="N127" s="32" t="str">
        <f t="shared" si="20"/>
        <v>00</v>
      </c>
      <c r="P127" s="47"/>
    </row>
    <row r="128" spans="1:16" ht="12" customHeight="1" x14ac:dyDescent="0.3">
      <c r="A128" s="32">
        <v>5</v>
      </c>
      <c r="B128" s="46"/>
      <c r="C128" s="46"/>
      <c r="M128" s="32">
        <f t="shared" si="13"/>
        <v>0</v>
      </c>
      <c r="N128" s="32" t="str">
        <f t="shared" si="20"/>
        <v>00</v>
      </c>
      <c r="P128" s="47"/>
    </row>
    <row r="129" spans="1:16" ht="12" customHeight="1" x14ac:dyDescent="0.3">
      <c r="A129" s="32">
        <v>6</v>
      </c>
      <c r="B129" s="46"/>
      <c r="C129" s="46"/>
      <c r="M129" s="32">
        <f t="shared" si="13"/>
        <v>0</v>
      </c>
      <c r="N129" s="32" t="str">
        <f t="shared" si="20"/>
        <v>00</v>
      </c>
      <c r="P129" s="47"/>
    </row>
    <row r="130" spans="1:16" ht="12" customHeight="1" x14ac:dyDescent="0.3">
      <c r="A130" s="32">
        <v>7</v>
      </c>
      <c r="B130" s="46"/>
      <c r="C130" s="46"/>
      <c r="M130" s="32">
        <f t="shared" si="13"/>
        <v>0</v>
      </c>
      <c r="N130" s="32" t="str">
        <f t="shared" si="20"/>
        <v>00</v>
      </c>
      <c r="P130" s="47"/>
    </row>
    <row r="131" spans="1:16" ht="12" customHeight="1" x14ac:dyDescent="0.3">
      <c r="A131" s="32">
        <v>8</v>
      </c>
      <c r="B131" s="46"/>
      <c r="C131" s="46"/>
      <c r="K131" s="32">
        <v>1</v>
      </c>
      <c r="M131" s="32">
        <f t="shared" si="13"/>
        <v>1</v>
      </c>
      <c r="N131" s="32" t="str">
        <f t="shared" si="20"/>
        <v>01</v>
      </c>
      <c r="P131" s="47"/>
    </row>
    <row r="132" spans="1:16" ht="12" customHeight="1" x14ac:dyDescent="0.3">
      <c r="A132" s="32">
        <v>9</v>
      </c>
      <c r="B132" s="46"/>
      <c r="C132" s="46"/>
      <c r="K132" s="32">
        <v>1</v>
      </c>
      <c r="M132" s="32">
        <f t="shared" si="13"/>
        <v>1</v>
      </c>
      <c r="N132" s="32" t="str">
        <f t="shared" si="20"/>
        <v>01</v>
      </c>
      <c r="P132" s="47"/>
    </row>
    <row r="133" spans="1:16" ht="12" customHeight="1" x14ac:dyDescent="0.3">
      <c r="A133" s="32">
        <v>10</v>
      </c>
      <c r="B133" s="46"/>
      <c r="C133" s="46"/>
      <c r="J133" s="32">
        <v>1</v>
      </c>
      <c r="M133" s="32">
        <f t="shared" ref="M133:M196" si="23">G133*G$2+H133*H$2+I133*I$2+J133*J$2+K133*K$2+F133*F$2+E133*E$2+D133*D$2</f>
        <v>2</v>
      </c>
      <c r="N133" s="32" t="str">
        <f t="shared" si="20"/>
        <v>02</v>
      </c>
      <c r="P133" s="47"/>
    </row>
    <row r="134" spans="1:16" ht="12" customHeight="1" x14ac:dyDescent="0.3">
      <c r="A134" s="32">
        <v>1</v>
      </c>
      <c r="B134" s="46">
        <v>45</v>
      </c>
      <c r="C134" s="46" t="str">
        <f t="shared" si="16"/>
        <v>-</v>
      </c>
      <c r="M134" s="32">
        <f t="shared" si="23"/>
        <v>0</v>
      </c>
      <c r="N134" s="32" t="str">
        <f t="shared" si="20"/>
        <v>00</v>
      </c>
      <c r="P134" s="47" t="str">
        <f t="shared" ref="P134" si="24">CONCATENATE("0x",N134,",0x",N135,",0x",N136,",0x",N137,",0x",N138,",0x",N139,",0x",N140,",0x",N141,",0x",N142,",0x",N143,", //",C134)</f>
        <v>0x00,0x00,0x00,0x00,0x0F,0x00,0x00,0x00,0x00,0x00, //-</v>
      </c>
    </row>
    <row r="135" spans="1:16" ht="12" customHeight="1" x14ac:dyDescent="0.3">
      <c r="A135" s="32">
        <v>2</v>
      </c>
      <c r="B135" s="46"/>
      <c r="C135" s="46"/>
      <c r="M135" s="32">
        <f t="shared" si="23"/>
        <v>0</v>
      </c>
      <c r="N135" s="32" t="str">
        <f t="shared" si="20"/>
        <v>00</v>
      </c>
      <c r="P135" s="47"/>
    </row>
    <row r="136" spans="1:16" ht="12" customHeight="1" x14ac:dyDescent="0.3">
      <c r="A136" s="32">
        <v>3</v>
      </c>
      <c r="B136" s="46"/>
      <c r="C136" s="46"/>
      <c r="M136" s="32">
        <f t="shared" si="23"/>
        <v>0</v>
      </c>
      <c r="N136" s="32" t="str">
        <f t="shared" si="20"/>
        <v>00</v>
      </c>
      <c r="P136" s="47"/>
    </row>
    <row r="137" spans="1:16" ht="12" customHeight="1" x14ac:dyDescent="0.3">
      <c r="A137" s="32">
        <v>4</v>
      </c>
      <c r="B137" s="46"/>
      <c r="C137" s="46"/>
      <c r="M137" s="32">
        <f t="shared" si="23"/>
        <v>0</v>
      </c>
      <c r="N137" s="32" t="str">
        <f t="shared" si="20"/>
        <v>00</v>
      </c>
      <c r="P137" s="47"/>
    </row>
    <row r="138" spans="1:16" ht="12" customHeight="1" x14ac:dyDescent="0.3">
      <c r="A138" s="32">
        <v>5</v>
      </c>
      <c r="B138" s="46"/>
      <c r="C138" s="46"/>
      <c r="H138" s="32">
        <v>1</v>
      </c>
      <c r="I138" s="32">
        <v>1</v>
      </c>
      <c r="J138" s="32">
        <v>1</v>
      </c>
      <c r="K138" s="32">
        <v>1</v>
      </c>
      <c r="M138" s="32">
        <f t="shared" si="23"/>
        <v>15</v>
      </c>
      <c r="N138" s="32" t="str">
        <f t="shared" si="20"/>
        <v>0F</v>
      </c>
      <c r="P138" s="47"/>
    </row>
    <row r="139" spans="1:16" ht="12" customHeight="1" x14ac:dyDescent="0.3">
      <c r="A139" s="32">
        <v>6</v>
      </c>
      <c r="B139" s="46"/>
      <c r="C139" s="46"/>
      <c r="M139" s="32">
        <f t="shared" si="23"/>
        <v>0</v>
      </c>
      <c r="N139" s="32" t="str">
        <f t="shared" si="20"/>
        <v>00</v>
      </c>
      <c r="P139" s="47"/>
    </row>
    <row r="140" spans="1:16" ht="12" customHeight="1" x14ac:dyDescent="0.3">
      <c r="A140" s="32">
        <v>7</v>
      </c>
      <c r="B140" s="46"/>
      <c r="C140" s="46"/>
      <c r="M140" s="32">
        <f t="shared" si="23"/>
        <v>0</v>
      </c>
      <c r="N140" s="32" t="str">
        <f t="shared" si="20"/>
        <v>00</v>
      </c>
      <c r="P140" s="47"/>
    </row>
    <row r="141" spans="1:16" ht="12" customHeight="1" x14ac:dyDescent="0.3">
      <c r="A141" s="32">
        <v>8</v>
      </c>
      <c r="B141" s="46"/>
      <c r="C141" s="46"/>
      <c r="M141" s="32">
        <f t="shared" si="23"/>
        <v>0</v>
      </c>
      <c r="N141" s="32" t="str">
        <f t="shared" si="20"/>
        <v>00</v>
      </c>
      <c r="P141" s="47"/>
    </row>
    <row r="142" spans="1:16" ht="12" customHeight="1" x14ac:dyDescent="0.3">
      <c r="A142" s="32">
        <v>9</v>
      </c>
      <c r="B142" s="46"/>
      <c r="C142" s="46"/>
      <c r="M142" s="32">
        <f t="shared" si="23"/>
        <v>0</v>
      </c>
      <c r="N142" s="32" t="str">
        <f t="shared" ref="N142:N143" si="25">DEC2HEX(M142,2)</f>
        <v>00</v>
      </c>
      <c r="P142" s="47"/>
    </row>
    <row r="143" spans="1:16" ht="12" customHeight="1" x14ac:dyDescent="0.3">
      <c r="A143" s="32">
        <v>10</v>
      </c>
      <c r="B143" s="46"/>
      <c r="C143" s="46"/>
      <c r="M143" s="32">
        <f t="shared" si="23"/>
        <v>0</v>
      </c>
      <c r="N143" s="32" t="str">
        <f t="shared" si="25"/>
        <v>00</v>
      </c>
      <c r="P143" s="47"/>
    </row>
    <row r="144" spans="1:16" ht="12" customHeight="1" x14ac:dyDescent="0.3">
      <c r="A144" s="32">
        <v>1</v>
      </c>
      <c r="B144" s="46">
        <v>46</v>
      </c>
      <c r="C144" s="46" t="str">
        <f t="shared" si="16"/>
        <v>.</v>
      </c>
      <c r="M144" s="32">
        <f t="shared" si="23"/>
        <v>0</v>
      </c>
      <c r="N144" s="32" t="str">
        <f t="shared" si="3"/>
        <v>00</v>
      </c>
      <c r="P144" s="47" t="str">
        <f t="shared" ref="P144" si="26">CONCATENATE("0x",N144,",0x",N145,",0x",N146,",0x",N147,",0x",N148,",0x",N149,",0x",N150,",0x",N151,",0x",N152,",0x",N153,", //",C144)</f>
        <v>0x00,0x00,0x00,0x00,0x00,0x00,0x00,0x01,0x00,0x00, //.</v>
      </c>
    </row>
    <row r="145" spans="1:16" ht="12" customHeight="1" x14ac:dyDescent="0.3">
      <c r="A145" s="32">
        <v>2</v>
      </c>
      <c r="B145" s="46"/>
      <c r="C145" s="46"/>
      <c r="M145" s="32">
        <f t="shared" si="23"/>
        <v>0</v>
      </c>
      <c r="N145" s="32" t="str">
        <f t="shared" si="3"/>
        <v>00</v>
      </c>
      <c r="P145" s="47"/>
    </row>
    <row r="146" spans="1:16" ht="12" customHeight="1" x14ac:dyDescent="0.3">
      <c r="A146" s="32">
        <v>3</v>
      </c>
      <c r="B146" s="46"/>
      <c r="C146" s="46"/>
      <c r="M146" s="32">
        <f t="shared" si="23"/>
        <v>0</v>
      </c>
      <c r="N146" s="32" t="str">
        <f t="shared" si="3"/>
        <v>00</v>
      </c>
      <c r="P146" s="47"/>
    </row>
    <row r="147" spans="1:16" ht="12" customHeight="1" x14ac:dyDescent="0.3">
      <c r="A147" s="32">
        <v>4</v>
      </c>
      <c r="B147" s="46"/>
      <c r="C147" s="46"/>
      <c r="M147" s="32">
        <f t="shared" si="23"/>
        <v>0</v>
      </c>
      <c r="N147" s="32" t="str">
        <f t="shared" si="3"/>
        <v>00</v>
      </c>
      <c r="P147" s="47"/>
    </row>
    <row r="148" spans="1:16" ht="12" customHeight="1" x14ac:dyDescent="0.3">
      <c r="A148" s="32">
        <v>5</v>
      </c>
      <c r="B148" s="46"/>
      <c r="C148" s="46"/>
      <c r="M148" s="32">
        <f t="shared" si="23"/>
        <v>0</v>
      </c>
      <c r="N148" s="32" t="str">
        <f t="shared" si="3"/>
        <v>00</v>
      </c>
      <c r="P148" s="47"/>
    </row>
    <row r="149" spans="1:16" ht="12" customHeight="1" x14ac:dyDescent="0.3">
      <c r="A149" s="32">
        <v>6</v>
      </c>
      <c r="B149" s="46"/>
      <c r="C149" s="46"/>
      <c r="M149" s="32">
        <f t="shared" si="23"/>
        <v>0</v>
      </c>
      <c r="N149" s="32" t="str">
        <f t="shared" si="3"/>
        <v>00</v>
      </c>
      <c r="P149" s="47"/>
    </row>
    <row r="150" spans="1:16" ht="12" customHeight="1" x14ac:dyDescent="0.3">
      <c r="A150" s="32">
        <v>7</v>
      </c>
      <c r="B150" s="46"/>
      <c r="C150" s="46"/>
      <c r="M150" s="32">
        <f t="shared" si="23"/>
        <v>0</v>
      </c>
      <c r="N150" s="32" t="str">
        <f t="shared" si="3"/>
        <v>00</v>
      </c>
      <c r="P150" s="47"/>
    </row>
    <row r="151" spans="1:16" ht="12" customHeight="1" x14ac:dyDescent="0.3">
      <c r="A151" s="32">
        <v>8</v>
      </c>
      <c r="B151" s="46"/>
      <c r="C151" s="46"/>
      <c r="K151" s="32">
        <v>1</v>
      </c>
      <c r="M151" s="32">
        <f t="shared" si="23"/>
        <v>1</v>
      </c>
      <c r="N151" s="32" t="str">
        <f t="shared" si="3"/>
        <v>01</v>
      </c>
      <c r="P151" s="47"/>
    </row>
    <row r="152" spans="1:16" ht="12" customHeight="1" x14ac:dyDescent="0.3">
      <c r="A152" s="32">
        <v>9</v>
      </c>
      <c r="B152" s="46"/>
      <c r="C152" s="46"/>
      <c r="M152" s="32">
        <f t="shared" si="23"/>
        <v>0</v>
      </c>
      <c r="N152" s="32" t="str">
        <f t="shared" si="3"/>
        <v>00</v>
      </c>
      <c r="P152" s="47"/>
    </row>
    <row r="153" spans="1:16" ht="12" customHeight="1" x14ac:dyDescent="0.3">
      <c r="A153" s="32">
        <v>10</v>
      </c>
      <c r="B153" s="46"/>
      <c r="C153" s="46"/>
      <c r="M153" s="32">
        <f t="shared" si="23"/>
        <v>0</v>
      </c>
      <c r="N153" s="32" t="str">
        <f t="shared" si="3"/>
        <v>00</v>
      </c>
      <c r="P153" s="47"/>
    </row>
    <row r="154" spans="1:16" ht="12" customHeight="1" x14ac:dyDescent="0.3">
      <c r="A154" s="32">
        <v>1</v>
      </c>
      <c r="B154" s="46">
        <v>47</v>
      </c>
      <c r="C154" s="46" t="str">
        <f t="shared" ref="C154:C214" si="27">CHAR(B154)</f>
        <v>/</v>
      </c>
      <c r="K154" s="32">
        <v>1</v>
      </c>
      <c r="M154" s="32">
        <f t="shared" si="23"/>
        <v>1</v>
      </c>
      <c r="N154" s="32" t="str">
        <f t="shared" si="3"/>
        <v>01</v>
      </c>
      <c r="P154" s="47" t="str">
        <f t="shared" ref="P154" si="28">CONCATENATE("0x",N154,",0x",N155,",0x",N156,",0x",N157,",0x",N158,",0x",N159,",0x",N160,",0x",N161,",0x",N162,",0x",N163,", //",C154)</f>
        <v>0x01,0x01,0x02,0x02,0x04,0x04,0x08,0x08,0x00,0x00, ///</v>
      </c>
    </row>
    <row r="155" spans="1:16" ht="12" customHeight="1" x14ac:dyDescent="0.3">
      <c r="A155" s="32">
        <v>2</v>
      </c>
      <c r="B155" s="46"/>
      <c r="C155" s="46"/>
      <c r="K155" s="32">
        <v>1</v>
      </c>
      <c r="M155" s="32">
        <f t="shared" si="23"/>
        <v>1</v>
      </c>
      <c r="N155" s="32" t="str">
        <f t="shared" si="3"/>
        <v>01</v>
      </c>
      <c r="P155" s="47"/>
    </row>
    <row r="156" spans="1:16" ht="12" customHeight="1" x14ac:dyDescent="0.3">
      <c r="A156" s="32">
        <v>3</v>
      </c>
      <c r="B156" s="46"/>
      <c r="C156" s="46"/>
      <c r="J156" s="32">
        <v>1</v>
      </c>
      <c r="M156" s="32">
        <f t="shared" si="23"/>
        <v>2</v>
      </c>
      <c r="N156" s="32" t="str">
        <f t="shared" si="3"/>
        <v>02</v>
      </c>
      <c r="P156" s="47"/>
    </row>
    <row r="157" spans="1:16" ht="12" customHeight="1" x14ac:dyDescent="0.3">
      <c r="A157" s="32">
        <v>4</v>
      </c>
      <c r="B157" s="46"/>
      <c r="C157" s="46"/>
      <c r="J157" s="32">
        <v>1</v>
      </c>
      <c r="M157" s="32">
        <f t="shared" si="23"/>
        <v>2</v>
      </c>
      <c r="N157" s="32" t="str">
        <f t="shared" si="3"/>
        <v>02</v>
      </c>
      <c r="P157" s="47"/>
    </row>
    <row r="158" spans="1:16" ht="12" customHeight="1" x14ac:dyDescent="0.3">
      <c r="A158" s="32">
        <v>5</v>
      </c>
      <c r="B158" s="46"/>
      <c r="C158" s="46"/>
      <c r="I158" s="32">
        <v>1</v>
      </c>
      <c r="M158" s="32">
        <f t="shared" si="23"/>
        <v>4</v>
      </c>
      <c r="N158" s="32" t="str">
        <f t="shared" si="3"/>
        <v>04</v>
      </c>
      <c r="P158" s="47"/>
    </row>
    <row r="159" spans="1:16" ht="12" customHeight="1" x14ac:dyDescent="0.3">
      <c r="A159" s="32">
        <v>6</v>
      </c>
      <c r="B159" s="46"/>
      <c r="C159" s="46"/>
      <c r="I159" s="32">
        <v>1</v>
      </c>
      <c r="M159" s="32">
        <f t="shared" si="23"/>
        <v>4</v>
      </c>
      <c r="N159" s="32" t="str">
        <f t="shared" si="3"/>
        <v>04</v>
      </c>
      <c r="P159" s="47"/>
    </row>
    <row r="160" spans="1:16" ht="12" customHeight="1" x14ac:dyDescent="0.3">
      <c r="A160" s="32">
        <v>7</v>
      </c>
      <c r="B160" s="46"/>
      <c r="C160" s="46"/>
      <c r="H160" s="32">
        <v>1</v>
      </c>
      <c r="M160" s="32">
        <f t="shared" si="23"/>
        <v>8</v>
      </c>
      <c r="N160" s="32" t="str">
        <f t="shared" si="3"/>
        <v>08</v>
      </c>
      <c r="P160" s="47"/>
    </row>
    <row r="161" spans="1:16" ht="12" customHeight="1" x14ac:dyDescent="0.3">
      <c r="A161" s="32">
        <v>8</v>
      </c>
      <c r="B161" s="46"/>
      <c r="C161" s="46"/>
      <c r="H161" s="32">
        <v>1</v>
      </c>
      <c r="M161" s="32">
        <f t="shared" si="23"/>
        <v>8</v>
      </c>
      <c r="N161" s="32" t="str">
        <f t="shared" si="3"/>
        <v>08</v>
      </c>
      <c r="P161" s="47"/>
    </row>
    <row r="162" spans="1:16" ht="12" customHeight="1" x14ac:dyDescent="0.3">
      <c r="A162" s="32">
        <v>9</v>
      </c>
      <c r="B162" s="46"/>
      <c r="C162" s="46"/>
      <c r="M162" s="32">
        <f t="shared" si="23"/>
        <v>0</v>
      </c>
      <c r="N162" s="32" t="str">
        <f t="shared" si="3"/>
        <v>00</v>
      </c>
      <c r="P162" s="47"/>
    </row>
    <row r="163" spans="1:16" ht="12" customHeight="1" x14ac:dyDescent="0.3">
      <c r="A163" s="32">
        <v>10</v>
      </c>
      <c r="B163" s="46"/>
      <c r="C163" s="46"/>
      <c r="M163" s="32">
        <f t="shared" si="23"/>
        <v>0</v>
      </c>
      <c r="N163" s="32" t="str">
        <f t="shared" si="3"/>
        <v>00</v>
      </c>
      <c r="P163" s="47"/>
    </row>
    <row r="164" spans="1:16" ht="12" customHeight="1" x14ac:dyDescent="0.3">
      <c r="A164" s="32">
        <v>1</v>
      </c>
      <c r="B164" s="46">
        <v>48</v>
      </c>
      <c r="C164" s="46" t="str">
        <f t="shared" si="27"/>
        <v>0</v>
      </c>
      <c r="H164" s="32">
        <v>1</v>
      </c>
      <c r="I164" s="32">
        <v>1</v>
      </c>
      <c r="J164" s="32">
        <v>1</v>
      </c>
      <c r="M164" s="32">
        <f t="shared" si="23"/>
        <v>14</v>
      </c>
      <c r="N164" s="32" t="str">
        <f t="shared" ref="N164:N220" si="29">DEC2HEX(M164,2)</f>
        <v>0E</v>
      </c>
      <c r="P164" s="47" t="str">
        <f t="shared" ref="P164" si="30">CONCATENATE("0x",N164,",0x",N165,",0x",N166,",0x",N167,",0x",N168,",0x",N169,",0x",N170,",0x",N171,",0x",N172,",0x",N173,", //",C164)</f>
        <v>0x0E,0x11,0x11,0x15,0x15,0x11,0x11,0x0E,0x00,0x00, //0</v>
      </c>
    </row>
    <row r="165" spans="1:16" ht="12" customHeight="1" x14ac:dyDescent="0.3">
      <c r="A165" s="32">
        <v>2</v>
      </c>
      <c r="B165" s="46"/>
      <c r="C165" s="46"/>
      <c r="G165" s="35">
        <v>1</v>
      </c>
      <c r="K165" s="32">
        <v>1</v>
      </c>
      <c r="M165" s="32">
        <f t="shared" si="23"/>
        <v>17</v>
      </c>
      <c r="N165" s="32" t="str">
        <f t="shared" si="29"/>
        <v>11</v>
      </c>
      <c r="P165" s="47"/>
    </row>
    <row r="166" spans="1:16" ht="12" customHeight="1" x14ac:dyDescent="0.3">
      <c r="A166" s="32">
        <v>3</v>
      </c>
      <c r="B166" s="46"/>
      <c r="C166" s="46"/>
      <c r="G166" s="35">
        <v>1</v>
      </c>
      <c r="K166" s="32">
        <v>1</v>
      </c>
      <c r="M166" s="32">
        <f t="shared" si="23"/>
        <v>17</v>
      </c>
      <c r="N166" s="32" t="str">
        <f t="shared" si="29"/>
        <v>11</v>
      </c>
      <c r="P166" s="47"/>
    </row>
    <row r="167" spans="1:16" ht="12" customHeight="1" x14ac:dyDescent="0.3">
      <c r="A167" s="32">
        <v>4</v>
      </c>
      <c r="B167" s="46"/>
      <c r="C167" s="46"/>
      <c r="G167" s="35">
        <v>1</v>
      </c>
      <c r="I167" s="32">
        <v>1</v>
      </c>
      <c r="K167" s="32">
        <v>1</v>
      </c>
      <c r="M167" s="32">
        <f t="shared" si="23"/>
        <v>21</v>
      </c>
      <c r="N167" s="32" t="str">
        <f t="shared" si="29"/>
        <v>15</v>
      </c>
      <c r="P167" s="47"/>
    </row>
    <row r="168" spans="1:16" ht="12" customHeight="1" x14ac:dyDescent="0.3">
      <c r="A168" s="32">
        <v>5</v>
      </c>
      <c r="B168" s="46"/>
      <c r="C168" s="46"/>
      <c r="G168" s="35">
        <v>1</v>
      </c>
      <c r="I168" s="32">
        <v>1</v>
      </c>
      <c r="K168" s="32">
        <v>1</v>
      </c>
      <c r="M168" s="32">
        <f t="shared" si="23"/>
        <v>21</v>
      </c>
      <c r="N168" s="32" t="str">
        <f t="shared" si="29"/>
        <v>15</v>
      </c>
      <c r="P168" s="47"/>
    </row>
    <row r="169" spans="1:16" ht="12" customHeight="1" x14ac:dyDescent="0.3">
      <c r="A169" s="32">
        <v>6</v>
      </c>
      <c r="B169" s="46"/>
      <c r="C169" s="46"/>
      <c r="G169" s="35">
        <v>1</v>
      </c>
      <c r="K169" s="32">
        <v>1</v>
      </c>
      <c r="M169" s="32">
        <f t="shared" si="23"/>
        <v>17</v>
      </c>
      <c r="N169" s="32" t="str">
        <f t="shared" si="29"/>
        <v>11</v>
      </c>
      <c r="P169" s="47"/>
    </row>
    <row r="170" spans="1:16" ht="12" customHeight="1" x14ac:dyDescent="0.3">
      <c r="A170" s="32">
        <v>7</v>
      </c>
      <c r="B170" s="46"/>
      <c r="C170" s="46"/>
      <c r="G170" s="35">
        <v>1</v>
      </c>
      <c r="K170" s="32">
        <v>1</v>
      </c>
      <c r="M170" s="32">
        <f t="shared" si="23"/>
        <v>17</v>
      </c>
      <c r="N170" s="32" t="str">
        <f t="shared" si="29"/>
        <v>11</v>
      </c>
      <c r="P170" s="47"/>
    </row>
    <row r="171" spans="1:16" ht="12" customHeight="1" x14ac:dyDescent="0.3">
      <c r="A171" s="32">
        <v>8</v>
      </c>
      <c r="B171" s="46"/>
      <c r="C171" s="46"/>
      <c r="H171" s="32">
        <v>1</v>
      </c>
      <c r="I171" s="32">
        <v>1</v>
      </c>
      <c r="J171" s="32">
        <v>1</v>
      </c>
      <c r="M171" s="32">
        <f t="shared" si="23"/>
        <v>14</v>
      </c>
      <c r="N171" s="32" t="str">
        <f t="shared" si="29"/>
        <v>0E</v>
      </c>
      <c r="P171" s="47"/>
    </row>
    <row r="172" spans="1:16" ht="12" customHeight="1" x14ac:dyDescent="0.3">
      <c r="A172" s="32">
        <v>9</v>
      </c>
      <c r="B172" s="46"/>
      <c r="C172" s="46"/>
      <c r="M172" s="32">
        <f t="shared" si="23"/>
        <v>0</v>
      </c>
      <c r="N172" s="32" t="str">
        <f t="shared" si="29"/>
        <v>00</v>
      </c>
      <c r="P172" s="47"/>
    </row>
    <row r="173" spans="1:16" ht="12" customHeight="1" x14ac:dyDescent="0.3">
      <c r="A173" s="32">
        <v>10</v>
      </c>
      <c r="B173" s="46"/>
      <c r="C173" s="46"/>
      <c r="M173" s="32">
        <f t="shared" si="23"/>
        <v>0</v>
      </c>
      <c r="N173" s="32" t="str">
        <f t="shared" si="29"/>
        <v>00</v>
      </c>
      <c r="P173" s="47"/>
    </row>
    <row r="174" spans="1:16" ht="12" customHeight="1" x14ac:dyDescent="0.3">
      <c r="A174" s="32">
        <v>1</v>
      </c>
      <c r="B174" s="46">
        <v>49</v>
      </c>
      <c r="C174" s="46" t="str">
        <f t="shared" si="27"/>
        <v>1</v>
      </c>
      <c r="J174" s="32">
        <v>1</v>
      </c>
      <c r="M174" s="32">
        <f t="shared" si="23"/>
        <v>2</v>
      </c>
      <c r="N174" s="32" t="str">
        <f t="shared" si="29"/>
        <v>02</v>
      </c>
      <c r="P174" s="47" t="str">
        <f t="shared" ref="P174" si="31">CONCATENATE("0x",N174,",0x",N175,",0x",N176,",0x",N177,",0x",N178,",0x",N179,",0x",N180,",0x",N181,",0x",N182,",0x",N183,", //",C174)</f>
        <v>0x02,0x06,0x02,0x02,0x02,0x02,0x02,0x07,0x00,0x00, //1</v>
      </c>
    </row>
    <row r="175" spans="1:16" ht="12" customHeight="1" x14ac:dyDescent="0.3">
      <c r="A175" s="32">
        <v>2</v>
      </c>
      <c r="B175" s="46"/>
      <c r="C175" s="46"/>
      <c r="I175" s="32">
        <v>1</v>
      </c>
      <c r="J175" s="32">
        <v>1</v>
      </c>
      <c r="M175" s="32">
        <f t="shared" si="23"/>
        <v>6</v>
      </c>
      <c r="N175" s="32" t="str">
        <f t="shared" si="29"/>
        <v>06</v>
      </c>
      <c r="P175" s="47"/>
    </row>
    <row r="176" spans="1:16" ht="12" customHeight="1" x14ac:dyDescent="0.3">
      <c r="A176" s="32">
        <v>3</v>
      </c>
      <c r="B176" s="46"/>
      <c r="C176" s="46"/>
      <c r="J176" s="32">
        <v>1</v>
      </c>
      <c r="M176" s="32">
        <f t="shared" si="23"/>
        <v>2</v>
      </c>
      <c r="N176" s="32" t="str">
        <f t="shared" si="29"/>
        <v>02</v>
      </c>
      <c r="P176" s="47"/>
    </row>
    <row r="177" spans="1:16" ht="12" customHeight="1" x14ac:dyDescent="0.3">
      <c r="A177" s="32">
        <v>4</v>
      </c>
      <c r="B177" s="46"/>
      <c r="C177" s="46"/>
      <c r="J177" s="32">
        <v>1</v>
      </c>
      <c r="M177" s="32">
        <f t="shared" si="23"/>
        <v>2</v>
      </c>
      <c r="N177" s="32" t="str">
        <f t="shared" si="29"/>
        <v>02</v>
      </c>
      <c r="P177" s="47"/>
    </row>
    <row r="178" spans="1:16" ht="12" customHeight="1" x14ac:dyDescent="0.3">
      <c r="A178" s="32">
        <v>5</v>
      </c>
      <c r="B178" s="46"/>
      <c r="C178" s="46"/>
      <c r="J178" s="32">
        <v>1</v>
      </c>
      <c r="M178" s="32">
        <f t="shared" si="23"/>
        <v>2</v>
      </c>
      <c r="N178" s="32" t="str">
        <f t="shared" si="29"/>
        <v>02</v>
      </c>
      <c r="P178" s="47"/>
    </row>
    <row r="179" spans="1:16" ht="12" customHeight="1" x14ac:dyDescent="0.3">
      <c r="A179" s="32">
        <v>6</v>
      </c>
      <c r="B179" s="46"/>
      <c r="C179" s="46"/>
      <c r="J179" s="32">
        <v>1</v>
      </c>
      <c r="M179" s="32">
        <f t="shared" si="23"/>
        <v>2</v>
      </c>
      <c r="N179" s="32" t="str">
        <f t="shared" si="29"/>
        <v>02</v>
      </c>
      <c r="P179" s="47"/>
    </row>
    <row r="180" spans="1:16" ht="12" customHeight="1" x14ac:dyDescent="0.3">
      <c r="A180" s="32">
        <v>7</v>
      </c>
      <c r="B180" s="46"/>
      <c r="C180" s="46"/>
      <c r="J180" s="32">
        <v>1</v>
      </c>
      <c r="M180" s="32">
        <f t="shared" si="23"/>
        <v>2</v>
      </c>
      <c r="N180" s="32" t="str">
        <f t="shared" si="29"/>
        <v>02</v>
      </c>
      <c r="P180" s="47"/>
    </row>
    <row r="181" spans="1:16" ht="12" customHeight="1" x14ac:dyDescent="0.3">
      <c r="A181" s="32">
        <v>8</v>
      </c>
      <c r="B181" s="46"/>
      <c r="C181" s="46"/>
      <c r="I181" s="32">
        <v>1</v>
      </c>
      <c r="J181" s="32">
        <v>1</v>
      </c>
      <c r="K181" s="32">
        <v>1</v>
      </c>
      <c r="M181" s="32">
        <f t="shared" si="23"/>
        <v>7</v>
      </c>
      <c r="N181" s="32" t="str">
        <f t="shared" si="29"/>
        <v>07</v>
      </c>
      <c r="P181" s="47"/>
    </row>
    <row r="182" spans="1:16" ht="12" customHeight="1" x14ac:dyDescent="0.3">
      <c r="A182" s="32">
        <v>9</v>
      </c>
      <c r="B182" s="46"/>
      <c r="C182" s="46"/>
      <c r="M182" s="32">
        <f t="shared" si="23"/>
        <v>0</v>
      </c>
      <c r="N182" s="32" t="str">
        <f t="shared" si="29"/>
        <v>00</v>
      </c>
      <c r="P182" s="47"/>
    </row>
    <row r="183" spans="1:16" ht="12" customHeight="1" x14ac:dyDescent="0.3">
      <c r="A183" s="32">
        <v>10</v>
      </c>
      <c r="B183" s="46"/>
      <c r="C183" s="46"/>
      <c r="M183" s="32">
        <f t="shared" si="23"/>
        <v>0</v>
      </c>
      <c r="N183" s="32" t="str">
        <f t="shared" si="29"/>
        <v>00</v>
      </c>
      <c r="P183" s="47"/>
    </row>
    <row r="184" spans="1:16" ht="12" customHeight="1" x14ac:dyDescent="0.3">
      <c r="A184" s="32">
        <v>1</v>
      </c>
      <c r="B184" s="46">
        <v>50</v>
      </c>
      <c r="C184" s="46" t="str">
        <f t="shared" si="27"/>
        <v>2</v>
      </c>
      <c r="H184" s="32">
        <v>1</v>
      </c>
      <c r="I184" s="32">
        <v>1</v>
      </c>
      <c r="J184" s="32">
        <v>1</v>
      </c>
      <c r="M184" s="32">
        <f t="shared" si="23"/>
        <v>14</v>
      </c>
      <c r="N184" s="32" t="str">
        <f t="shared" si="29"/>
        <v>0E</v>
      </c>
      <c r="P184" s="47" t="str">
        <f t="shared" ref="P184" si="32">CONCATENATE("0x",N184,",0x",N185,",0x",N186,",0x",N187,",0x",N188,",0x",N189,",0x",N190,",0x",N191,",0x",N192,",0x",N193,", //",C184)</f>
        <v>0x0E,0x11,0x01,0x02,0x04,0x08,0x10,0x1F,0x00,0x00, //2</v>
      </c>
    </row>
    <row r="185" spans="1:16" ht="12" customHeight="1" x14ac:dyDescent="0.3">
      <c r="A185" s="32">
        <v>2</v>
      </c>
      <c r="B185" s="46"/>
      <c r="C185" s="46"/>
      <c r="G185" s="35">
        <v>1</v>
      </c>
      <c r="K185" s="32">
        <v>1</v>
      </c>
      <c r="M185" s="32">
        <f t="shared" si="23"/>
        <v>17</v>
      </c>
      <c r="N185" s="32" t="str">
        <f t="shared" si="29"/>
        <v>11</v>
      </c>
      <c r="P185" s="47"/>
    </row>
    <row r="186" spans="1:16" ht="12" customHeight="1" x14ac:dyDescent="0.3">
      <c r="A186" s="32">
        <v>3</v>
      </c>
      <c r="B186" s="46"/>
      <c r="C186" s="46"/>
      <c r="K186" s="32">
        <v>1</v>
      </c>
      <c r="M186" s="32">
        <f t="shared" si="23"/>
        <v>1</v>
      </c>
      <c r="N186" s="32" t="str">
        <f t="shared" si="29"/>
        <v>01</v>
      </c>
      <c r="P186" s="47"/>
    </row>
    <row r="187" spans="1:16" ht="12" customHeight="1" x14ac:dyDescent="0.3">
      <c r="A187" s="32">
        <v>4</v>
      </c>
      <c r="B187" s="46"/>
      <c r="C187" s="46"/>
      <c r="J187" s="32">
        <v>1</v>
      </c>
      <c r="M187" s="32">
        <f t="shared" si="23"/>
        <v>2</v>
      </c>
      <c r="N187" s="32" t="str">
        <f t="shared" si="29"/>
        <v>02</v>
      </c>
      <c r="P187" s="47"/>
    </row>
    <row r="188" spans="1:16" ht="12" customHeight="1" x14ac:dyDescent="0.3">
      <c r="A188" s="32">
        <v>5</v>
      </c>
      <c r="B188" s="46"/>
      <c r="C188" s="46"/>
      <c r="I188" s="32">
        <v>1</v>
      </c>
      <c r="M188" s="32">
        <f t="shared" si="23"/>
        <v>4</v>
      </c>
      <c r="N188" s="32" t="str">
        <f t="shared" si="29"/>
        <v>04</v>
      </c>
      <c r="P188" s="47"/>
    </row>
    <row r="189" spans="1:16" ht="12" customHeight="1" x14ac:dyDescent="0.3">
      <c r="A189" s="32">
        <v>6</v>
      </c>
      <c r="B189" s="46"/>
      <c r="C189" s="46"/>
      <c r="H189" s="32">
        <v>1</v>
      </c>
      <c r="M189" s="32">
        <f t="shared" si="23"/>
        <v>8</v>
      </c>
      <c r="N189" s="32" t="str">
        <f t="shared" si="29"/>
        <v>08</v>
      </c>
      <c r="P189" s="47"/>
    </row>
    <row r="190" spans="1:16" ht="12" customHeight="1" x14ac:dyDescent="0.3">
      <c r="A190" s="32">
        <v>7</v>
      </c>
      <c r="B190" s="46"/>
      <c r="C190" s="46"/>
      <c r="G190" s="35">
        <v>1</v>
      </c>
      <c r="M190" s="32">
        <f t="shared" si="23"/>
        <v>16</v>
      </c>
      <c r="N190" s="32" t="str">
        <f t="shared" si="29"/>
        <v>10</v>
      </c>
      <c r="P190" s="47"/>
    </row>
    <row r="191" spans="1:16" ht="12" customHeight="1" x14ac:dyDescent="0.3">
      <c r="A191" s="32">
        <v>8</v>
      </c>
      <c r="B191" s="46"/>
      <c r="C191" s="46"/>
      <c r="G191" s="35">
        <v>1</v>
      </c>
      <c r="H191" s="32">
        <v>1</v>
      </c>
      <c r="I191" s="32">
        <v>1</v>
      </c>
      <c r="J191" s="32">
        <v>1</v>
      </c>
      <c r="K191" s="32">
        <v>1</v>
      </c>
      <c r="M191" s="32">
        <f t="shared" si="23"/>
        <v>31</v>
      </c>
      <c r="N191" s="32" t="str">
        <f t="shared" si="29"/>
        <v>1F</v>
      </c>
      <c r="P191" s="47"/>
    </row>
    <row r="192" spans="1:16" ht="12" customHeight="1" x14ac:dyDescent="0.3">
      <c r="A192" s="32">
        <v>9</v>
      </c>
      <c r="B192" s="46"/>
      <c r="C192" s="46"/>
      <c r="M192" s="32">
        <f t="shared" si="23"/>
        <v>0</v>
      </c>
      <c r="N192" s="32" t="str">
        <f t="shared" si="29"/>
        <v>00</v>
      </c>
      <c r="P192" s="47"/>
    </row>
    <row r="193" spans="1:16" ht="12" customHeight="1" x14ac:dyDescent="0.3">
      <c r="A193" s="32">
        <v>10</v>
      </c>
      <c r="B193" s="46"/>
      <c r="C193" s="46"/>
      <c r="M193" s="32">
        <f t="shared" si="23"/>
        <v>0</v>
      </c>
      <c r="N193" s="32" t="str">
        <f t="shared" si="29"/>
        <v>00</v>
      </c>
      <c r="P193" s="47"/>
    </row>
    <row r="194" spans="1:16" ht="12" customHeight="1" x14ac:dyDescent="0.3">
      <c r="A194" s="32">
        <v>1</v>
      </c>
      <c r="B194" s="46">
        <v>51</v>
      </c>
      <c r="C194" s="46" t="str">
        <f t="shared" si="27"/>
        <v>3</v>
      </c>
      <c r="H194" s="32">
        <v>1</v>
      </c>
      <c r="I194" s="32">
        <v>1</v>
      </c>
      <c r="J194" s="32">
        <v>1</v>
      </c>
      <c r="M194" s="32">
        <f t="shared" si="23"/>
        <v>14</v>
      </c>
      <c r="N194" s="32" t="str">
        <f t="shared" si="29"/>
        <v>0E</v>
      </c>
      <c r="P194" s="47" t="str">
        <f t="shared" ref="P194" si="33">CONCATENATE("0x",N194,",0x",N195,",0x",N196,",0x",N197,",0x",N198,",0x",N199,",0x",N200,",0x",N201,",0x",N202,",0x",N203,", //",C194)</f>
        <v>0x0E,0x11,0x01,0x0E,0x01,0x01,0x11,0x0E,0x00,0x00, //3</v>
      </c>
    </row>
    <row r="195" spans="1:16" ht="12" customHeight="1" x14ac:dyDescent="0.3">
      <c r="A195" s="32">
        <v>2</v>
      </c>
      <c r="B195" s="46"/>
      <c r="C195" s="46"/>
      <c r="G195" s="35">
        <v>1</v>
      </c>
      <c r="K195" s="32">
        <v>1</v>
      </c>
      <c r="M195" s="32">
        <f t="shared" si="23"/>
        <v>17</v>
      </c>
      <c r="N195" s="32" t="str">
        <f t="shared" si="29"/>
        <v>11</v>
      </c>
      <c r="P195" s="47"/>
    </row>
    <row r="196" spans="1:16" ht="12" customHeight="1" x14ac:dyDescent="0.3">
      <c r="A196" s="32">
        <v>3</v>
      </c>
      <c r="B196" s="46"/>
      <c r="C196" s="46"/>
      <c r="K196" s="32">
        <v>1</v>
      </c>
      <c r="M196" s="32">
        <f t="shared" si="23"/>
        <v>1</v>
      </c>
      <c r="N196" s="32" t="str">
        <f t="shared" si="29"/>
        <v>01</v>
      </c>
      <c r="P196" s="47"/>
    </row>
    <row r="197" spans="1:16" ht="12" customHeight="1" x14ac:dyDescent="0.3">
      <c r="A197" s="32">
        <v>4</v>
      </c>
      <c r="B197" s="46"/>
      <c r="C197" s="46"/>
      <c r="H197" s="32">
        <v>1</v>
      </c>
      <c r="I197" s="32">
        <v>1</v>
      </c>
      <c r="J197" s="32">
        <v>1</v>
      </c>
      <c r="M197" s="32">
        <f t="shared" ref="M197:M260" si="34">G197*G$2+H197*H$2+I197*I$2+J197*J$2+K197*K$2+F197*F$2+E197*E$2+D197*D$2</f>
        <v>14</v>
      </c>
      <c r="N197" s="32" t="str">
        <f t="shared" si="29"/>
        <v>0E</v>
      </c>
      <c r="P197" s="47"/>
    </row>
    <row r="198" spans="1:16" ht="12" customHeight="1" x14ac:dyDescent="0.3">
      <c r="A198" s="32">
        <v>5</v>
      </c>
      <c r="B198" s="46"/>
      <c r="C198" s="46"/>
      <c r="K198" s="32">
        <v>1</v>
      </c>
      <c r="M198" s="32">
        <f t="shared" si="34"/>
        <v>1</v>
      </c>
      <c r="N198" s="32" t="str">
        <f t="shared" si="29"/>
        <v>01</v>
      </c>
      <c r="P198" s="47"/>
    </row>
    <row r="199" spans="1:16" ht="12" customHeight="1" x14ac:dyDescent="0.3">
      <c r="A199" s="32">
        <v>6</v>
      </c>
      <c r="B199" s="46"/>
      <c r="C199" s="46"/>
      <c r="K199" s="32">
        <v>1</v>
      </c>
      <c r="M199" s="32">
        <f t="shared" si="34"/>
        <v>1</v>
      </c>
      <c r="N199" s="32" t="str">
        <f t="shared" si="29"/>
        <v>01</v>
      </c>
      <c r="P199" s="47"/>
    </row>
    <row r="200" spans="1:16" ht="12" customHeight="1" x14ac:dyDescent="0.3">
      <c r="A200" s="32">
        <v>7</v>
      </c>
      <c r="B200" s="46"/>
      <c r="C200" s="46"/>
      <c r="G200" s="35">
        <v>1</v>
      </c>
      <c r="K200" s="32">
        <v>1</v>
      </c>
      <c r="M200" s="32">
        <f t="shared" si="34"/>
        <v>17</v>
      </c>
      <c r="N200" s="32" t="str">
        <f t="shared" si="29"/>
        <v>11</v>
      </c>
      <c r="P200" s="47"/>
    </row>
    <row r="201" spans="1:16" ht="12" customHeight="1" x14ac:dyDescent="0.3">
      <c r="A201" s="32">
        <v>8</v>
      </c>
      <c r="B201" s="46"/>
      <c r="C201" s="46"/>
      <c r="H201" s="32">
        <v>1</v>
      </c>
      <c r="I201" s="32">
        <v>1</v>
      </c>
      <c r="J201" s="32">
        <v>1</v>
      </c>
      <c r="M201" s="32">
        <f t="shared" si="34"/>
        <v>14</v>
      </c>
      <c r="N201" s="32" t="str">
        <f t="shared" si="29"/>
        <v>0E</v>
      </c>
      <c r="P201" s="47"/>
    </row>
    <row r="202" spans="1:16" ht="12" customHeight="1" x14ac:dyDescent="0.3">
      <c r="A202" s="32">
        <v>9</v>
      </c>
      <c r="B202" s="46"/>
      <c r="C202" s="46"/>
      <c r="M202" s="32">
        <f t="shared" si="34"/>
        <v>0</v>
      </c>
      <c r="N202" s="32" t="str">
        <f t="shared" si="29"/>
        <v>00</v>
      </c>
      <c r="P202" s="47"/>
    </row>
    <row r="203" spans="1:16" ht="12" customHeight="1" x14ac:dyDescent="0.3">
      <c r="A203" s="32">
        <v>10</v>
      </c>
      <c r="B203" s="46"/>
      <c r="C203" s="46"/>
      <c r="M203" s="32">
        <f t="shared" si="34"/>
        <v>0</v>
      </c>
      <c r="N203" s="32" t="str">
        <f t="shared" si="29"/>
        <v>00</v>
      </c>
      <c r="P203" s="47"/>
    </row>
    <row r="204" spans="1:16" ht="12" customHeight="1" x14ac:dyDescent="0.3">
      <c r="A204" s="32">
        <v>1</v>
      </c>
      <c r="B204" s="46">
        <v>52</v>
      </c>
      <c r="C204" s="46" t="str">
        <f t="shared" si="27"/>
        <v>4</v>
      </c>
      <c r="G204" s="35">
        <v>1</v>
      </c>
      <c r="J204" s="32">
        <v>1</v>
      </c>
      <c r="M204" s="32">
        <f t="shared" si="34"/>
        <v>18</v>
      </c>
      <c r="N204" s="32" t="str">
        <f t="shared" si="29"/>
        <v>12</v>
      </c>
      <c r="P204" s="47" t="str">
        <f t="shared" ref="P204" si="35">CONCATENATE("0x",N204,",0x",N205,",0x",N206,",0x",N207,",0x",N208,",0x",N209,",0x",N210,",0x",N211,",0x",N212,",0x",N213,", //",C204)</f>
        <v>0x12,0x12,0x12,0x1F,0x02,0x02,0x02,0x02,0x00,0x00, //4</v>
      </c>
    </row>
    <row r="205" spans="1:16" ht="12" customHeight="1" x14ac:dyDescent="0.3">
      <c r="A205" s="32">
        <v>2</v>
      </c>
      <c r="B205" s="46"/>
      <c r="C205" s="46"/>
      <c r="G205" s="35">
        <v>1</v>
      </c>
      <c r="J205" s="32">
        <v>1</v>
      </c>
      <c r="M205" s="32">
        <f t="shared" si="34"/>
        <v>18</v>
      </c>
      <c r="N205" s="32" t="str">
        <f t="shared" si="29"/>
        <v>12</v>
      </c>
      <c r="P205" s="47"/>
    </row>
    <row r="206" spans="1:16" ht="12" customHeight="1" x14ac:dyDescent="0.3">
      <c r="A206" s="32">
        <v>3</v>
      </c>
      <c r="B206" s="46"/>
      <c r="C206" s="46"/>
      <c r="G206" s="35">
        <v>1</v>
      </c>
      <c r="J206" s="32">
        <v>1</v>
      </c>
      <c r="M206" s="32">
        <f t="shared" si="34"/>
        <v>18</v>
      </c>
      <c r="N206" s="32" t="str">
        <f t="shared" si="29"/>
        <v>12</v>
      </c>
      <c r="P206" s="47"/>
    </row>
    <row r="207" spans="1:16" ht="12" customHeight="1" x14ac:dyDescent="0.3">
      <c r="A207" s="32">
        <v>4</v>
      </c>
      <c r="B207" s="46"/>
      <c r="C207" s="46"/>
      <c r="G207" s="35">
        <v>1</v>
      </c>
      <c r="H207" s="32">
        <v>1</v>
      </c>
      <c r="I207" s="32">
        <v>1</v>
      </c>
      <c r="J207" s="32">
        <v>1</v>
      </c>
      <c r="K207" s="32">
        <v>1</v>
      </c>
      <c r="M207" s="32">
        <f t="shared" si="34"/>
        <v>31</v>
      </c>
      <c r="N207" s="32" t="str">
        <f t="shared" si="29"/>
        <v>1F</v>
      </c>
      <c r="P207" s="47"/>
    </row>
    <row r="208" spans="1:16" ht="12" customHeight="1" x14ac:dyDescent="0.3">
      <c r="A208" s="32">
        <v>5</v>
      </c>
      <c r="B208" s="46"/>
      <c r="C208" s="46"/>
      <c r="J208" s="32">
        <v>1</v>
      </c>
      <c r="M208" s="32">
        <f t="shared" si="34"/>
        <v>2</v>
      </c>
      <c r="N208" s="32" t="str">
        <f t="shared" si="29"/>
        <v>02</v>
      </c>
      <c r="P208" s="47"/>
    </row>
    <row r="209" spans="1:16" ht="12" customHeight="1" x14ac:dyDescent="0.3">
      <c r="A209" s="32">
        <v>6</v>
      </c>
      <c r="B209" s="46"/>
      <c r="C209" s="46"/>
      <c r="J209" s="32">
        <v>1</v>
      </c>
      <c r="M209" s="32">
        <f t="shared" si="34"/>
        <v>2</v>
      </c>
      <c r="N209" s="32" t="str">
        <f t="shared" si="29"/>
        <v>02</v>
      </c>
      <c r="P209" s="47"/>
    </row>
    <row r="210" spans="1:16" ht="12" customHeight="1" x14ac:dyDescent="0.3">
      <c r="A210" s="32">
        <v>7</v>
      </c>
      <c r="B210" s="46"/>
      <c r="C210" s="46"/>
      <c r="J210" s="32">
        <v>1</v>
      </c>
      <c r="M210" s="32">
        <f t="shared" si="34"/>
        <v>2</v>
      </c>
      <c r="N210" s="32" t="str">
        <f t="shared" si="29"/>
        <v>02</v>
      </c>
      <c r="P210" s="47"/>
    </row>
    <row r="211" spans="1:16" ht="12" customHeight="1" x14ac:dyDescent="0.3">
      <c r="A211" s="32">
        <v>8</v>
      </c>
      <c r="B211" s="46"/>
      <c r="C211" s="46"/>
      <c r="J211" s="32">
        <v>1</v>
      </c>
      <c r="M211" s="32">
        <f t="shared" si="34"/>
        <v>2</v>
      </c>
      <c r="N211" s="32" t="str">
        <f t="shared" si="29"/>
        <v>02</v>
      </c>
      <c r="P211" s="47"/>
    </row>
    <row r="212" spans="1:16" ht="12" customHeight="1" x14ac:dyDescent="0.3">
      <c r="A212" s="32">
        <v>9</v>
      </c>
      <c r="B212" s="46"/>
      <c r="C212" s="46"/>
      <c r="M212" s="32">
        <f t="shared" si="34"/>
        <v>0</v>
      </c>
      <c r="N212" s="32" t="str">
        <f t="shared" si="29"/>
        <v>00</v>
      </c>
      <c r="P212" s="47"/>
    </row>
    <row r="213" spans="1:16" ht="12" customHeight="1" x14ac:dyDescent="0.3">
      <c r="A213" s="32">
        <v>10</v>
      </c>
      <c r="B213" s="46"/>
      <c r="C213" s="46"/>
      <c r="M213" s="32">
        <f t="shared" si="34"/>
        <v>0</v>
      </c>
      <c r="N213" s="32" t="str">
        <f t="shared" si="29"/>
        <v>00</v>
      </c>
      <c r="P213" s="47"/>
    </row>
    <row r="214" spans="1:16" ht="12" customHeight="1" x14ac:dyDescent="0.3">
      <c r="A214" s="32">
        <v>1</v>
      </c>
      <c r="B214" s="46">
        <v>53</v>
      </c>
      <c r="C214" s="46" t="str">
        <f t="shared" si="27"/>
        <v>5</v>
      </c>
      <c r="G214" s="35">
        <v>1</v>
      </c>
      <c r="H214" s="32">
        <v>1</v>
      </c>
      <c r="I214" s="32">
        <v>1</v>
      </c>
      <c r="J214" s="32">
        <v>1</v>
      </c>
      <c r="K214" s="32">
        <v>1</v>
      </c>
      <c r="M214" s="32">
        <f t="shared" si="34"/>
        <v>31</v>
      </c>
      <c r="N214" s="32" t="str">
        <f t="shared" si="29"/>
        <v>1F</v>
      </c>
      <c r="P214" s="47" t="str">
        <f t="shared" ref="P214" si="36">CONCATENATE("0x",N214,",0x",N215,",0x",N216,",0x",N217,",0x",N218,",0x",N219,",0x",N220,",0x",N221,",0x",N222,",0x",N223,", //",C214)</f>
        <v>0x1F,0x10,0x10,0x1E,0x01,0x01,0x11,0x0E,0x00,0x00, //5</v>
      </c>
    </row>
    <row r="215" spans="1:16" ht="12" customHeight="1" x14ac:dyDescent="0.3">
      <c r="A215" s="32">
        <v>2</v>
      </c>
      <c r="B215" s="46"/>
      <c r="C215" s="46"/>
      <c r="G215" s="35">
        <v>1</v>
      </c>
      <c r="M215" s="32">
        <f t="shared" si="34"/>
        <v>16</v>
      </c>
      <c r="N215" s="32" t="str">
        <f t="shared" si="29"/>
        <v>10</v>
      </c>
      <c r="P215" s="47"/>
    </row>
    <row r="216" spans="1:16" ht="12" customHeight="1" x14ac:dyDescent="0.3">
      <c r="A216" s="32">
        <v>3</v>
      </c>
      <c r="B216" s="46"/>
      <c r="C216" s="46"/>
      <c r="G216" s="35">
        <v>1</v>
      </c>
      <c r="M216" s="32">
        <f t="shared" si="34"/>
        <v>16</v>
      </c>
      <c r="N216" s="32" t="str">
        <f t="shared" si="29"/>
        <v>10</v>
      </c>
      <c r="P216" s="47"/>
    </row>
    <row r="217" spans="1:16" ht="12" customHeight="1" x14ac:dyDescent="0.3">
      <c r="A217" s="32">
        <v>4</v>
      </c>
      <c r="B217" s="46"/>
      <c r="C217" s="46"/>
      <c r="G217" s="35">
        <v>1</v>
      </c>
      <c r="H217" s="32">
        <v>1</v>
      </c>
      <c r="I217" s="32">
        <v>1</v>
      </c>
      <c r="J217" s="32">
        <v>1</v>
      </c>
      <c r="M217" s="32">
        <f t="shared" si="34"/>
        <v>30</v>
      </c>
      <c r="N217" s="32" t="str">
        <f t="shared" si="29"/>
        <v>1E</v>
      </c>
      <c r="P217" s="47"/>
    </row>
    <row r="218" spans="1:16" ht="12" customHeight="1" x14ac:dyDescent="0.3">
      <c r="A218" s="32">
        <v>5</v>
      </c>
      <c r="B218" s="46"/>
      <c r="C218" s="46"/>
      <c r="K218" s="32">
        <v>1</v>
      </c>
      <c r="M218" s="32">
        <f t="shared" si="34"/>
        <v>1</v>
      </c>
      <c r="N218" s="32" t="str">
        <f t="shared" si="29"/>
        <v>01</v>
      </c>
      <c r="P218" s="47"/>
    </row>
    <row r="219" spans="1:16" ht="12" customHeight="1" x14ac:dyDescent="0.3">
      <c r="A219" s="32">
        <v>6</v>
      </c>
      <c r="B219" s="46"/>
      <c r="C219" s="46"/>
      <c r="K219" s="32">
        <v>1</v>
      </c>
      <c r="M219" s="32">
        <f t="shared" si="34"/>
        <v>1</v>
      </c>
      <c r="N219" s="32" t="str">
        <f t="shared" si="29"/>
        <v>01</v>
      </c>
      <c r="P219" s="47"/>
    </row>
    <row r="220" spans="1:16" ht="12" customHeight="1" x14ac:dyDescent="0.3">
      <c r="A220" s="32">
        <v>7</v>
      </c>
      <c r="B220" s="46"/>
      <c r="C220" s="46"/>
      <c r="G220" s="35">
        <v>1</v>
      </c>
      <c r="K220" s="32">
        <v>1</v>
      </c>
      <c r="M220" s="32">
        <f t="shared" si="34"/>
        <v>17</v>
      </c>
      <c r="N220" s="32" t="str">
        <f t="shared" si="29"/>
        <v>11</v>
      </c>
      <c r="P220" s="47"/>
    </row>
    <row r="221" spans="1:16" ht="12" customHeight="1" x14ac:dyDescent="0.3">
      <c r="A221" s="32">
        <v>8</v>
      </c>
      <c r="B221" s="46"/>
      <c r="C221" s="46"/>
      <c r="H221" s="32">
        <v>1</v>
      </c>
      <c r="I221" s="32">
        <v>1</v>
      </c>
      <c r="J221" s="32">
        <v>1</v>
      </c>
      <c r="M221" s="32">
        <f t="shared" si="34"/>
        <v>14</v>
      </c>
      <c r="N221" s="32" t="str">
        <f t="shared" ref="N221:N252" si="37">DEC2HEX(M221,2)</f>
        <v>0E</v>
      </c>
      <c r="P221" s="47"/>
    </row>
    <row r="222" spans="1:16" ht="12" customHeight="1" x14ac:dyDescent="0.3">
      <c r="A222" s="32">
        <v>9</v>
      </c>
      <c r="B222" s="46"/>
      <c r="C222" s="46"/>
      <c r="M222" s="32">
        <f t="shared" si="34"/>
        <v>0</v>
      </c>
      <c r="N222" s="32" t="str">
        <f t="shared" si="37"/>
        <v>00</v>
      </c>
      <c r="P222" s="47"/>
    </row>
    <row r="223" spans="1:16" ht="12" customHeight="1" x14ac:dyDescent="0.3">
      <c r="A223" s="32">
        <v>10</v>
      </c>
      <c r="B223" s="46"/>
      <c r="C223" s="46"/>
      <c r="M223" s="32">
        <f t="shared" si="34"/>
        <v>0</v>
      </c>
      <c r="N223" s="32" t="str">
        <f t="shared" si="37"/>
        <v>00</v>
      </c>
      <c r="P223" s="47"/>
    </row>
    <row r="224" spans="1:16" ht="12" customHeight="1" x14ac:dyDescent="0.3">
      <c r="A224" s="32">
        <v>1</v>
      </c>
      <c r="B224" s="46">
        <v>54</v>
      </c>
      <c r="C224" s="46" t="str">
        <f t="shared" ref="C224:C284" si="38">CHAR(B224)</f>
        <v>6</v>
      </c>
      <c r="H224" s="32">
        <v>1</v>
      </c>
      <c r="I224" s="32">
        <v>1</v>
      </c>
      <c r="J224" s="32">
        <v>1</v>
      </c>
      <c r="M224" s="32">
        <f t="shared" si="34"/>
        <v>14</v>
      </c>
      <c r="N224" s="32" t="str">
        <f t="shared" si="37"/>
        <v>0E</v>
      </c>
      <c r="P224" s="47" t="str">
        <f t="shared" ref="P224" si="39">CONCATENATE("0x",N224,",0x",N225,",0x",N226,",0x",N227,",0x",N228,",0x",N229,",0x",N230,",0x",N231,",0x",N232,",0x",N233,", //",C224)</f>
        <v>0x0E,0x11,0x10,0x1E,0x11,0x11,0x11,0x0E,0x00,0x00, //6</v>
      </c>
    </row>
    <row r="225" spans="1:16" ht="12" customHeight="1" x14ac:dyDescent="0.3">
      <c r="A225" s="32">
        <v>2</v>
      </c>
      <c r="B225" s="46"/>
      <c r="C225" s="46"/>
      <c r="G225" s="35">
        <v>1</v>
      </c>
      <c r="K225" s="32">
        <v>1</v>
      </c>
      <c r="M225" s="32">
        <f t="shared" si="34"/>
        <v>17</v>
      </c>
      <c r="N225" s="32" t="str">
        <f t="shared" si="37"/>
        <v>11</v>
      </c>
      <c r="P225" s="47"/>
    </row>
    <row r="226" spans="1:16" ht="12" customHeight="1" x14ac:dyDescent="0.3">
      <c r="A226" s="32">
        <v>3</v>
      </c>
      <c r="B226" s="46"/>
      <c r="C226" s="46"/>
      <c r="G226" s="35">
        <v>1</v>
      </c>
      <c r="M226" s="32">
        <f t="shared" si="34"/>
        <v>16</v>
      </c>
      <c r="N226" s="32" t="str">
        <f t="shared" si="37"/>
        <v>10</v>
      </c>
      <c r="P226" s="47"/>
    </row>
    <row r="227" spans="1:16" ht="12" customHeight="1" x14ac:dyDescent="0.3">
      <c r="A227" s="32">
        <v>4</v>
      </c>
      <c r="B227" s="46"/>
      <c r="C227" s="46"/>
      <c r="G227" s="35">
        <v>1</v>
      </c>
      <c r="H227" s="32">
        <v>1</v>
      </c>
      <c r="I227" s="32">
        <v>1</v>
      </c>
      <c r="J227" s="32">
        <v>1</v>
      </c>
      <c r="M227" s="32">
        <f t="shared" si="34"/>
        <v>30</v>
      </c>
      <c r="N227" s="32" t="str">
        <f t="shared" si="37"/>
        <v>1E</v>
      </c>
      <c r="P227" s="47"/>
    </row>
    <row r="228" spans="1:16" ht="12" customHeight="1" x14ac:dyDescent="0.3">
      <c r="A228" s="32">
        <v>5</v>
      </c>
      <c r="B228" s="46"/>
      <c r="C228" s="46"/>
      <c r="G228" s="35">
        <v>1</v>
      </c>
      <c r="K228" s="32">
        <v>1</v>
      </c>
      <c r="M228" s="32">
        <f t="shared" si="34"/>
        <v>17</v>
      </c>
      <c r="N228" s="32" t="str">
        <f t="shared" si="37"/>
        <v>11</v>
      </c>
      <c r="P228" s="47"/>
    </row>
    <row r="229" spans="1:16" ht="12" customHeight="1" x14ac:dyDescent="0.3">
      <c r="A229" s="32">
        <v>6</v>
      </c>
      <c r="B229" s="46"/>
      <c r="C229" s="46"/>
      <c r="G229" s="35">
        <v>1</v>
      </c>
      <c r="K229" s="32">
        <v>1</v>
      </c>
      <c r="M229" s="32">
        <f t="shared" si="34"/>
        <v>17</v>
      </c>
      <c r="N229" s="32" t="str">
        <f t="shared" si="37"/>
        <v>11</v>
      </c>
      <c r="P229" s="47"/>
    </row>
    <row r="230" spans="1:16" ht="12" customHeight="1" x14ac:dyDescent="0.3">
      <c r="A230" s="32">
        <v>7</v>
      </c>
      <c r="B230" s="46"/>
      <c r="C230" s="46"/>
      <c r="G230" s="35">
        <v>1</v>
      </c>
      <c r="K230" s="32">
        <v>1</v>
      </c>
      <c r="M230" s="32">
        <f t="shared" si="34"/>
        <v>17</v>
      </c>
      <c r="N230" s="32" t="str">
        <f t="shared" si="37"/>
        <v>11</v>
      </c>
      <c r="P230" s="47"/>
    </row>
    <row r="231" spans="1:16" ht="12" customHeight="1" x14ac:dyDescent="0.3">
      <c r="A231" s="32">
        <v>8</v>
      </c>
      <c r="B231" s="46"/>
      <c r="C231" s="46"/>
      <c r="H231" s="32">
        <v>1</v>
      </c>
      <c r="I231" s="32">
        <v>1</v>
      </c>
      <c r="J231" s="32">
        <v>1</v>
      </c>
      <c r="M231" s="32">
        <f t="shared" si="34"/>
        <v>14</v>
      </c>
      <c r="N231" s="32" t="str">
        <f t="shared" si="37"/>
        <v>0E</v>
      </c>
      <c r="P231" s="47"/>
    </row>
    <row r="232" spans="1:16" ht="12" customHeight="1" x14ac:dyDescent="0.3">
      <c r="A232" s="32">
        <v>9</v>
      </c>
      <c r="B232" s="46"/>
      <c r="C232" s="46"/>
      <c r="M232" s="32">
        <f t="shared" si="34"/>
        <v>0</v>
      </c>
      <c r="N232" s="32" t="str">
        <f t="shared" si="37"/>
        <v>00</v>
      </c>
      <c r="P232" s="47"/>
    </row>
    <row r="233" spans="1:16" ht="12" customHeight="1" x14ac:dyDescent="0.3">
      <c r="A233" s="32">
        <v>10</v>
      </c>
      <c r="B233" s="46"/>
      <c r="C233" s="46"/>
      <c r="M233" s="32">
        <f t="shared" si="34"/>
        <v>0</v>
      </c>
      <c r="N233" s="32" t="str">
        <f t="shared" si="37"/>
        <v>00</v>
      </c>
      <c r="P233" s="47"/>
    </row>
    <row r="234" spans="1:16" ht="12" customHeight="1" x14ac:dyDescent="0.3">
      <c r="A234" s="32">
        <v>1</v>
      </c>
      <c r="B234" s="46">
        <v>55</v>
      </c>
      <c r="C234" s="46" t="str">
        <f t="shared" si="38"/>
        <v>7</v>
      </c>
      <c r="G234" s="35">
        <v>1</v>
      </c>
      <c r="H234" s="32">
        <v>1</v>
      </c>
      <c r="I234" s="32">
        <v>1</v>
      </c>
      <c r="J234" s="32">
        <v>1</v>
      </c>
      <c r="K234" s="32">
        <v>1</v>
      </c>
      <c r="M234" s="32">
        <f t="shared" si="34"/>
        <v>31</v>
      </c>
      <c r="N234" s="32" t="str">
        <f t="shared" si="37"/>
        <v>1F</v>
      </c>
      <c r="P234" s="47" t="str">
        <f t="shared" ref="P234" si="40">CONCATENATE("0x",N234,",0x",N235,",0x",N236,",0x",N237,",0x",N238,",0x",N239,",0x",N240,",0x",N241,",0x",N242,",0x",N243,", //",C234)</f>
        <v>0x1F,0x01,0x01,0x02,0x04,0x08,0x10,0x10,0x00,0x00, //7</v>
      </c>
    </row>
    <row r="235" spans="1:16" ht="12" customHeight="1" x14ac:dyDescent="0.3">
      <c r="A235" s="32">
        <v>2</v>
      </c>
      <c r="B235" s="46"/>
      <c r="C235" s="46"/>
      <c r="K235" s="32">
        <v>1</v>
      </c>
      <c r="M235" s="32">
        <f t="shared" si="34"/>
        <v>1</v>
      </c>
      <c r="N235" s="32" t="str">
        <f t="shared" si="37"/>
        <v>01</v>
      </c>
      <c r="P235" s="47"/>
    </row>
    <row r="236" spans="1:16" ht="12" customHeight="1" x14ac:dyDescent="0.3">
      <c r="A236" s="32">
        <v>3</v>
      </c>
      <c r="B236" s="46"/>
      <c r="C236" s="46"/>
      <c r="K236" s="32">
        <v>1</v>
      </c>
      <c r="M236" s="32">
        <f t="shared" si="34"/>
        <v>1</v>
      </c>
      <c r="N236" s="32" t="str">
        <f t="shared" si="37"/>
        <v>01</v>
      </c>
      <c r="P236" s="47"/>
    </row>
    <row r="237" spans="1:16" ht="12" customHeight="1" x14ac:dyDescent="0.3">
      <c r="A237" s="32">
        <v>4</v>
      </c>
      <c r="B237" s="46"/>
      <c r="C237" s="46"/>
      <c r="J237" s="32">
        <v>1</v>
      </c>
      <c r="M237" s="32">
        <f t="shared" si="34"/>
        <v>2</v>
      </c>
      <c r="N237" s="32" t="str">
        <f t="shared" si="37"/>
        <v>02</v>
      </c>
      <c r="P237" s="47"/>
    </row>
    <row r="238" spans="1:16" ht="12" customHeight="1" x14ac:dyDescent="0.3">
      <c r="A238" s="32">
        <v>5</v>
      </c>
      <c r="B238" s="46"/>
      <c r="C238" s="46"/>
      <c r="I238" s="32">
        <v>1</v>
      </c>
      <c r="M238" s="32">
        <f t="shared" si="34"/>
        <v>4</v>
      </c>
      <c r="N238" s="32" t="str">
        <f t="shared" si="37"/>
        <v>04</v>
      </c>
      <c r="P238" s="47"/>
    </row>
    <row r="239" spans="1:16" ht="12" customHeight="1" x14ac:dyDescent="0.3">
      <c r="A239" s="32">
        <v>6</v>
      </c>
      <c r="B239" s="46"/>
      <c r="C239" s="46"/>
      <c r="H239" s="32">
        <v>1</v>
      </c>
      <c r="M239" s="32">
        <f t="shared" si="34"/>
        <v>8</v>
      </c>
      <c r="N239" s="32" t="str">
        <f t="shared" si="37"/>
        <v>08</v>
      </c>
      <c r="P239" s="47"/>
    </row>
    <row r="240" spans="1:16" ht="12" customHeight="1" x14ac:dyDescent="0.3">
      <c r="A240" s="32">
        <v>7</v>
      </c>
      <c r="B240" s="46"/>
      <c r="C240" s="46"/>
      <c r="G240" s="35">
        <v>1</v>
      </c>
      <c r="M240" s="32">
        <f t="shared" si="34"/>
        <v>16</v>
      </c>
      <c r="N240" s="32" t="str">
        <f t="shared" si="37"/>
        <v>10</v>
      </c>
      <c r="P240" s="47"/>
    </row>
    <row r="241" spans="1:16" ht="12" customHeight="1" x14ac:dyDescent="0.3">
      <c r="A241" s="32">
        <v>8</v>
      </c>
      <c r="B241" s="46"/>
      <c r="C241" s="46"/>
      <c r="G241" s="35">
        <v>1</v>
      </c>
      <c r="M241" s="32">
        <f t="shared" si="34"/>
        <v>16</v>
      </c>
      <c r="N241" s="32" t="str">
        <f t="shared" si="37"/>
        <v>10</v>
      </c>
      <c r="P241" s="47"/>
    </row>
    <row r="242" spans="1:16" ht="12" customHeight="1" x14ac:dyDescent="0.3">
      <c r="A242" s="32">
        <v>9</v>
      </c>
      <c r="B242" s="46"/>
      <c r="C242" s="46"/>
      <c r="M242" s="32">
        <f t="shared" si="34"/>
        <v>0</v>
      </c>
      <c r="N242" s="32" t="str">
        <f t="shared" si="37"/>
        <v>00</v>
      </c>
      <c r="P242" s="47"/>
    </row>
    <row r="243" spans="1:16" ht="12" customHeight="1" x14ac:dyDescent="0.3">
      <c r="A243" s="32">
        <v>10</v>
      </c>
      <c r="B243" s="46"/>
      <c r="C243" s="46"/>
      <c r="M243" s="32">
        <f t="shared" si="34"/>
        <v>0</v>
      </c>
      <c r="N243" s="32" t="str">
        <f t="shared" si="37"/>
        <v>00</v>
      </c>
      <c r="P243" s="47"/>
    </row>
    <row r="244" spans="1:16" ht="12" customHeight="1" x14ac:dyDescent="0.3">
      <c r="A244" s="32">
        <v>1</v>
      </c>
      <c r="B244" s="46">
        <v>56</v>
      </c>
      <c r="C244" s="46" t="str">
        <f t="shared" si="38"/>
        <v>8</v>
      </c>
      <c r="H244" s="32">
        <v>1</v>
      </c>
      <c r="I244" s="32">
        <v>1</v>
      </c>
      <c r="J244" s="32">
        <v>1</v>
      </c>
      <c r="M244" s="32">
        <f t="shared" si="34"/>
        <v>14</v>
      </c>
      <c r="N244" s="32" t="str">
        <f t="shared" si="37"/>
        <v>0E</v>
      </c>
      <c r="P244" s="47" t="str">
        <f t="shared" ref="P244" si="41">CONCATENATE("0x",N244,",0x",N245,",0x",N246,",0x",N247,",0x",N248,",0x",N249,",0x",N250,",0x",N251,",0x",N252,",0x",N253,", //",C244)</f>
        <v>0x0E,0x11,0x11,0x0E,0x11,0x11,0x11,0x0E,0x00,0x00, //8</v>
      </c>
    </row>
    <row r="245" spans="1:16" ht="12" customHeight="1" x14ac:dyDescent="0.3">
      <c r="A245" s="32">
        <v>2</v>
      </c>
      <c r="B245" s="46"/>
      <c r="C245" s="46"/>
      <c r="G245" s="35">
        <v>1</v>
      </c>
      <c r="K245" s="32">
        <v>1</v>
      </c>
      <c r="M245" s="32">
        <f t="shared" si="34"/>
        <v>17</v>
      </c>
      <c r="N245" s="32" t="str">
        <f t="shared" si="37"/>
        <v>11</v>
      </c>
      <c r="P245" s="47"/>
    </row>
    <row r="246" spans="1:16" ht="12" customHeight="1" x14ac:dyDescent="0.3">
      <c r="A246" s="32">
        <v>3</v>
      </c>
      <c r="B246" s="46"/>
      <c r="C246" s="46"/>
      <c r="G246" s="35">
        <v>1</v>
      </c>
      <c r="K246" s="32">
        <v>1</v>
      </c>
      <c r="M246" s="32">
        <f t="shared" si="34"/>
        <v>17</v>
      </c>
      <c r="N246" s="32" t="str">
        <f t="shared" si="37"/>
        <v>11</v>
      </c>
      <c r="P246" s="47"/>
    </row>
    <row r="247" spans="1:16" ht="12" customHeight="1" x14ac:dyDescent="0.3">
      <c r="A247" s="32">
        <v>4</v>
      </c>
      <c r="B247" s="46"/>
      <c r="C247" s="46"/>
      <c r="H247" s="32">
        <v>1</v>
      </c>
      <c r="I247" s="32">
        <v>1</v>
      </c>
      <c r="J247" s="32">
        <v>1</v>
      </c>
      <c r="M247" s="32">
        <f t="shared" si="34"/>
        <v>14</v>
      </c>
      <c r="N247" s="32" t="str">
        <f t="shared" si="37"/>
        <v>0E</v>
      </c>
      <c r="P247" s="47"/>
    </row>
    <row r="248" spans="1:16" ht="12" customHeight="1" x14ac:dyDescent="0.3">
      <c r="A248" s="32">
        <v>5</v>
      </c>
      <c r="B248" s="46"/>
      <c r="C248" s="46"/>
      <c r="G248" s="35">
        <v>1</v>
      </c>
      <c r="K248" s="32">
        <v>1</v>
      </c>
      <c r="M248" s="32">
        <f t="shared" si="34"/>
        <v>17</v>
      </c>
      <c r="N248" s="32" t="str">
        <f t="shared" si="37"/>
        <v>11</v>
      </c>
      <c r="P248" s="47"/>
    </row>
    <row r="249" spans="1:16" ht="12" customHeight="1" x14ac:dyDescent="0.3">
      <c r="A249" s="32">
        <v>6</v>
      </c>
      <c r="B249" s="46"/>
      <c r="C249" s="46"/>
      <c r="G249" s="35">
        <v>1</v>
      </c>
      <c r="K249" s="32">
        <v>1</v>
      </c>
      <c r="M249" s="32">
        <f t="shared" si="34"/>
        <v>17</v>
      </c>
      <c r="N249" s="32" t="str">
        <f t="shared" si="37"/>
        <v>11</v>
      </c>
      <c r="P249" s="47"/>
    </row>
    <row r="250" spans="1:16" ht="12" customHeight="1" x14ac:dyDescent="0.3">
      <c r="A250" s="32">
        <v>7</v>
      </c>
      <c r="B250" s="46"/>
      <c r="C250" s="46"/>
      <c r="G250" s="35">
        <v>1</v>
      </c>
      <c r="K250" s="32">
        <v>1</v>
      </c>
      <c r="M250" s="32">
        <f t="shared" si="34"/>
        <v>17</v>
      </c>
      <c r="N250" s="32" t="str">
        <f t="shared" si="37"/>
        <v>11</v>
      </c>
      <c r="P250" s="47"/>
    </row>
    <row r="251" spans="1:16" ht="12" customHeight="1" x14ac:dyDescent="0.3">
      <c r="A251" s="32">
        <v>8</v>
      </c>
      <c r="B251" s="46"/>
      <c r="C251" s="46"/>
      <c r="H251" s="32">
        <v>1</v>
      </c>
      <c r="I251" s="32">
        <v>1</v>
      </c>
      <c r="J251" s="32">
        <v>1</v>
      </c>
      <c r="M251" s="32">
        <f t="shared" si="34"/>
        <v>14</v>
      </c>
      <c r="N251" s="32" t="str">
        <f t="shared" si="37"/>
        <v>0E</v>
      </c>
      <c r="P251" s="47"/>
    </row>
    <row r="252" spans="1:16" ht="12" customHeight="1" x14ac:dyDescent="0.3">
      <c r="A252" s="32">
        <v>9</v>
      </c>
      <c r="B252" s="46"/>
      <c r="C252" s="46"/>
      <c r="M252" s="32">
        <f t="shared" si="34"/>
        <v>0</v>
      </c>
      <c r="N252" s="32" t="str">
        <f t="shared" si="37"/>
        <v>00</v>
      </c>
      <c r="P252" s="47"/>
    </row>
    <row r="253" spans="1:16" ht="12" customHeight="1" x14ac:dyDescent="0.3">
      <c r="A253" s="32">
        <v>10</v>
      </c>
      <c r="B253" s="46"/>
      <c r="C253" s="46"/>
      <c r="M253" s="32">
        <f t="shared" si="34"/>
        <v>0</v>
      </c>
      <c r="N253" s="32" t="str">
        <f t="shared" ref="N253:N284" si="42">DEC2HEX(M253,2)</f>
        <v>00</v>
      </c>
      <c r="P253" s="47"/>
    </row>
    <row r="254" spans="1:16" ht="12" customHeight="1" x14ac:dyDescent="0.3">
      <c r="A254" s="32">
        <v>1</v>
      </c>
      <c r="B254" s="46">
        <v>57</v>
      </c>
      <c r="C254" s="46" t="str">
        <f t="shared" si="38"/>
        <v>9</v>
      </c>
      <c r="H254" s="32">
        <v>1</v>
      </c>
      <c r="I254" s="32">
        <v>1</v>
      </c>
      <c r="J254" s="32">
        <v>1</v>
      </c>
      <c r="M254" s="32">
        <f t="shared" si="34"/>
        <v>14</v>
      </c>
      <c r="N254" s="32" t="str">
        <f t="shared" si="42"/>
        <v>0E</v>
      </c>
      <c r="P254" s="47" t="str">
        <f t="shared" ref="P254" si="43">CONCATENATE("0x",N254,",0x",N255,",0x",N256,",0x",N257,",0x",N258,",0x",N259,",0x",N260,",0x",N261,",0x",N262,",0x",N263,", //",C254)</f>
        <v>0x0E,0x11,0x11,0x0F,0x01,0x01,0x11,0x0E,0x00,0x00, //9</v>
      </c>
    </row>
    <row r="255" spans="1:16" ht="12" customHeight="1" x14ac:dyDescent="0.3">
      <c r="A255" s="32">
        <v>2</v>
      </c>
      <c r="B255" s="46"/>
      <c r="C255" s="46"/>
      <c r="G255" s="35">
        <v>1</v>
      </c>
      <c r="K255" s="32">
        <v>1</v>
      </c>
      <c r="M255" s="32">
        <f t="shared" si="34"/>
        <v>17</v>
      </c>
      <c r="N255" s="32" t="str">
        <f t="shared" si="42"/>
        <v>11</v>
      </c>
      <c r="P255" s="47"/>
    </row>
    <row r="256" spans="1:16" ht="12" customHeight="1" x14ac:dyDescent="0.3">
      <c r="A256" s="32">
        <v>3</v>
      </c>
      <c r="B256" s="46"/>
      <c r="C256" s="46"/>
      <c r="G256" s="35">
        <v>1</v>
      </c>
      <c r="K256" s="32">
        <v>1</v>
      </c>
      <c r="M256" s="32">
        <f t="shared" si="34"/>
        <v>17</v>
      </c>
      <c r="N256" s="32" t="str">
        <f t="shared" si="42"/>
        <v>11</v>
      </c>
      <c r="P256" s="47"/>
    </row>
    <row r="257" spans="1:16" ht="12" customHeight="1" x14ac:dyDescent="0.3">
      <c r="A257" s="32">
        <v>4</v>
      </c>
      <c r="B257" s="46"/>
      <c r="C257" s="46"/>
      <c r="H257" s="32">
        <v>1</v>
      </c>
      <c r="I257" s="32">
        <v>1</v>
      </c>
      <c r="J257" s="32">
        <v>1</v>
      </c>
      <c r="K257" s="32">
        <v>1</v>
      </c>
      <c r="M257" s="32">
        <f t="shared" si="34"/>
        <v>15</v>
      </c>
      <c r="N257" s="32" t="str">
        <f t="shared" si="42"/>
        <v>0F</v>
      </c>
      <c r="P257" s="47"/>
    </row>
    <row r="258" spans="1:16" ht="12" customHeight="1" x14ac:dyDescent="0.3">
      <c r="A258" s="32">
        <v>5</v>
      </c>
      <c r="B258" s="46"/>
      <c r="C258" s="46"/>
      <c r="K258" s="32">
        <v>1</v>
      </c>
      <c r="M258" s="32">
        <f t="shared" si="34"/>
        <v>1</v>
      </c>
      <c r="N258" s="32" t="str">
        <f t="shared" si="42"/>
        <v>01</v>
      </c>
      <c r="P258" s="47"/>
    </row>
    <row r="259" spans="1:16" ht="12" customHeight="1" x14ac:dyDescent="0.3">
      <c r="A259" s="32">
        <v>6</v>
      </c>
      <c r="B259" s="46"/>
      <c r="C259" s="46"/>
      <c r="K259" s="32">
        <v>1</v>
      </c>
      <c r="M259" s="32">
        <f t="shared" si="34"/>
        <v>1</v>
      </c>
      <c r="N259" s="32" t="str">
        <f t="shared" si="42"/>
        <v>01</v>
      </c>
      <c r="P259" s="47"/>
    </row>
    <row r="260" spans="1:16" ht="12" customHeight="1" x14ac:dyDescent="0.3">
      <c r="A260" s="32">
        <v>7</v>
      </c>
      <c r="B260" s="46"/>
      <c r="C260" s="46"/>
      <c r="G260" s="35">
        <v>1</v>
      </c>
      <c r="K260" s="32">
        <v>1</v>
      </c>
      <c r="M260" s="32">
        <f t="shared" si="34"/>
        <v>17</v>
      </c>
      <c r="N260" s="32" t="str">
        <f t="shared" si="42"/>
        <v>11</v>
      </c>
      <c r="P260" s="47"/>
    </row>
    <row r="261" spans="1:16" ht="12" customHeight="1" x14ac:dyDescent="0.3">
      <c r="A261" s="32">
        <v>8</v>
      </c>
      <c r="B261" s="46"/>
      <c r="C261" s="46"/>
      <c r="H261" s="32">
        <v>1</v>
      </c>
      <c r="I261" s="32">
        <v>1</v>
      </c>
      <c r="J261" s="32">
        <v>1</v>
      </c>
      <c r="M261" s="32">
        <f t="shared" ref="M261:M334" si="44">G261*G$2+H261*H$2+I261*I$2+J261*J$2+K261*K$2+F261*F$2+E261*E$2+D261*D$2</f>
        <v>14</v>
      </c>
      <c r="N261" s="32" t="str">
        <f t="shared" si="42"/>
        <v>0E</v>
      </c>
      <c r="P261" s="47"/>
    </row>
    <row r="262" spans="1:16" ht="12" customHeight="1" x14ac:dyDescent="0.3">
      <c r="A262" s="32">
        <v>9</v>
      </c>
      <c r="B262" s="46"/>
      <c r="C262" s="46"/>
      <c r="M262" s="32">
        <f t="shared" si="44"/>
        <v>0</v>
      </c>
      <c r="N262" s="32" t="str">
        <f t="shared" si="42"/>
        <v>00</v>
      </c>
      <c r="P262" s="47"/>
    </row>
    <row r="263" spans="1:16" ht="12" customHeight="1" x14ac:dyDescent="0.3">
      <c r="A263" s="32">
        <v>10</v>
      </c>
      <c r="B263" s="46"/>
      <c r="C263" s="46"/>
      <c r="M263" s="32">
        <f t="shared" si="44"/>
        <v>0</v>
      </c>
      <c r="N263" s="32" t="str">
        <f t="shared" si="42"/>
        <v>00</v>
      </c>
      <c r="P263" s="47"/>
    </row>
    <row r="264" spans="1:16" ht="12" customHeight="1" x14ac:dyDescent="0.3">
      <c r="A264" s="32">
        <v>1</v>
      </c>
      <c r="B264" s="46">
        <v>58</v>
      </c>
      <c r="C264" s="46" t="str">
        <f t="shared" si="38"/>
        <v>:</v>
      </c>
      <c r="M264" s="32">
        <f t="shared" si="44"/>
        <v>0</v>
      </c>
      <c r="N264" s="32" t="str">
        <f t="shared" si="42"/>
        <v>00</v>
      </c>
      <c r="P264" s="47" t="str">
        <f t="shared" ref="P264" si="45">CONCATENATE("0x",N264,",0x",N265,",0x",N266,",0x",N267,",0x",N268,",0x",N269,",0x",N270,",0x",N271,",0x",N272,",0x",N273,", //",C264)</f>
        <v>0x00,0x00,0x00,0x01,0x00,0x00,0x00,0x01,0x00,0x00, //:</v>
      </c>
    </row>
    <row r="265" spans="1:16" ht="12" customHeight="1" x14ac:dyDescent="0.3">
      <c r="A265" s="32">
        <v>2</v>
      </c>
      <c r="B265" s="46"/>
      <c r="C265" s="46"/>
      <c r="M265" s="32">
        <f t="shared" si="44"/>
        <v>0</v>
      </c>
      <c r="N265" s="32" t="str">
        <f t="shared" si="42"/>
        <v>00</v>
      </c>
      <c r="P265" s="47"/>
    </row>
    <row r="266" spans="1:16" ht="12" customHeight="1" x14ac:dyDescent="0.3">
      <c r="A266" s="32">
        <v>3</v>
      </c>
      <c r="B266" s="46"/>
      <c r="C266" s="46"/>
      <c r="M266" s="32">
        <f t="shared" si="44"/>
        <v>0</v>
      </c>
      <c r="N266" s="32" t="str">
        <f t="shared" si="42"/>
        <v>00</v>
      </c>
      <c r="P266" s="47"/>
    </row>
    <row r="267" spans="1:16" ht="12" customHeight="1" x14ac:dyDescent="0.3">
      <c r="A267" s="32">
        <v>4</v>
      </c>
      <c r="B267" s="46"/>
      <c r="C267" s="46"/>
      <c r="K267" s="32">
        <v>1</v>
      </c>
      <c r="M267" s="32">
        <f t="shared" si="44"/>
        <v>1</v>
      </c>
      <c r="N267" s="32" t="str">
        <f t="shared" si="42"/>
        <v>01</v>
      </c>
      <c r="P267" s="47"/>
    </row>
    <row r="268" spans="1:16" ht="12" customHeight="1" x14ac:dyDescent="0.3">
      <c r="A268" s="32">
        <v>5</v>
      </c>
      <c r="B268" s="46"/>
      <c r="C268" s="46"/>
      <c r="M268" s="32">
        <f t="shared" si="44"/>
        <v>0</v>
      </c>
      <c r="N268" s="32" t="str">
        <f t="shared" si="42"/>
        <v>00</v>
      </c>
      <c r="P268" s="47"/>
    </row>
    <row r="269" spans="1:16" ht="12" customHeight="1" x14ac:dyDescent="0.3">
      <c r="A269" s="32">
        <v>6</v>
      </c>
      <c r="B269" s="46"/>
      <c r="C269" s="46"/>
      <c r="M269" s="32">
        <f t="shared" si="44"/>
        <v>0</v>
      </c>
      <c r="N269" s="32" t="str">
        <f t="shared" si="42"/>
        <v>00</v>
      </c>
      <c r="P269" s="47"/>
    </row>
    <row r="270" spans="1:16" ht="12" customHeight="1" x14ac:dyDescent="0.3">
      <c r="A270" s="32">
        <v>7</v>
      </c>
      <c r="B270" s="46"/>
      <c r="C270" s="46"/>
      <c r="M270" s="32">
        <f t="shared" si="44"/>
        <v>0</v>
      </c>
      <c r="N270" s="32" t="str">
        <f t="shared" si="42"/>
        <v>00</v>
      </c>
      <c r="P270" s="47"/>
    </row>
    <row r="271" spans="1:16" ht="12" customHeight="1" x14ac:dyDescent="0.3">
      <c r="A271" s="32">
        <v>8</v>
      </c>
      <c r="B271" s="46"/>
      <c r="C271" s="46"/>
      <c r="K271" s="32">
        <v>1</v>
      </c>
      <c r="M271" s="32">
        <f t="shared" si="44"/>
        <v>1</v>
      </c>
      <c r="N271" s="32" t="str">
        <f t="shared" si="42"/>
        <v>01</v>
      </c>
      <c r="P271" s="47"/>
    </row>
    <row r="272" spans="1:16" ht="12" customHeight="1" x14ac:dyDescent="0.3">
      <c r="A272" s="32">
        <v>9</v>
      </c>
      <c r="B272" s="46"/>
      <c r="C272" s="46"/>
      <c r="M272" s="32">
        <f t="shared" si="44"/>
        <v>0</v>
      </c>
      <c r="N272" s="32" t="str">
        <f t="shared" si="42"/>
        <v>00</v>
      </c>
      <c r="P272" s="47"/>
    </row>
    <row r="273" spans="1:16" ht="12" customHeight="1" x14ac:dyDescent="0.3">
      <c r="A273" s="32">
        <v>10</v>
      </c>
      <c r="B273" s="46"/>
      <c r="C273" s="46"/>
      <c r="M273" s="32">
        <f t="shared" si="44"/>
        <v>0</v>
      </c>
      <c r="N273" s="32" t="str">
        <f t="shared" si="42"/>
        <v>00</v>
      </c>
      <c r="P273" s="47"/>
    </row>
    <row r="274" spans="1:16" ht="12" customHeight="1" x14ac:dyDescent="0.3">
      <c r="A274" s="32">
        <v>1</v>
      </c>
      <c r="B274" s="46">
        <v>59</v>
      </c>
      <c r="C274" s="46" t="str">
        <f t="shared" si="38"/>
        <v>;</v>
      </c>
      <c r="M274" s="32">
        <f t="shared" si="44"/>
        <v>0</v>
      </c>
      <c r="N274" s="32" t="str">
        <f t="shared" si="42"/>
        <v>00</v>
      </c>
      <c r="P274" s="47" t="str">
        <f t="shared" ref="P274" si="46">CONCATENATE("0x",N274,",0x",N275,",0x",N276,",0x",N277,",0x",N278,",0x",N279,",0x",N280,",0x",N281,",0x",N282,",0x",N283,", //",C274)</f>
        <v>0x00,0x00,0x00,0x01,0x00,0x00,0x00,0x01,0x01,0x02, //;</v>
      </c>
    </row>
    <row r="275" spans="1:16" ht="12" customHeight="1" x14ac:dyDescent="0.3">
      <c r="A275" s="32">
        <v>2</v>
      </c>
      <c r="B275" s="46"/>
      <c r="C275" s="46"/>
      <c r="M275" s="32">
        <f t="shared" si="44"/>
        <v>0</v>
      </c>
      <c r="N275" s="32" t="str">
        <f t="shared" si="42"/>
        <v>00</v>
      </c>
      <c r="P275" s="47"/>
    </row>
    <row r="276" spans="1:16" ht="12" customHeight="1" x14ac:dyDescent="0.3">
      <c r="A276" s="32">
        <v>3</v>
      </c>
      <c r="B276" s="46"/>
      <c r="C276" s="46"/>
      <c r="M276" s="32">
        <f t="shared" si="44"/>
        <v>0</v>
      </c>
      <c r="N276" s="32" t="str">
        <f t="shared" si="42"/>
        <v>00</v>
      </c>
      <c r="P276" s="47"/>
    </row>
    <row r="277" spans="1:16" ht="12" customHeight="1" x14ac:dyDescent="0.3">
      <c r="A277" s="32">
        <v>4</v>
      </c>
      <c r="B277" s="46"/>
      <c r="C277" s="46"/>
      <c r="K277" s="32">
        <v>1</v>
      </c>
      <c r="M277" s="32">
        <f t="shared" si="44"/>
        <v>1</v>
      </c>
      <c r="N277" s="32" t="str">
        <f t="shared" si="42"/>
        <v>01</v>
      </c>
      <c r="P277" s="47"/>
    </row>
    <row r="278" spans="1:16" ht="12" customHeight="1" x14ac:dyDescent="0.3">
      <c r="A278" s="32">
        <v>5</v>
      </c>
      <c r="B278" s="46"/>
      <c r="C278" s="46"/>
      <c r="M278" s="32">
        <f t="shared" si="44"/>
        <v>0</v>
      </c>
      <c r="N278" s="32" t="str">
        <f t="shared" si="42"/>
        <v>00</v>
      </c>
      <c r="P278" s="47"/>
    </row>
    <row r="279" spans="1:16" ht="12" customHeight="1" x14ac:dyDescent="0.3">
      <c r="A279" s="32">
        <v>6</v>
      </c>
      <c r="B279" s="46"/>
      <c r="C279" s="46"/>
      <c r="M279" s="32">
        <f t="shared" si="44"/>
        <v>0</v>
      </c>
      <c r="N279" s="32" t="str">
        <f t="shared" si="42"/>
        <v>00</v>
      </c>
      <c r="P279" s="47"/>
    </row>
    <row r="280" spans="1:16" ht="12" customHeight="1" x14ac:dyDescent="0.3">
      <c r="A280" s="32">
        <v>7</v>
      </c>
      <c r="B280" s="46"/>
      <c r="C280" s="46"/>
      <c r="M280" s="32">
        <f t="shared" si="44"/>
        <v>0</v>
      </c>
      <c r="N280" s="32" t="str">
        <f t="shared" si="42"/>
        <v>00</v>
      </c>
      <c r="P280" s="47"/>
    </row>
    <row r="281" spans="1:16" ht="12" customHeight="1" x14ac:dyDescent="0.3">
      <c r="A281" s="32">
        <v>8</v>
      </c>
      <c r="B281" s="46"/>
      <c r="C281" s="46"/>
      <c r="K281" s="32">
        <v>1</v>
      </c>
      <c r="M281" s="32">
        <f t="shared" si="44"/>
        <v>1</v>
      </c>
      <c r="N281" s="32" t="str">
        <f t="shared" si="42"/>
        <v>01</v>
      </c>
      <c r="P281" s="47"/>
    </row>
    <row r="282" spans="1:16" ht="12" customHeight="1" x14ac:dyDescent="0.3">
      <c r="A282" s="32">
        <v>9</v>
      </c>
      <c r="B282" s="46"/>
      <c r="C282" s="46"/>
      <c r="K282" s="32">
        <v>1</v>
      </c>
      <c r="M282" s="32">
        <f t="shared" si="44"/>
        <v>1</v>
      </c>
      <c r="N282" s="32" t="str">
        <f t="shared" si="42"/>
        <v>01</v>
      </c>
      <c r="P282" s="47"/>
    </row>
    <row r="283" spans="1:16" ht="12" customHeight="1" x14ac:dyDescent="0.3">
      <c r="A283" s="32">
        <v>10</v>
      </c>
      <c r="B283" s="46"/>
      <c r="C283" s="46"/>
      <c r="J283" s="32">
        <v>1</v>
      </c>
      <c r="M283" s="32">
        <f t="shared" si="44"/>
        <v>2</v>
      </c>
      <c r="N283" s="32" t="str">
        <f t="shared" si="42"/>
        <v>02</v>
      </c>
      <c r="P283" s="47"/>
    </row>
    <row r="284" spans="1:16" ht="12" customHeight="1" x14ac:dyDescent="0.3">
      <c r="A284" s="32">
        <v>1</v>
      </c>
      <c r="B284" s="46">
        <v>60</v>
      </c>
      <c r="C284" s="46" t="str">
        <f t="shared" si="38"/>
        <v>&lt;</v>
      </c>
      <c r="K284" s="32">
        <v>1</v>
      </c>
      <c r="M284" s="32">
        <f t="shared" si="44"/>
        <v>1</v>
      </c>
      <c r="N284" s="32" t="str">
        <f t="shared" si="42"/>
        <v>01</v>
      </c>
      <c r="P284" s="47" t="str">
        <f t="shared" ref="P284" si="47">CONCATENATE("0x",N284,",0x",N285,",0x",N286,",0x",N287,",0x",N288,",0x",N289,",0x",N290,",0x",N291,",0x",N292,",0x",N293,", //",C284)</f>
        <v>0x01,0x03,0x07,0x0F,0x0F,0x07,0x03,0x01,0x00,0x00, //&lt;</v>
      </c>
    </row>
    <row r="285" spans="1:16" ht="12" customHeight="1" x14ac:dyDescent="0.3">
      <c r="A285" s="32">
        <v>2</v>
      </c>
      <c r="B285" s="46"/>
      <c r="C285" s="46"/>
      <c r="J285" s="32">
        <v>1</v>
      </c>
      <c r="K285" s="32">
        <v>1</v>
      </c>
      <c r="M285" s="32">
        <f t="shared" si="44"/>
        <v>3</v>
      </c>
      <c r="N285" s="32" t="str">
        <f t="shared" ref="N285:N326" si="48">DEC2HEX(M285,2)</f>
        <v>03</v>
      </c>
      <c r="P285" s="47"/>
    </row>
    <row r="286" spans="1:16" ht="12" customHeight="1" x14ac:dyDescent="0.3">
      <c r="A286" s="32">
        <v>3</v>
      </c>
      <c r="B286" s="46"/>
      <c r="C286" s="46"/>
      <c r="I286" s="32">
        <v>1</v>
      </c>
      <c r="J286" s="32">
        <v>1</v>
      </c>
      <c r="K286" s="32">
        <v>1</v>
      </c>
      <c r="M286" s="32">
        <f t="shared" si="44"/>
        <v>7</v>
      </c>
      <c r="N286" s="32" t="str">
        <f t="shared" si="48"/>
        <v>07</v>
      </c>
      <c r="P286" s="47"/>
    </row>
    <row r="287" spans="1:16" ht="12" customHeight="1" x14ac:dyDescent="0.3">
      <c r="A287" s="32">
        <v>4</v>
      </c>
      <c r="B287" s="46"/>
      <c r="C287" s="46"/>
      <c r="H287" s="32">
        <v>1</v>
      </c>
      <c r="I287" s="32">
        <v>1</v>
      </c>
      <c r="J287" s="32">
        <v>1</v>
      </c>
      <c r="K287" s="32">
        <v>1</v>
      </c>
      <c r="M287" s="32">
        <f t="shared" si="44"/>
        <v>15</v>
      </c>
      <c r="N287" s="32" t="str">
        <f t="shared" si="48"/>
        <v>0F</v>
      </c>
      <c r="P287" s="47"/>
    </row>
    <row r="288" spans="1:16" ht="12" customHeight="1" x14ac:dyDescent="0.3">
      <c r="A288" s="32">
        <v>5</v>
      </c>
      <c r="B288" s="46"/>
      <c r="C288" s="46"/>
      <c r="H288" s="32">
        <v>1</v>
      </c>
      <c r="I288" s="32">
        <v>1</v>
      </c>
      <c r="J288" s="32">
        <v>1</v>
      </c>
      <c r="K288" s="32">
        <v>1</v>
      </c>
      <c r="M288" s="32">
        <f t="shared" si="44"/>
        <v>15</v>
      </c>
      <c r="N288" s="32" t="str">
        <f t="shared" si="48"/>
        <v>0F</v>
      </c>
      <c r="P288" s="47"/>
    </row>
    <row r="289" spans="1:16" ht="12" customHeight="1" x14ac:dyDescent="0.3">
      <c r="A289" s="32">
        <v>6</v>
      </c>
      <c r="B289" s="46"/>
      <c r="C289" s="46"/>
      <c r="I289" s="32">
        <v>1</v>
      </c>
      <c r="J289" s="32">
        <v>1</v>
      </c>
      <c r="K289" s="32">
        <v>1</v>
      </c>
      <c r="M289" s="32">
        <f t="shared" si="44"/>
        <v>7</v>
      </c>
      <c r="N289" s="32" t="str">
        <f t="shared" si="48"/>
        <v>07</v>
      </c>
      <c r="P289" s="47"/>
    </row>
    <row r="290" spans="1:16" ht="12" customHeight="1" x14ac:dyDescent="0.3">
      <c r="A290" s="32">
        <v>7</v>
      </c>
      <c r="B290" s="46"/>
      <c r="C290" s="46"/>
      <c r="J290" s="32">
        <v>1</v>
      </c>
      <c r="K290" s="32">
        <v>1</v>
      </c>
      <c r="M290" s="32">
        <f t="shared" si="44"/>
        <v>3</v>
      </c>
      <c r="N290" s="32" t="str">
        <f t="shared" si="48"/>
        <v>03</v>
      </c>
      <c r="P290" s="47"/>
    </row>
    <row r="291" spans="1:16" ht="12" customHeight="1" x14ac:dyDescent="0.3">
      <c r="A291" s="32">
        <v>8</v>
      </c>
      <c r="B291" s="46"/>
      <c r="C291" s="46"/>
      <c r="K291" s="32">
        <v>1</v>
      </c>
      <c r="M291" s="32">
        <f t="shared" si="44"/>
        <v>1</v>
      </c>
      <c r="N291" s="32" t="str">
        <f t="shared" si="48"/>
        <v>01</v>
      </c>
      <c r="P291" s="47"/>
    </row>
    <row r="292" spans="1:16" ht="12" customHeight="1" x14ac:dyDescent="0.3">
      <c r="A292" s="32">
        <v>9</v>
      </c>
      <c r="B292" s="46"/>
      <c r="C292" s="46"/>
      <c r="M292" s="32">
        <f t="shared" si="44"/>
        <v>0</v>
      </c>
      <c r="N292" s="32" t="str">
        <f t="shared" si="48"/>
        <v>00</v>
      </c>
      <c r="P292" s="47"/>
    </row>
    <row r="293" spans="1:16" ht="12" customHeight="1" x14ac:dyDescent="0.3">
      <c r="A293" s="32">
        <v>10</v>
      </c>
      <c r="B293" s="46"/>
      <c r="C293" s="46"/>
      <c r="M293" s="32">
        <f t="shared" si="44"/>
        <v>0</v>
      </c>
      <c r="N293" s="32" t="str">
        <f t="shared" si="48"/>
        <v>00</v>
      </c>
      <c r="P293" s="47"/>
    </row>
    <row r="294" spans="1:16" ht="12" customHeight="1" x14ac:dyDescent="0.3">
      <c r="A294" s="32">
        <v>1</v>
      </c>
      <c r="B294" s="46">
        <v>61</v>
      </c>
      <c r="C294" s="46" t="str">
        <f t="shared" ref="C294:C364" si="49">CHAR(B294)</f>
        <v>=</v>
      </c>
      <c r="M294" s="32">
        <f t="shared" si="44"/>
        <v>0</v>
      </c>
      <c r="N294" s="32" t="str">
        <f t="shared" si="48"/>
        <v>00</v>
      </c>
      <c r="P294" s="47" t="str">
        <f t="shared" ref="P294" si="50">CONCATENATE("0x",N294,",0x",N295,",0x",N296,",0x",N297,",0x",N298,",0x",N299,",0x",N300,",0x",N301,",0x",N302,",0x",N303,", //",C294)</f>
        <v>0x00,0x00,0x00,0x00,0x1F,0x00,0x00,0x1F,0x00,0x00, //=</v>
      </c>
    </row>
    <row r="295" spans="1:16" ht="12" customHeight="1" x14ac:dyDescent="0.3">
      <c r="A295" s="32">
        <v>2</v>
      </c>
      <c r="B295" s="46"/>
      <c r="C295" s="46"/>
      <c r="M295" s="32">
        <f t="shared" si="44"/>
        <v>0</v>
      </c>
      <c r="N295" s="32" t="str">
        <f t="shared" si="48"/>
        <v>00</v>
      </c>
      <c r="P295" s="47"/>
    </row>
    <row r="296" spans="1:16" ht="12" customHeight="1" x14ac:dyDescent="0.3">
      <c r="A296" s="32">
        <v>3</v>
      </c>
      <c r="B296" s="46"/>
      <c r="C296" s="46"/>
      <c r="M296" s="32">
        <f t="shared" si="44"/>
        <v>0</v>
      </c>
      <c r="N296" s="32" t="str">
        <f t="shared" si="48"/>
        <v>00</v>
      </c>
      <c r="P296" s="47"/>
    </row>
    <row r="297" spans="1:16" ht="12" customHeight="1" x14ac:dyDescent="0.3">
      <c r="A297" s="32">
        <v>4</v>
      </c>
      <c r="B297" s="46"/>
      <c r="C297" s="46"/>
      <c r="M297" s="32">
        <f t="shared" si="44"/>
        <v>0</v>
      </c>
      <c r="N297" s="32" t="str">
        <f t="shared" si="48"/>
        <v>00</v>
      </c>
      <c r="P297" s="47"/>
    </row>
    <row r="298" spans="1:16" ht="12" customHeight="1" x14ac:dyDescent="0.3">
      <c r="A298" s="32">
        <v>5</v>
      </c>
      <c r="B298" s="46"/>
      <c r="C298" s="46"/>
      <c r="G298" s="35">
        <v>1</v>
      </c>
      <c r="H298" s="32">
        <v>1</v>
      </c>
      <c r="I298" s="32">
        <v>1</v>
      </c>
      <c r="J298" s="32">
        <v>1</v>
      </c>
      <c r="K298" s="32">
        <v>1</v>
      </c>
      <c r="M298" s="32">
        <f t="shared" si="44"/>
        <v>31</v>
      </c>
      <c r="N298" s="32" t="str">
        <f t="shared" si="48"/>
        <v>1F</v>
      </c>
      <c r="P298" s="47"/>
    </row>
    <row r="299" spans="1:16" ht="12" customHeight="1" x14ac:dyDescent="0.3">
      <c r="A299" s="32">
        <v>6</v>
      </c>
      <c r="B299" s="46"/>
      <c r="C299" s="46"/>
      <c r="M299" s="32">
        <f t="shared" si="44"/>
        <v>0</v>
      </c>
      <c r="N299" s="32" t="str">
        <f t="shared" si="48"/>
        <v>00</v>
      </c>
      <c r="P299" s="47"/>
    </row>
    <row r="300" spans="1:16" ht="12" customHeight="1" x14ac:dyDescent="0.3">
      <c r="A300" s="32">
        <v>7</v>
      </c>
      <c r="B300" s="46"/>
      <c r="C300" s="46"/>
      <c r="M300" s="32">
        <f t="shared" si="44"/>
        <v>0</v>
      </c>
      <c r="N300" s="32" t="str">
        <f t="shared" si="48"/>
        <v>00</v>
      </c>
      <c r="P300" s="47"/>
    </row>
    <row r="301" spans="1:16" ht="12" customHeight="1" x14ac:dyDescent="0.3">
      <c r="A301" s="32">
        <v>8</v>
      </c>
      <c r="B301" s="46"/>
      <c r="C301" s="46"/>
      <c r="G301" s="35">
        <v>1</v>
      </c>
      <c r="H301" s="32">
        <v>1</v>
      </c>
      <c r="I301" s="32">
        <v>1</v>
      </c>
      <c r="J301" s="32">
        <v>1</v>
      </c>
      <c r="K301" s="32">
        <v>1</v>
      </c>
      <c r="M301" s="32">
        <f t="shared" si="44"/>
        <v>31</v>
      </c>
      <c r="N301" s="32" t="str">
        <f t="shared" si="48"/>
        <v>1F</v>
      </c>
      <c r="P301" s="47"/>
    </row>
    <row r="302" spans="1:16" ht="12" customHeight="1" x14ac:dyDescent="0.3">
      <c r="A302" s="32">
        <v>9</v>
      </c>
      <c r="B302" s="46"/>
      <c r="C302" s="46"/>
      <c r="M302" s="32">
        <f t="shared" si="44"/>
        <v>0</v>
      </c>
      <c r="N302" s="32" t="str">
        <f t="shared" si="48"/>
        <v>00</v>
      </c>
      <c r="P302" s="47"/>
    </row>
    <row r="303" spans="1:16" ht="12" customHeight="1" x14ac:dyDescent="0.3">
      <c r="A303" s="32">
        <v>10</v>
      </c>
      <c r="B303" s="46"/>
      <c r="C303" s="46"/>
      <c r="M303" s="32">
        <f t="shared" si="44"/>
        <v>0</v>
      </c>
      <c r="N303" s="32" t="str">
        <f t="shared" si="48"/>
        <v>00</v>
      </c>
      <c r="P303" s="47"/>
    </row>
    <row r="304" spans="1:16" ht="12" customHeight="1" x14ac:dyDescent="0.3">
      <c r="A304" s="32">
        <v>1</v>
      </c>
      <c r="B304" s="46">
        <v>62</v>
      </c>
      <c r="C304" s="46" t="str">
        <f t="shared" si="49"/>
        <v>&gt;</v>
      </c>
      <c r="H304" s="32">
        <v>1</v>
      </c>
      <c r="M304" s="32">
        <f t="shared" si="44"/>
        <v>8</v>
      </c>
      <c r="N304" s="32" t="str">
        <f t="shared" si="48"/>
        <v>08</v>
      </c>
      <c r="P304" s="47" t="str">
        <f t="shared" ref="P304" si="51">CONCATENATE("0x",N304,",0x",N305,",0x",N306,",0x",N307,",0x",N308,",0x",N309,",0x",N310,",0x",N311,",0x",N312,",0x",N313,", //",C304)</f>
        <v>0x08,0x0C,0x0E,0x0F,0x0F,0x0E,0x0C,0x08,0x00,0x00, //&gt;</v>
      </c>
    </row>
    <row r="305" spans="1:16" ht="12" customHeight="1" x14ac:dyDescent="0.3">
      <c r="A305" s="32">
        <v>2</v>
      </c>
      <c r="B305" s="46"/>
      <c r="C305" s="46"/>
      <c r="H305" s="32">
        <v>1</v>
      </c>
      <c r="I305" s="32">
        <v>1</v>
      </c>
      <c r="M305" s="32">
        <f t="shared" si="44"/>
        <v>12</v>
      </c>
      <c r="N305" s="32" t="str">
        <f t="shared" si="48"/>
        <v>0C</v>
      </c>
      <c r="P305" s="47"/>
    </row>
    <row r="306" spans="1:16" ht="12" customHeight="1" x14ac:dyDescent="0.3">
      <c r="A306" s="32">
        <v>3</v>
      </c>
      <c r="B306" s="46"/>
      <c r="C306" s="46"/>
      <c r="H306" s="32">
        <v>1</v>
      </c>
      <c r="I306" s="32">
        <v>1</v>
      </c>
      <c r="J306" s="32">
        <v>1</v>
      </c>
      <c r="M306" s="32">
        <f t="shared" si="44"/>
        <v>14</v>
      </c>
      <c r="N306" s="32" t="str">
        <f t="shared" si="48"/>
        <v>0E</v>
      </c>
      <c r="P306" s="47"/>
    </row>
    <row r="307" spans="1:16" ht="12" customHeight="1" x14ac:dyDescent="0.3">
      <c r="A307" s="32">
        <v>4</v>
      </c>
      <c r="B307" s="46"/>
      <c r="C307" s="46"/>
      <c r="H307" s="32">
        <v>1</v>
      </c>
      <c r="I307" s="32">
        <v>1</v>
      </c>
      <c r="J307" s="32">
        <v>1</v>
      </c>
      <c r="K307" s="32">
        <v>1</v>
      </c>
      <c r="M307" s="32">
        <f t="shared" si="44"/>
        <v>15</v>
      </c>
      <c r="N307" s="32" t="str">
        <f t="shared" si="48"/>
        <v>0F</v>
      </c>
      <c r="P307" s="47"/>
    </row>
    <row r="308" spans="1:16" ht="12" customHeight="1" x14ac:dyDescent="0.3">
      <c r="A308" s="32">
        <v>5</v>
      </c>
      <c r="B308" s="46"/>
      <c r="C308" s="46"/>
      <c r="H308" s="32">
        <v>1</v>
      </c>
      <c r="I308" s="32">
        <v>1</v>
      </c>
      <c r="J308" s="32">
        <v>1</v>
      </c>
      <c r="K308" s="32">
        <v>1</v>
      </c>
      <c r="M308" s="32">
        <f t="shared" si="44"/>
        <v>15</v>
      </c>
      <c r="N308" s="32" t="str">
        <f t="shared" si="48"/>
        <v>0F</v>
      </c>
      <c r="P308" s="47"/>
    </row>
    <row r="309" spans="1:16" ht="12" customHeight="1" x14ac:dyDescent="0.3">
      <c r="A309" s="32">
        <v>6</v>
      </c>
      <c r="B309" s="46"/>
      <c r="C309" s="46"/>
      <c r="H309" s="32">
        <v>1</v>
      </c>
      <c r="I309" s="32">
        <v>1</v>
      </c>
      <c r="J309" s="32">
        <v>1</v>
      </c>
      <c r="M309" s="32">
        <f t="shared" si="44"/>
        <v>14</v>
      </c>
      <c r="N309" s="32" t="str">
        <f t="shared" si="48"/>
        <v>0E</v>
      </c>
      <c r="P309" s="47"/>
    </row>
    <row r="310" spans="1:16" ht="12" customHeight="1" x14ac:dyDescent="0.3">
      <c r="A310" s="32">
        <v>7</v>
      </c>
      <c r="B310" s="46"/>
      <c r="C310" s="46"/>
      <c r="H310" s="32">
        <v>1</v>
      </c>
      <c r="I310" s="32">
        <v>1</v>
      </c>
      <c r="M310" s="32">
        <f t="shared" si="44"/>
        <v>12</v>
      </c>
      <c r="N310" s="32" t="str">
        <f t="shared" si="48"/>
        <v>0C</v>
      </c>
      <c r="P310" s="47"/>
    </row>
    <row r="311" spans="1:16" ht="12" customHeight="1" x14ac:dyDescent="0.3">
      <c r="A311" s="32">
        <v>8</v>
      </c>
      <c r="B311" s="46"/>
      <c r="C311" s="46"/>
      <c r="H311" s="32">
        <v>1</v>
      </c>
      <c r="M311" s="32">
        <f t="shared" si="44"/>
        <v>8</v>
      </c>
      <c r="N311" s="32" t="str">
        <f t="shared" si="48"/>
        <v>08</v>
      </c>
      <c r="P311" s="47"/>
    </row>
    <row r="312" spans="1:16" ht="12" customHeight="1" x14ac:dyDescent="0.3">
      <c r="A312" s="32">
        <v>9</v>
      </c>
      <c r="B312" s="46"/>
      <c r="C312" s="46"/>
      <c r="M312" s="32">
        <f t="shared" si="44"/>
        <v>0</v>
      </c>
      <c r="N312" s="32" t="str">
        <f t="shared" si="48"/>
        <v>00</v>
      </c>
      <c r="P312" s="47"/>
    </row>
    <row r="313" spans="1:16" ht="12" customHeight="1" x14ac:dyDescent="0.3">
      <c r="A313" s="32">
        <v>10</v>
      </c>
      <c r="B313" s="46"/>
      <c r="C313" s="46"/>
      <c r="M313" s="32">
        <f t="shared" si="44"/>
        <v>0</v>
      </c>
      <c r="N313" s="32" t="str">
        <f t="shared" si="48"/>
        <v>00</v>
      </c>
      <c r="P313" s="47"/>
    </row>
    <row r="314" spans="1:16" ht="12" customHeight="1" x14ac:dyDescent="0.3">
      <c r="A314" s="32">
        <v>1</v>
      </c>
      <c r="B314" s="46">
        <v>63</v>
      </c>
      <c r="C314" s="46" t="str">
        <f t="shared" ref="C314" si="52">CHAR(B314)</f>
        <v>?</v>
      </c>
      <c r="M314" s="32">
        <f t="shared" ref="M314:M323" si="53">G314*G$2+H314*H$2+I314*I$2+J314*J$2+K314*K$2+F314*F$2+E314*E$2+D314*D$2</f>
        <v>0</v>
      </c>
      <c r="N314" s="32" t="str">
        <f t="shared" si="48"/>
        <v>00</v>
      </c>
      <c r="P314" s="47" t="str">
        <f t="shared" ref="P314" si="54">CONCATENATE("0x",N314,",0x",N315,",0x",N316,",0x",N317,",0x",N318,",0x",N319,",0x",N320,",0x",N321,",0x",N322,",0x",N323,", //",C314)</f>
        <v>0x00,0x00,0x00,0x00,0x00,0x00,0x00,0x00,0x00,0x00, //?</v>
      </c>
    </row>
    <row r="315" spans="1:16" ht="12" customHeight="1" x14ac:dyDescent="0.3">
      <c r="A315" s="32">
        <v>2</v>
      </c>
      <c r="B315" s="46"/>
      <c r="C315" s="46"/>
      <c r="M315" s="32">
        <f t="shared" si="53"/>
        <v>0</v>
      </c>
      <c r="N315" s="32" t="str">
        <f t="shared" si="48"/>
        <v>00</v>
      </c>
      <c r="P315" s="47"/>
    </row>
    <row r="316" spans="1:16" ht="12" customHeight="1" x14ac:dyDescent="0.3">
      <c r="A316" s="32">
        <v>3</v>
      </c>
      <c r="B316" s="46"/>
      <c r="C316" s="46"/>
      <c r="M316" s="32">
        <f t="shared" si="53"/>
        <v>0</v>
      </c>
      <c r="N316" s="32" t="str">
        <f t="shared" si="48"/>
        <v>00</v>
      </c>
      <c r="P316" s="47"/>
    </row>
    <row r="317" spans="1:16" ht="12" customHeight="1" x14ac:dyDescent="0.3">
      <c r="A317" s="32">
        <v>4</v>
      </c>
      <c r="B317" s="46"/>
      <c r="C317" s="46"/>
      <c r="M317" s="32">
        <f t="shared" si="53"/>
        <v>0</v>
      </c>
      <c r="N317" s="32" t="str">
        <f t="shared" si="48"/>
        <v>00</v>
      </c>
      <c r="P317" s="47"/>
    </row>
    <row r="318" spans="1:16" ht="12" customHeight="1" x14ac:dyDescent="0.3">
      <c r="A318" s="32">
        <v>5</v>
      </c>
      <c r="B318" s="46"/>
      <c r="C318" s="46"/>
      <c r="M318" s="32">
        <f t="shared" si="53"/>
        <v>0</v>
      </c>
      <c r="N318" s="32" t="str">
        <f t="shared" si="48"/>
        <v>00</v>
      </c>
      <c r="P318" s="47"/>
    </row>
    <row r="319" spans="1:16" ht="12" customHeight="1" x14ac:dyDescent="0.3">
      <c r="A319" s="32">
        <v>6</v>
      </c>
      <c r="B319" s="46"/>
      <c r="C319" s="46"/>
      <c r="M319" s="32">
        <f t="shared" si="53"/>
        <v>0</v>
      </c>
      <c r="N319" s="32" t="str">
        <f t="shared" si="48"/>
        <v>00</v>
      </c>
      <c r="P319" s="47"/>
    </row>
    <row r="320" spans="1:16" ht="12" customHeight="1" x14ac:dyDescent="0.3">
      <c r="A320" s="32">
        <v>7</v>
      </c>
      <c r="B320" s="46"/>
      <c r="C320" s="46"/>
      <c r="M320" s="32">
        <f t="shared" si="53"/>
        <v>0</v>
      </c>
      <c r="N320" s="32" t="str">
        <f t="shared" si="48"/>
        <v>00</v>
      </c>
      <c r="P320" s="47"/>
    </row>
    <row r="321" spans="1:16" ht="12" customHeight="1" x14ac:dyDescent="0.3">
      <c r="A321" s="32">
        <v>8</v>
      </c>
      <c r="B321" s="46"/>
      <c r="C321" s="46"/>
      <c r="M321" s="32">
        <f t="shared" si="53"/>
        <v>0</v>
      </c>
      <c r="N321" s="32" t="str">
        <f t="shared" si="48"/>
        <v>00</v>
      </c>
      <c r="P321" s="47"/>
    </row>
    <row r="322" spans="1:16" ht="12" customHeight="1" x14ac:dyDescent="0.3">
      <c r="A322" s="32">
        <v>9</v>
      </c>
      <c r="B322" s="46"/>
      <c r="C322" s="46"/>
      <c r="M322" s="32">
        <f t="shared" si="53"/>
        <v>0</v>
      </c>
      <c r="N322" s="32" t="str">
        <f t="shared" si="48"/>
        <v>00</v>
      </c>
      <c r="P322" s="47"/>
    </row>
    <row r="323" spans="1:16" ht="12" customHeight="1" x14ac:dyDescent="0.3">
      <c r="A323" s="32">
        <v>10</v>
      </c>
      <c r="B323" s="46"/>
      <c r="C323" s="46"/>
      <c r="M323" s="32">
        <f t="shared" si="53"/>
        <v>0</v>
      </c>
      <c r="N323" s="32" t="str">
        <f t="shared" si="48"/>
        <v>00</v>
      </c>
      <c r="P323" s="47"/>
    </row>
    <row r="324" spans="1:16" ht="12" customHeight="1" x14ac:dyDescent="0.3">
      <c r="A324" s="32">
        <v>1</v>
      </c>
      <c r="B324" s="46">
        <v>64</v>
      </c>
      <c r="C324" s="46" t="str">
        <f t="shared" si="49"/>
        <v>@</v>
      </c>
      <c r="M324" s="32">
        <f t="shared" si="44"/>
        <v>0</v>
      </c>
      <c r="N324" s="32" t="str">
        <f t="shared" si="48"/>
        <v>00</v>
      </c>
      <c r="P324" s="47" t="str">
        <f t="shared" ref="P324" si="55">CONCATENATE("0x",N324,",0x",N325,",0x",N326,",0x",N327,",0x",N328,",0x",N329,",0x",N330,",0x",N331,",0x",N332,",0x",N333,", //",C324)</f>
        <v>0x00,0x00,0x00,0x01,0x01,0x00,0x00,0x00,0x00,0x00, //@</v>
      </c>
    </row>
    <row r="325" spans="1:16" ht="12" customHeight="1" x14ac:dyDescent="0.3">
      <c r="A325" s="32">
        <v>2</v>
      </c>
      <c r="B325" s="46"/>
      <c r="C325" s="46"/>
      <c r="M325" s="32">
        <f t="shared" si="44"/>
        <v>0</v>
      </c>
      <c r="N325" s="32" t="str">
        <f t="shared" si="48"/>
        <v>00</v>
      </c>
      <c r="P325" s="47"/>
    </row>
    <row r="326" spans="1:16" ht="12" customHeight="1" x14ac:dyDescent="0.3">
      <c r="A326" s="32">
        <v>3</v>
      </c>
      <c r="B326" s="46"/>
      <c r="C326" s="46"/>
      <c r="M326" s="32">
        <f t="shared" si="44"/>
        <v>0</v>
      </c>
      <c r="N326" s="32" t="str">
        <f t="shared" si="48"/>
        <v>00</v>
      </c>
      <c r="P326" s="47"/>
    </row>
    <row r="327" spans="1:16" ht="12" customHeight="1" x14ac:dyDescent="0.3">
      <c r="A327" s="32">
        <v>4</v>
      </c>
      <c r="B327" s="46"/>
      <c r="C327" s="46"/>
      <c r="K327" s="32">
        <v>1</v>
      </c>
      <c r="M327" s="32">
        <f t="shared" si="44"/>
        <v>1</v>
      </c>
      <c r="N327" s="32" t="str">
        <f t="shared" ref="N327:N334" si="56">DEC2HEX(M327,2)</f>
        <v>01</v>
      </c>
      <c r="P327" s="47"/>
    </row>
    <row r="328" spans="1:16" ht="12" customHeight="1" x14ac:dyDescent="0.3">
      <c r="A328" s="32">
        <v>5</v>
      </c>
      <c r="B328" s="46"/>
      <c r="C328" s="46"/>
      <c r="K328" s="32">
        <v>1</v>
      </c>
      <c r="M328" s="32">
        <f t="shared" si="44"/>
        <v>1</v>
      </c>
      <c r="N328" s="32" t="str">
        <f t="shared" si="56"/>
        <v>01</v>
      </c>
      <c r="P328" s="47"/>
    </row>
    <row r="329" spans="1:16" ht="12" customHeight="1" x14ac:dyDescent="0.3">
      <c r="A329" s="32">
        <v>6</v>
      </c>
      <c r="B329" s="46"/>
      <c r="C329" s="46"/>
      <c r="M329" s="32">
        <f t="shared" si="44"/>
        <v>0</v>
      </c>
      <c r="N329" s="32" t="str">
        <f t="shared" si="56"/>
        <v>00</v>
      </c>
      <c r="P329" s="47"/>
    </row>
    <row r="330" spans="1:16" ht="12" customHeight="1" x14ac:dyDescent="0.3">
      <c r="A330" s="32">
        <v>7</v>
      </c>
      <c r="B330" s="46"/>
      <c r="C330" s="46"/>
      <c r="M330" s="32">
        <f t="shared" si="44"/>
        <v>0</v>
      </c>
      <c r="N330" s="32" t="str">
        <f t="shared" si="56"/>
        <v>00</v>
      </c>
      <c r="P330" s="47"/>
    </row>
    <row r="331" spans="1:16" ht="12" customHeight="1" x14ac:dyDescent="0.3">
      <c r="A331" s="32">
        <v>8</v>
      </c>
      <c r="B331" s="46"/>
      <c r="C331" s="46"/>
      <c r="M331" s="32">
        <f t="shared" si="44"/>
        <v>0</v>
      </c>
      <c r="N331" s="32" t="str">
        <f t="shared" si="56"/>
        <v>00</v>
      </c>
      <c r="P331" s="47"/>
    </row>
    <row r="332" spans="1:16" ht="12" customHeight="1" x14ac:dyDescent="0.3">
      <c r="A332" s="32">
        <v>9</v>
      </c>
      <c r="B332" s="46"/>
      <c r="C332" s="46"/>
      <c r="M332" s="32">
        <f t="shared" si="44"/>
        <v>0</v>
      </c>
      <c r="N332" s="32" t="str">
        <f t="shared" si="56"/>
        <v>00</v>
      </c>
      <c r="P332" s="47"/>
    </row>
    <row r="333" spans="1:16" ht="12" customHeight="1" x14ac:dyDescent="0.3">
      <c r="A333" s="32">
        <v>10</v>
      </c>
      <c r="B333" s="46"/>
      <c r="C333" s="46"/>
      <c r="M333" s="32">
        <f t="shared" si="44"/>
        <v>0</v>
      </c>
      <c r="N333" s="32" t="str">
        <f t="shared" si="56"/>
        <v>00</v>
      </c>
      <c r="P333" s="47"/>
    </row>
    <row r="334" spans="1:16" ht="12" customHeight="1" x14ac:dyDescent="0.3">
      <c r="A334" s="32">
        <v>1</v>
      </c>
      <c r="B334" s="46">
        <v>65</v>
      </c>
      <c r="C334" s="46" t="str">
        <f t="shared" si="49"/>
        <v>A</v>
      </c>
      <c r="H334" s="32">
        <v>1</v>
      </c>
      <c r="I334" s="32">
        <v>1</v>
      </c>
      <c r="J334" s="32">
        <v>1</v>
      </c>
      <c r="M334" s="32">
        <f t="shared" si="44"/>
        <v>14</v>
      </c>
      <c r="N334" s="32" t="str">
        <f t="shared" si="56"/>
        <v>0E</v>
      </c>
      <c r="P334" s="47" t="str">
        <f>CONCATENATE("0x",N334,",0x",N335,",0x",N336,",0x",N337,",0x",N338,",0x",N339,",0x",N340,",0x",N341,",0x",N342,",0x",N343,", //",C334)</f>
        <v>0x0E,0x11,0x11,0x1F,0x11,0x11,0x11,0x11,0x00,0x00, //A</v>
      </c>
    </row>
    <row r="335" spans="1:16" ht="12" customHeight="1" x14ac:dyDescent="0.3">
      <c r="A335" s="32">
        <v>2</v>
      </c>
      <c r="B335" s="46"/>
      <c r="C335" s="46"/>
      <c r="G335" s="35">
        <v>1</v>
      </c>
      <c r="K335" s="32">
        <v>1</v>
      </c>
      <c r="M335" s="32">
        <f t="shared" ref="M335:M398" si="57">G335*G$2+H335*H$2+I335*I$2+J335*J$2+K335*K$2+F335*F$2+E335*E$2+D335*D$2</f>
        <v>17</v>
      </c>
      <c r="N335" s="32" t="str">
        <f t="shared" ref="N335:N368" si="58">DEC2HEX(M335,2)</f>
        <v>11</v>
      </c>
      <c r="P335" s="47"/>
    </row>
    <row r="336" spans="1:16" ht="12" customHeight="1" x14ac:dyDescent="0.3">
      <c r="A336" s="32">
        <v>3</v>
      </c>
      <c r="B336" s="46"/>
      <c r="C336" s="46"/>
      <c r="G336" s="35">
        <v>1</v>
      </c>
      <c r="K336" s="32">
        <v>1</v>
      </c>
      <c r="M336" s="32">
        <f t="shared" si="57"/>
        <v>17</v>
      </c>
      <c r="N336" s="32" t="str">
        <f t="shared" si="58"/>
        <v>11</v>
      </c>
      <c r="P336" s="47"/>
    </row>
    <row r="337" spans="1:16" ht="12" customHeight="1" x14ac:dyDescent="0.3">
      <c r="A337" s="32">
        <v>4</v>
      </c>
      <c r="B337" s="46"/>
      <c r="C337" s="46"/>
      <c r="G337" s="35">
        <v>1</v>
      </c>
      <c r="H337" s="32">
        <v>1</v>
      </c>
      <c r="I337" s="32">
        <v>1</v>
      </c>
      <c r="J337" s="32">
        <v>1</v>
      </c>
      <c r="K337" s="32">
        <v>1</v>
      </c>
      <c r="M337" s="32">
        <f t="shared" si="57"/>
        <v>31</v>
      </c>
      <c r="N337" s="32" t="str">
        <f t="shared" si="58"/>
        <v>1F</v>
      </c>
      <c r="P337" s="47"/>
    </row>
    <row r="338" spans="1:16" ht="12" customHeight="1" x14ac:dyDescent="0.3">
      <c r="A338" s="32">
        <v>5</v>
      </c>
      <c r="B338" s="46"/>
      <c r="C338" s="46"/>
      <c r="G338" s="35">
        <v>1</v>
      </c>
      <c r="K338" s="32">
        <v>1</v>
      </c>
      <c r="M338" s="32">
        <f t="shared" si="57"/>
        <v>17</v>
      </c>
      <c r="N338" s="32" t="str">
        <f t="shared" si="58"/>
        <v>11</v>
      </c>
      <c r="P338" s="47"/>
    </row>
    <row r="339" spans="1:16" ht="12" customHeight="1" x14ac:dyDescent="0.3">
      <c r="A339" s="32">
        <v>6</v>
      </c>
      <c r="B339" s="46"/>
      <c r="C339" s="46"/>
      <c r="G339" s="35">
        <v>1</v>
      </c>
      <c r="K339" s="32">
        <v>1</v>
      </c>
      <c r="M339" s="32">
        <f t="shared" si="57"/>
        <v>17</v>
      </c>
      <c r="N339" s="32" t="str">
        <f t="shared" si="58"/>
        <v>11</v>
      </c>
      <c r="P339" s="47"/>
    </row>
    <row r="340" spans="1:16" ht="12" customHeight="1" x14ac:dyDescent="0.3">
      <c r="A340" s="32">
        <v>7</v>
      </c>
      <c r="B340" s="46"/>
      <c r="C340" s="46"/>
      <c r="G340" s="35">
        <v>1</v>
      </c>
      <c r="K340" s="32">
        <v>1</v>
      </c>
      <c r="M340" s="32">
        <f t="shared" si="57"/>
        <v>17</v>
      </c>
      <c r="N340" s="32" t="str">
        <f t="shared" si="58"/>
        <v>11</v>
      </c>
      <c r="P340" s="47"/>
    </row>
    <row r="341" spans="1:16" ht="12" customHeight="1" x14ac:dyDescent="0.3">
      <c r="A341" s="32">
        <v>8</v>
      </c>
      <c r="B341" s="46"/>
      <c r="C341" s="46"/>
      <c r="G341" s="35">
        <v>1</v>
      </c>
      <c r="K341" s="32">
        <v>1</v>
      </c>
      <c r="M341" s="32">
        <f t="shared" si="57"/>
        <v>17</v>
      </c>
      <c r="N341" s="32" t="str">
        <f t="shared" si="58"/>
        <v>11</v>
      </c>
      <c r="P341" s="47"/>
    </row>
    <row r="342" spans="1:16" ht="12" customHeight="1" x14ac:dyDescent="0.3">
      <c r="A342" s="32">
        <v>9</v>
      </c>
      <c r="B342" s="46"/>
      <c r="C342" s="46"/>
      <c r="M342" s="32">
        <f t="shared" si="57"/>
        <v>0</v>
      </c>
      <c r="N342" s="32" t="str">
        <f t="shared" si="58"/>
        <v>00</v>
      </c>
      <c r="P342" s="47"/>
    </row>
    <row r="343" spans="1:16" ht="12" customHeight="1" x14ac:dyDescent="0.3">
      <c r="A343" s="32">
        <v>10</v>
      </c>
      <c r="B343" s="46"/>
      <c r="C343" s="46"/>
      <c r="M343" s="32">
        <f t="shared" si="57"/>
        <v>0</v>
      </c>
      <c r="N343" s="32" t="str">
        <f t="shared" si="58"/>
        <v>00</v>
      </c>
      <c r="P343" s="47"/>
    </row>
    <row r="344" spans="1:16" ht="12" customHeight="1" x14ac:dyDescent="0.3">
      <c r="A344" s="32">
        <v>1</v>
      </c>
      <c r="B344" s="46">
        <v>66</v>
      </c>
      <c r="C344" s="46" t="str">
        <f t="shared" si="49"/>
        <v>B</v>
      </c>
      <c r="H344" s="32">
        <v>1</v>
      </c>
      <c r="I344" s="32">
        <v>1</v>
      </c>
      <c r="J344" s="32">
        <v>1</v>
      </c>
      <c r="M344" s="32">
        <f t="shared" si="57"/>
        <v>14</v>
      </c>
      <c r="N344" s="32" t="str">
        <f t="shared" si="58"/>
        <v>0E</v>
      </c>
      <c r="P344" s="47" t="str">
        <f t="shared" ref="P344" si="59">CONCATENATE("0x",N344,",0x",N345,",0x",N346,",0x",N347,",0x",N348,",0x",N349,",0x",N350,",0x",N351,",0x",N352,",0x",N353,", //",C344)</f>
        <v>0x0E,0x11,0x11,0x1E,0x11,0x11,0x11,0x1E,0x00,0x00, //B</v>
      </c>
    </row>
    <row r="345" spans="1:16" ht="12" customHeight="1" x14ac:dyDescent="0.3">
      <c r="A345" s="32">
        <v>2</v>
      </c>
      <c r="B345" s="46"/>
      <c r="C345" s="46"/>
      <c r="G345" s="35">
        <v>1</v>
      </c>
      <c r="K345" s="32">
        <v>1</v>
      </c>
      <c r="M345" s="32">
        <f t="shared" si="57"/>
        <v>17</v>
      </c>
      <c r="N345" s="32" t="str">
        <f t="shared" si="58"/>
        <v>11</v>
      </c>
      <c r="P345" s="47"/>
    </row>
    <row r="346" spans="1:16" ht="12" customHeight="1" x14ac:dyDescent="0.3">
      <c r="A346" s="32">
        <v>3</v>
      </c>
      <c r="B346" s="46"/>
      <c r="C346" s="46"/>
      <c r="G346" s="35">
        <v>1</v>
      </c>
      <c r="K346" s="32">
        <v>1</v>
      </c>
      <c r="M346" s="32">
        <f t="shared" si="57"/>
        <v>17</v>
      </c>
      <c r="N346" s="32" t="str">
        <f t="shared" si="58"/>
        <v>11</v>
      </c>
      <c r="P346" s="47"/>
    </row>
    <row r="347" spans="1:16" ht="12" customHeight="1" x14ac:dyDescent="0.3">
      <c r="A347" s="32">
        <v>4</v>
      </c>
      <c r="B347" s="46"/>
      <c r="C347" s="46"/>
      <c r="G347" s="35">
        <v>1</v>
      </c>
      <c r="H347" s="32">
        <v>1</v>
      </c>
      <c r="I347" s="32">
        <v>1</v>
      </c>
      <c r="J347" s="32">
        <v>1</v>
      </c>
      <c r="M347" s="32">
        <f t="shared" si="57"/>
        <v>30</v>
      </c>
      <c r="N347" s="32" t="str">
        <f t="shared" si="58"/>
        <v>1E</v>
      </c>
      <c r="P347" s="47"/>
    </row>
    <row r="348" spans="1:16" ht="12" customHeight="1" x14ac:dyDescent="0.3">
      <c r="A348" s="32">
        <v>5</v>
      </c>
      <c r="B348" s="46"/>
      <c r="C348" s="46"/>
      <c r="G348" s="35">
        <v>1</v>
      </c>
      <c r="K348" s="32">
        <v>1</v>
      </c>
      <c r="M348" s="32">
        <f t="shared" si="57"/>
        <v>17</v>
      </c>
      <c r="N348" s="32" t="str">
        <f t="shared" si="58"/>
        <v>11</v>
      </c>
      <c r="P348" s="47"/>
    </row>
    <row r="349" spans="1:16" ht="12" customHeight="1" x14ac:dyDescent="0.3">
      <c r="A349" s="32">
        <v>6</v>
      </c>
      <c r="B349" s="46"/>
      <c r="C349" s="46"/>
      <c r="G349" s="35">
        <v>1</v>
      </c>
      <c r="K349" s="32">
        <v>1</v>
      </c>
      <c r="M349" s="32">
        <f t="shared" si="57"/>
        <v>17</v>
      </c>
      <c r="N349" s="32" t="str">
        <f t="shared" si="58"/>
        <v>11</v>
      </c>
      <c r="P349" s="47"/>
    </row>
    <row r="350" spans="1:16" ht="12" customHeight="1" x14ac:dyDescent="0.3">
      <c r="A350" s="32">
        <v>7</v>
      </c>
      <c r="B350" s="46"/>
      <c r="C350" s="46"/>
      <c r="G350" s="35">
        <v>1</v>
      </c>
      <c r="K350" s="32">
        <v>1</v>
      </c>
      <c r="M350" s="32">
        <f t="shared" si="57"/>
        <v>17</v>
      </c>
      <c r="N350" s="32" t="str">
        <f t="shared" si="58"/>
        <v>11</v>
      </c>
      <c r="P350" s="47"/>
    </row>
    <row r="351" spans="1:16" ht="12" customHeight="1" x14ac:dyDescent="0.3">
      <c r="A351" s="32">
        <v>8</v>
      </c>
      <c r="B351" s="46"/>
      <c r="C351" s="46"/>
      <c r="G351" s="35">
        <v>1</v>
      </c>
      <c r="H351" s="32">
        <v>1</v>
      </c>
      <c r="I351" s="32">
        <v>1</v>
      </c>
      <c r="J351" s="32">
        <v>1</v>
      </c>
      <c r="M351" s="32">
        <f t="shared" si="57"/>
        <v>30</v>
      </c>
      <c r="N351" s="32" t="str">
        <f t="shared" si="58"/>
        <v>1E</v>
      </c>
      <c r="P351" s="47"/>
    </row>
    <row r="352" spans="1:16" ht="12" customHeight="1" x14ac:dyDescent="0.3">
      <c r="A352" s="32">
        <v>9</v>
      </c>
      <c r="B352" s="46"/>
      <c r="C352" s="46"/>
      <c r="M352" s="32">
        <f t="shared" si="57"/>
        <v>0</v>
      </c>
      <c r="N352" s="32" t="str">
        <f t="shared" si="58"/>
        <v>00</v>
      </c>
      <c r="P352" s="47"/>
    </row>
    <row r="353" spans="1:16" ht="12" customHeight="1" x14ac:dyDescent="0.3">
      <c r="A353" s="32">
        <v>10</v>
      </c>
      <c r="B353" s="46"/>
      <c r="C353" s="46"/>
      <c r="M353" s="32">
        <f t="shared" si="57"/>
        <v>0</v>
      </c>
      <c r="N353" s="32" t="str">
        <f t="shared" si="58"/>
        <v>00</v>
      </c>
      <c r="P353" s="47"/>
    </row>
    <row r="354" spans="1:16" ht="12" customHeight="1" x14ac:dyDescent="0.3">
      <c r="A354" s="32">
        <v>1</v>
      </c>
      <c r="B354" s="46">
        <v>67</v>
      </c>
      <c r="C354" s="46" t="str">
        <f t="shared" si="49"/>
        <v>C</v>
      </c>
      <c r="H354" s="32">
        <v>1</v>
      </c>
      <c r="I354" s="32">
        <v>1</v>
      </c>
      <c r="J354" s="32">
        <v>1</v>
      </c>
      <c r="M354" s="32">
        <f t="shared" si="57"/>
        <v>14</v>
      </c>
      <c r="N354" s="32" t="str">
        <f t="shared" si="58"/>
        <v>0E</v>
      </c>
      <c r="P354" s="47" t="str">
        <f t="shared" ref="P354" si="60">CONCATENATE("0x",N354,",0x",N355,",0x",N356,",0x",N357,",0x",N358,",0x",N359,",0x",N360,",0x",N361,",0x",N362,",0x",N363,", //",C354)</f>
        <v>0x0E,0x11,0x10,0x10,0x10,0x10,0x11,0x0E,0x00,0x00, //C</v>
      </c>
    </row>
    <row r="355" spans="1:16" ht="12" customHeight="1" x14ac:dyDescent="0.3">
      <c r="A355" s="32">
        <v>2</v>
      </c>
      <c r="B355" s="46"/>
      <c r="C355" s="46"/>
      <c r="G355" s="35">
        <v>1</v>
      </c>
      <c r="K355" s="32">
        <v>1</v>
      </c>
      <c r="M355" s="32">
        <f t="shared" si="57"/>
        <v>17</v>
      </c>
      <c r="N355" s="32" t="str">
        <f t="shared" si="58"/>
        <v>11</v>
      </c>
      <c r="P355" s="47"/>
    </row>
    <row r="356" spans="1:16" ht="12" customHeight="1" x14ac:dyDescent="0.3">
      <c r="A356" s="32">
        <v>3</v>
      </c>
      <c r="B356" s="46"/>
      <c r="C356" s="46"/>
      <c r="G356" s="35">
        <v>1</v>
      </c>
      <c r="M356" s="32">
        <f t="shared" si="57"/>
        <v>16</v>
      </c>
      <c r="N356" s="32" t="str">
        <f t="shared" si="58"/>
        <v>10</v>
      </c>
      <c r="P356" s="47"/>
    </row>
    <row r="357" spans="1:16" ht="12" customHeight="1" x14ac:dyDescent="0.3">
      <c r="A357" s="32">
        <v>4</v>
      </c>
      <c r="B357" s="46"/>
      <c r="C357" s="46"/>
      <c r="G357" s="35">
        <v>1</v>
      </c>
      <c r="M357" s="32">
        <f t="shared" si="57"/>
        <v>16</v>
      </c>
      <c r="N357" s="32" t="str">
        <f t="shared" si="58"/>
        <v>10</v>
      </c>
      <c r="P357" s="47"/>
    </row>
    <row r="358" spans="1:16" ht="12" customHeight="1" x14ac:dyDescent="0.3">
      <c r="A358" s="32">
        <v>5</v>
      </c>
      <c r="B358" s="46"/>
      <c r="C358" s="46"/>
      <c r="G358" s="35">
        <v>1</v>
      </c>
      <c r="M358" s="32">
        <f t="shared" si="57"/>
        <v>16</v>
      </c>
      <c r="N358" s="32" t="str">
        <f t="shared" si="58"/>
        <v>10</v>
      </c>
      <c r="P358" s="47"/>
    </row>
    <row r="359" spans="1:16" ht="12" customHeight="1" x14ac:dyDescent="0.3">
      <c r="A359" s="32">
        <v>6</v>
      </c>
      <c r="B359" s="46"/>
      <c r="C359" s="46"/>
      <c r="G359" s="35">
        <v>1</v>
      </c>
      <c r="M359" s="32">
        <f t="shared" si="57"/>
        <v>16</v>
      </c>
      <c r="N359" s="32" t="str">
        <f t="shared" si="58"/>
        <v>10</v>
      </c>
      <c r="P359" s="47"/>
    </row>
    <row r="360" spans="1:16" ht="12" customHeight="1" x14ac:dyDescent="0.3">
      <c r="A360" s="32">
        <v>7</v>
      </c>
      <c r="B360" s="46"/>
      <c r="C360" s="46"/>
      <c r="G360" s="35">
        <v>1</v>
      </c>
      <c r="K360" s="32">
        <v>1</v>
      </c>
      <c r="M360" s="32">
        <f t="shared" si="57"/>
        <v>17</v>
      </c>
      <c r="N360" s="32" t="str">
        <f t="shared" si="58"/>
        <v>11</v>
      </c>
      <c r="P360" s="47"/>
    </row>
    <row r="361" spans="1:16" ht="12" customHeight="1" x14ac:dyDescent="0.3">
      <c r="A361" s="32">
        <v>8</v>
      </c>
      <c r="B361" s="46"/>
      <c r="C361" s="46"/>
      <c r="H361" s="32">
        <v>1</v>
      </c>
      <c r="I361" s="32">
        <v>1</v>
      </c>
      <c r="J361" s="32">
        <v>1</v>
      </c>
      <c r="M361" s="32">
        <f t="shared" si="57"/>
        <v>14</v>
      </c>
      <c r="N361" s="32" t="str">
        <f t="shared" si="58"/>
        <v>0E</v>
      </c>
      <c r="P361" s="47"/>
    </row>
    <row r="362" spans="1:16" ht="12" customHeight="1" x14ac:dyDescent="0.3">
      <c r="A362" s="32">
        <v>9</v>
      </c>
      <c r="B362" s="46"/>
      <c r="C362" s="46"/>
      <c r="M362" s="32">
        <f t="shared" si="57"/>
        <v>0</v>
      </c>
      <c r="N362" s="32" t="str">
        <f t="shared" si="58"/>
        <v>00</v>
      </c>
      <c r="P362" s="47"/>
    </row>
    <row r="363" spans="1:16" ht="12" customHeight="1" x14ac:dyDescent="0.3">
      <c r="A363" s="32">
        <v>10</v>
      </c>
      <c r="B363" s="46"/>
      <c r="C363" s="46"/>
      <c r="M363" s="32">
        <f t="shared" si="57"/>
        <v>0</v>
      </c>
      <c r="N363" s="32" t="str">
        <f t="shared" si="58"/>
        <v>00</v>
      </c>
      <c r="P363" s="47"/>
    </row>
    <row r="364" spans="1:16" ht="12" customHeight="1" x14ac:dyDescent="0.3">
      <c r="A364" s="32">
        <v>1</v>
      </c>
      <c r="B364" s="46">
        <v>68</v>
      </c>
      <c r="C364" s="46" t="str">
        <f t="shared" si="49"/>
        <v>D</v>
      </c>
      <c r="G364" s="35">
        <v>1</v>
      </c>
      <c r="H364" s="32">
        <v>1</v>
      </c>
      <c r="I364" s="32">
        <v>1</v>
      </c>
      <c r="J364" s="32">
        <v>1</v>
      </c>
      <c r="M364" s="32">
        <f t="shared" si="57"/>
        <v>30</v>
      </c>
      <c r="N364" s="32" t="str">
        <f t="shared" si="58"/>
        <v>1E</v>
      </c>
      <c r="P364" s="47" t="str">
        <f t="shared" ref="P364" si="61">CONCATENATE("0x",N364,",0x",N365,",0x",N366,",0x",N367,",0x",N368,",0x",N369,",0x",N370,",0x",N371,",0x",N372,",0x",N373,", //",C364)</f>
        <v>0x1E,0x11,0x11,0x11,0x11,0x11,0x11,0x1E,0x00,0x00, //D</v>
      </c>
    </row>
    <row r="365" spans="1:16" ht="12" customHeight="1" x14ac:dyDescent="0.3">
      <c r="A365" s="32">
        <v>2</v>
      </c>
      <c r="B365" s="46"/>
      <c r="C365" s="46"/>
      <c r="G365" s="35">
        <v>1</v>
      </c>
      <c r="K365" s="32">
        <v>1</v>
      </c>
      <c r="M365" s="32">
        <f t="shared" si="57"/>
        <v>17</v>
      </c>
      <c r="N365" s="32" t="str">
        <f t="shared" si="58"/>
        <v>11</v>
      </c>
      <c r="P365" s="47"/>
    </row>
    <row r="366" spans="1:16" ht="12" customHeight="1" x14ac:dyDescent="0.3">
      <c r="A366" s="32">
        <v>3</v>
      </c>
      <c r="B366" s="46"/>
      <c r="C366" s="46"/>
      <c r="G366" s="35">
        <v>1</v>
      </c>
      <c r="K366" s="32">
        <v>1</v>
      </c>
      <c r="M366" s="32">
        <f t="shared" si="57"/>
        <v>17</v>
      </c>
      <c r="N366" s="32" t="str">
        <f t="shared" si="58"/>
        <v>11</v>
      </c>
      <c r="P366" s="47"/>
    </row>
    <row r="367" spans="1:16" ht="12" customHeight="1" x14ac:dyDescent="0.3">
      <c r="A367" s="32">
        <v>4</v>
      </c>
      <c r="B367" s="46"/>
      <c r="C367" s="46"/>
      <c r="G367" s="35">
        <v>1</v>
      </c>
      <c r="K367" s="32">
        <v>1</v>
      </c>
      <c r="M367" s="32">
        <f t="shared" si="57"/>
        <v>17</v>
      </c>
      <c r="N367" s="32" t="str">
        <f t="shared" si="58"/>
        <v>11</v>
      </c>
      <c r="P367" s="47"/>
    </row>
    <row r="368" spans="1:16" ht="12" customHeight="1" x14ac:dyDescent="0.3">
      <c r="A368" s="32">
        <v>5</v>
      </c>
      <c r="B368" s="46"/>
      <c r="C368" s="46"/>
      <c r="G368" s="35">
        <v>1</v>
      </c>
      <c r="K368" s="32">
        <v>1</v>
      </c>
      <c r="M368" s="32">
        <f t="shared" si="57"/>
        <v>17</v>
      </c>
      <c r="N368" s="32" t="str">
        <f t="shared" si="58"/>
        <v>11</v>
      </c>
      <c r="P368" s="47"/>
    </row>
    <row r="369" spans="1:16" ht="12" customHeight="1" x14ac:dyDescent="0.3">
      <c r="A369" s="32">
        <v>6</v>
      </c>
      <c r="B369" s="46"/>
      <c r="C369" s="46"/>
      <c r="G369" s="35">
        <v>1</v>
      </c>
      <c r="K369" s="32">
        <v>1</v>
      </c>
      <c r="M369" s="32">
        <f t="shared" si="57"/>
        <v>17</v>
      </c>
      <c r="N369" s="32" t="str">
        <f t="shared" ref="N369:N402" si="62">DEC2HEX(M369,2)</f>
        <v>11</v>
      </c>
      <c r="P369" s="47"/>
    </row>
    <row r="370" spans="1:16" ht="12" customHeight="1" x14ac:dyDescent="0.3">
      <c r="A370" s="32">
        <v>7</v>
      </c>
      <c r="B370" s="46"/>
      <c r="C370" s="46"/>
      <c r="G370" s="35">
        <v>1</v>
      </c>
      <c r="K370" s="32">
        <v>1</v>
      </c>
      <c r="M370" s="32">
        <f t="shared" si="57"/>
        <v>17</v>
      </c>
      <c r="N370" s="32" t="str">
        <f t="shared" si="62"/>
        <v>11</v>
      </c>
      <c r="P370" s="47"/>
    </row>
    <row r="371" spans="1:16" ht="12" customHeight="1" x14ac:dyDescent="0.3">
      <c r="A371" s="32">
        <v>8</v>
      </c>
      <c r="B371" s="46"/>
      <c r="C371" s="46"/>
      <c r="G371" s="35">
        <v>1</v>
      </c>
      <c r="H371" s="32">
        <v>1</v>
      </c>
      <c r="I371" s="32">
        <v>1</v>
      </c>
      <c r="J371" s="32">
        <v>1</v>
      </c>
      <c r="M371" s="32">
        <f t="shared" si="57"/>
        <v>30</v>
      </c>
      <c r="N371" s="32" t="str">
        <f t="shared" si="62"/>
        <v>1E</v>
      </c>
      <c r="P371" s="47"/>
    </row>
    <row r="372" spans="1:16" ht="12" customHeight="1" x14ac:dyDescent="0.3">
      <c r="A372" s="32">
        <v>9</v>
      </c>
      <c r="B372" s="46"/>
      <c r="C372" s="46"/>
      <c r="M372" s="32">
        <f t="shared" si="57"/>
        <v>0</v>
      </c>
      <c r="N372" s="32" t="str">
        <f t="shared" si="62"/>
        <v>00</v>
      </c>
      <c r="P372" s="47"/>
    </row>
    <row r="373" spans="1:16" ht="12" customHeight="1" x14ac:dyDescent="0.3">
      <c r="A373" s="32">
        <v>10</v>
      </c>
      <c r="B373" s="46"/>
      <c r="C373" s="46"/>
      <c r="M373" s="32">
        <f t="shared" si="57"/>
        <v>0</v>
      </c>
      <c r="N373" s="32" t="str">
        <f t="shared" si="62"/>
        <v>00</v>
      </c>
      <c r="P373" s="47"/>
    </row>
    <row r="374" spans="1:16" ht="12" customHeight="1" x14ac:dyDescent="0.3">
      <c r="A374" s="32">
        <v>1</v>
      </c>
      <c r="B374" s="46">
        <v>69</v>
      </c>
      <c r="C374" s="46" t="str">
        <f t="shared" ref="C374:C434" si="63">CHAR(B374)</f>
        <v>E</v>
      </c>
      <c r="G374" s="35">
        <v>1</v>
      </c>
      <c r="H374" s="32">
        <v>1</v>
      </c>
      <c r="I374" s="32">
        <v>1</v>
      </c>
      <c r="J374" s="32">
        <v>1</v>
      </c>
      <c r="K374" s="32">
        <v>1</v>
      </c>
      <c r="M374" s="32">
        <f t="shared" si="57"/>
        <v>31</v>
      </c>
      <c r="N374" s="32" t="str">
        <f t="shared" si="62"/>
        <v>1F</v>
      </c>
      <c r="P374" s="47" t="str">
        <f t="shared" ref="P374" si="64">CONCATENATE("0x",N374,",0x",N375,",0x",N376,",0x",N377,",0x",N378,",0x",N379,",0x",N380,",0x",N381,",0x",N382,",0x",N383,", //",C374)</f>
        <v>0x1F,0x10,0x10,0x1E,0x10,0x10,0x10,0x1F,0x00,0x00, //E</v>
      </c>
    </row>
    <row r="375" spans="1:16" ht="12" customHeight="1" x14ac:dyDescent="0.3">
      <c r="A375" s="32">
        <v>2</v>
      </c>
      <c r="B375" s="46"/>
      <c r="C375" s="46"/>
      <c r="G375" s="35">
        <v>1</v>
      </c>
      <c r="M375" s="32">
        <f t="shared" si="57"/>
        <v>16</v>
      </c>
      <c r="N375" s="32" t="str">
        <f t="shared" si="62"/>
        <v>10</v>
      </c>
      <c r="P375" s="47"/>
    </row>
    <row r="376" spans="1:16" ht="12" customHeight="1" x14ac:dyDescent="0.3">
      <c r="A376" s="32">
        <v>3</v>
      </c>
      <c r="B376" s="46"/>
      <c r="C376" s="46"/>
      <c r="G376" s="35">
        <v>1</v>
      </c>
      <c r="M376" s="32">
        <f t="shared" si="57"/>
        <v>16</v>
      </c>
      <c r="N376" s="32" t="str">
        <f t="shared" si="62"/>
        <v>10</v>
      </c>
      <c r="P376" s="47"/>
    </row>
    <row r="377" spans="1:16" ht="12" customHeight="1" x14ac:dyDescent="0.3">
      <c r="A377" s="32">
        <v>4</v>
      </c>
      <c r="B377" s="46"/>
      <c r="C377" s="46"/>
      <c r="G377" s="35">
        <v>1</v>
      </c>
      <c r="H377" s="32">
        <v>1</v>
      </c>
      <c r="I377" s="32">
        <v>1</v>
      </c>
      <c r="J377" s="32">
        <v>1</v>
      </c>
      <c r="M377" s="32">
        <f t="shared" si="57"/>
        <v>30</v>
      </c>
      <c r="N377" s="32" t="str">
        <f t="shared" si="62"/>
        <v>1E</v>
      </c>
      <c r="P377" s="47"/>
    </row>
    <row r="378" spans="1:16" ht="12" customHeight="1" x14ac:dyDescent="0.3">
      <c r="A378" s="32">
        <v>5</v>
      </c>
      <c r="B378" s="46"/>
      <c r="C378" s="46"/>
      <c r="G378" s="35">
        <v>1</v>
      </c>
      <c r="M378" s="32">
        <f t="shared" si="57"/>
        <v>16</v>
      </c>
      <c r="N378" s="32" t="str">
        <f t="shared" si="62"/>
        <v>10</v>
      </c>
      <c r="P378" s="47"/>
    </row>
    <row r="379" spans="1:16" ht="12" customHeight="1" x14ac:dyDescent="0.3">
      <c r="A379" s="32">
        <v>6</v>
      </c>
      <c r="B379" s="46"/>
      <c r="C379" s="46"/>
      <c r="G379" s="35">
        <v>1</v>
      </c>
      <c r="M379" s="32">
        <f t="shared" si="57"/>
        <v>16</v>
      </c>
      <c r="N379" s="32" t="str">
        <f t="shared" si="62"/>
        <v>10</v>
      </c>
      <c r="P379" s="47"/>
    </row>
    <row r="380" spans="1:16" ht="12" customHeight="1" x14ac:dyDescent="0.3">
      <c r="A380" s="32">
        <v>7</v>
      </c>
      <c r="B380" s="46"/>
      <c r="C380" s="46"/>
      <c r="G380" s="35">
        <v>1</v>
      </c>
      <c r="M380" s="32">
        <f t="shared" si="57"/>
        <v>16</v>
      </c>
      <c r="N380" s="32" t="str">
        <f t="shared" si="62"/>
        <v>10</v>
      </c>
      <c r="P380" s="47"/>
    </row>
    <row r="381" spans="1:16" ht="12" customHeight="1" x14ac:dyDescent="0.3">
      <c r="A381" s="32">
        <v>8</v>
      </c>
      <c r="B381" s="46"/>
      <c r="C381" s="46"/>
      <c r="G381" s="35">
        <v>1</v>
      </c>
      <c r="H381" s="32">
        <v>1</v>
      </c>
      <c r="I381" s="32">
        <v>1</v>
      </c>
      <c r="J381" s="32">
        <v>1</v>
      </c>
      <c r="K381" s="32">
        <v>1</v>
      </c>
      <c r="M381" s="32">
        <f t="shared" si="57"/>
        <v>31</v>
      </c>
      <c r="N381" s="32" t="str">
        <f t="shared" si="62"/>
        <v>1F</v>
      </c>
      <c r="P381" s="47"/>
    </row>
    <row r="382" spans="1:16" ht="12" customHeight="1" x14ac:dyDescent="0.3">
      <c r="A382" s="32">
        <v>9</v>
      </c>
      <c r="B382" s="46"/>
      <c r="C382" s="46"/>
      <c r="M382" s="32">
        <f t="shared" si="57"/>
        <v>0</v>
      </c>
      <c r="N382" s="32" t="str">
        <f t="shared" si="62"/>
        <v>00</v>
      </c>
      <c r="P382" s="47"/>
    </row>
    <row r="383" spans="1:16" ht="12" customHeight="1" x14ac:dyDescent="0.3">
      <c r="A383" s="32">
        <v>10</v>
      </c>
      <c r="B383" s="46"/>
      <c r="C383" s="46"/>
      <c r="M383" s="32">
        <f t="shared" si="57"/>
        <v>0</v>
      </c>
      <c r="N383" s="32" t="str">
        <f t="shared" si="62"/>
        <v>00</v>
      </c>
      <c r="P383" s="47"/>
    </row>
    <row r="384" spans="1:16" ht="12" customHeight="1" x14ac:dyDescent="0.3">
      <c r="A384" s="32">
        <v>1</v>
      </c>
      <c r="B384" s="46">
        <v>70</v>
      </c>
      <c r="C384" s="46" t="str">
        <f t="shared" si="63"/>
        <v>F</v>
      </c>
      <c r="G384" s="35">
        <v>1</v>
      </c>
      <c r="H384" s="32">
        <v>1</v>
      </c>
      <c r="I384" s="32">
        <v>1</v>
      </c>
      <c r="J384" s="32">
        <v>1</v>
      </c>
      <c r="K384" s="32">
        <v>1</v>
      </c>
      <c r="M384" s="32">
        <f t="shared" si="57"/>
        <v>31</v>
      </c>
      <c r="N384" s="32" t="str">
        <f t="shared" si="62"/>
        <v>1F</v>
      </c>
      <c r="P384" s="47" t="str">
        <f t="shared" ref="P384" si="65">CONCATENATE("0x",N384,",0x",N385,",0x",N386,",0x",N387,",0x",N388,",0x",N389,",0x",N390,",0x",N391,",0x",N392,",0x",N393,", //",C384)</f>
        <v>0x1F,0x10,0x10,0x1E,0x10,0x10,0x10,0x10,0x00,0x00, //F</v>
      </c>
    </row>
    <row r="385" spans="1:16" ht="12" customHeight="1" x14ac:dyDescent="0.3">
      <c r="A385" s="32">
        <v>2</v>
      </c>
      <c r="B385" s="46"/>
      <c r="C385" s="46"/>
      <c r="G385" s="35">
        <v>1</v>
      </c>
      <c r="M385" s="32">
        <f t="shared" si="57"/>
        <v>16</v>
      </c>
      <c r="N385" s="32" t="str">
        <f t="shared" si="62"/>
        <v>10</v>
      </c>
      <c r="P385" s="47"/>
    </row>
    <row r="386" spans="1:16" ht="12" customHeight="1" x14ac:dyDescent="0.3">
      <c r="A386" s="32">
        <v>3</v>
      </c>
      <c r="B386" s="46"/>
      <c r="C386" s="46"/>
      <c r="G386" s="35">
        <v>1</v>
      </c>
      <c r="M386" s="32">
        <f t="shared" si="57"/>
        <v>16</v>
      </c>
      <c r="N386" s="32" t="str">
        <f t="shared" si="62"/>
        <v>10</v>
      </c>
      <c r="P386" s="47"/>
    </row>
    <row r="387" spans="1:16" ht="12" customHeight="1" x14ac:dyDescent="0.3">
      <c r="A387" s="32">
        <v>4</v>
      </c>
      <c r="B387" s="46"/>
      <c r="C387" s="46"/>
      <c r="G387" s="35">
        <v>1</v>
      </c>
      <c r="H387" s="32">
        <v>1</v>
      </c>
      <c r="I387" s="32">
        <v>1</v>
      </c>
      <c r="J387" s="32">
        <v>1</v>
      </c>
      <c r="M387" s="32">
        <f t="shared" si="57"/>
        <v>30</v>
      </c>
      <c r="N387" s="32" t="str">
        <f t="shared" si="62"/>
        <v>1E</v>
      </c>
      <c r="P387" s="47"/>
    </row>
    <row r="388" spans="1:16" ht="12" customHeight="1" x14ac:dyDescent="0.3">
      <c r="A388" s="32">
        <v>5</v>
      </c>
      <c r="B388" s="46"/>
      <c r="C388" s="46"/>
      <c r="G388" s="35">
        <v>1</v>
      </c>
      <c r="M388" s="32">
        <f t="shared" si="57"/>
        <v>16</v>
      </c>
      <c r="N388" s="32" t="str">
        <f t="shared" si="62"/>
        <v>10</v>
      </c>
      <c r="P388" s="47"/>
    </row>
    <row r="389" spans="1:16" ht="12" customHeight="1" x14ac:dyDescent="0.3">
      <c r="A389" s="32">
        <v>6</v>
      </c>
      <c r="B389" s="46"/>
      <c r="C389" s="46"/>
      <c r="G389" s="35">
        <v>1</v>
      </c>
      <c r="M389" s="32">
        <f t="shared" si="57"/>
        <v>16</v>
      </c>
      <c r="N389" s="32" t="str">
        <f t="shared" si="62"/>
        <v>10</v>
      </c>
      <c r="P389" s="47"/>
    </row>
    <row r="390" spans="1:16" ht="12" customHeight="1" x14ac:dyDescent="0.3">
      <c r="A390" s="32">
        <v>7</v>
      </c>
      <c r="B390" s="46"/>
      <c r="C390" s="46"/>
      <c r="G390" s="35">
        <v>1</v>
      </c>
      <c r="M390" s="32">
        <f t="shared" si="57"/>
        <v>16</v>
      </c>
      <c r="N390" s="32" t="str">
        <f t="shared" si="62"/>
        <v>10</v>
      </c>
      <c r="P390" s="47"/>
    </row>
    <row r="391" spans="1:16" ht="12" customHeight="1" x14ac:dyDescent="0.3">
      <c r="A391" s="32">
        <v>8</v>
      </c>
      <c r="B391" s="46"/>
      <c r="C391" s="46"/>
      <c r="G391" s="35">
        <v>1</v>
      </c>
      <c r="M391" s="32">
        <f t="shared" si="57"/>
        <v>16</v>
      </c>
      <c r="N391" s="32" t="str">
        <f t="shared" si="62"/>
        <v>10</v>
      </c>
      <c r="P391" s="47"/>
    </row>
    <row r="392" spans="1:16" ht="12" customHeight="1" x14ac:dyDescent="0.3">
      <c r="A392" s="32">
        <v>9</v>
      </c>
      <c r="B392" s="46"/>
      <c r="C392" s="46"/>
      <c r="M392" s="32">
        <f t="shared" si="57"/>
        <v>0</v>
      </c>
      <c r="N392" s="32" t="str">
        <f t="shared" si="62"/>
        <v>00</v>
      </c>
      <c r="P392" s="47"/>
    </row>
    <row r="393" spans="1:16" ht="12" customHeight="1" x14ac:dyDescent="0.3">
      <c r="A393" s="32">
        <v>10</v>
      </c>
      <c r="B393" s="46"/>
      <c r="C393" s="46"/>
      <c r="M393" s="32">
        <f t="shared" si="57"/>
        <v>0</v>
      </c>
      <c r="N393" s="32" t="str">
        <f t="shared" si="62"/>
        <v>00</v>
      </c>
      <c r="P393" s="47"/>
    </row>
    <row r="394" spans="1:16" ht="12" customHeight="1" x14ac:dyDescent="0.3">
      <c r="A394" s="32">
        <v>1</v>
      </c>
      <c r="B394" s="46">
        <v>71</v>
      </c>
      <c r="C394" s="46" t="str">
        <f t="shared" si="63"/>
        <v>G</v>
      </c>
      <c r="H394" s="32">
        <v>1</v>
      </c>
      <c r="I394" s="32">
        <v>1</v>
      </c>
      <c r="J394" s="32">
        <v>1</v>
      </c>
      <c r="M394" s="32">
        <f t="shared" si="57"/>
        <v>14</v>
      </c>
      <c r="N394" s="32" t="str">
        <f t="shared" si="62"/>
        <v>0E</v>
      </c>
      <c r="P394" s="47" t="str">
        <f t="shared" ref="P394" si="66">CONCATENATE("0x",N394,",0x",N395,",0x",N396,",0x",N397,",0x",N398,",0x",N399,",0x",N400,",0x",N401,",0x",N402,",0x",N403,", //",C394)</f>
        <v>0x0E,0x11,0x10,0x17,0x11,0x11,0x11,0x0F,0x00,0x00, //G</v>
      </c>
    </row>
    <row r="395" spans="1:16" ht="12" customHeight="1" x14ac:dyDescent="0.3">
      <c r="A395" s="32">
        <v>2</v>
      </c>
      <c r="B395" s="46"/>
      <c r="C395" s="46"/>
      <c r="G395" s="35">
        <v>1</v>
      </c>
      <c r="K395" s="32">
        <v>1</v>
      </c>
      <c r="M395" s="32">
        <f t="shared" si="57"/>
        <v>17</v>
      </c>
      <c r="N395" s="32" t="str">
        <f t="shared" si="62"/>
        <v>11</v>
      </c>
      <c r="P395" s="47"/>
    </row>
    <row r="396" spans="1:16" ht="12" customHeight="1" x14ac:dyDescent="0.3">
      <c r="A396" s="32">
        <v>3</v>
      </c>
      <c r="B396" s="46"/>
      <c r="C396" s="46"/>
      <c r="G396" s="35">
        <v>1</v>
      </c>
      <c r="M396" s="32">
        <f t="shared" si="57"/>
        <v>16</v>
      </c>
      <c r="N396" s="32" t="str">
        <f t="shared" si="62"/>
        <v>10</v>
      </c>
      <c r="P396" s="47"/>
    </row>
    <row r="397" spans="1:16" ht="12" customHeight="1" x14ac:dyDescent="0.3">
      <c r="A397" s="32">
        <v>4</v>
      </c>
      <c r="B397" s="46"/>
      <c r="C397" s="46"/>
      <c r="G397" s="35">
        <v>1</v>
      </c>
      <c r="I397" s="32">
        <v>1</v>
      </c>
      <c r="J397" s="32">
        <v>1</v>
      </c>
      <c r="K397" s="32">
        <v>1</v>
      </c>
      <c r="M397" s="32">
        <f t="shared" si="57"/>
        <v>23</v>
      </c>
      <c r="N397" s="32" t="str">
        <f t="shared" si="62"/>
        <v>17</v>
      </c>
      <c r="P397" s="47"/>
    </row>
    <row r="398" spans="1:16" ht="12" customHeight="1" x14ac:dyDescent="0.3">
      <c r="A398" s="32">
        <v>5</v>
      </c>
      <c r="B398" s="46"/>
      <c r="C398" s="46"/>
      <c r="G398" s="35">
        <v>1</v>
      </c>
      <c r="K398" s="32">
        <v>1</v>
      </c>
      <c r="M398" s="32">
        <f t="shared" si="57"/>
        <v>17</v>
      </c>
      <c r="N398" s="32" t="str">
        <f t="shared" si="62"/>
        <v>11</v>
      </c>
      <c r="P398" s="47"/>
    </row>
    <row r="399" spans="1:16" ht="12" customHeight="1" x14ac:dyDescent="0.3">
      <c r="A399" s="32">
        <v>6</v>
      </c>
      <c r="B399" s="46"/>
      <c r="C399" s="46"/>
      <c r="G399" s="35">
        <v>1</v>
      </c>
      <c r="K399" s="32">
        <v>1</v>
      </c>
      <c r="M399" s="32">
        <f t="shared" ref="M399:M462" si="67">G399*G$2+H399*H$2+I399*I$2+J399*J$2+K399*K$2+F399*F$2+E399*E$2+D399*D$2</f>
        <v>17</v>
      </c>
      <c r="N399" s="32" t="str">
        <f t="shared" si="62"/>
        <v>11</v>
      </c>
      <c r="P399" s="47"/>
    </row>
    <row r="400" spans="1:16" ht="12" customHeight="1" x14ac:dyDescent="0.3">
      <c r="A400" s="32">
        <v>7</v>
      </c>
      <c r="B400" s="46"/>
      <c r="C400" s="46"/>
      <c r="G400" s="35">
        <v>1</v>
      </c>
      <c r="K400" s="32">
        <v>1</v>
      </c>
      <c r="M400" s="32">
        <f t="shared" si="67"/>
        <v>17</v>
      </c>
      <c r="N400" s="32" t="str">
        <f t="shared" si="62"/>
        <v>11</v>
      </c>
      <c r="P400" s="47"/>
    </row>
    <row r="401" spans="1:16" ht="12" customHeight="1" x14ac:dyDescent="0.3">
      <c r="A401" s="32">
        <v>8</v>
      </c>
      <c r="B401" s="46"/>
      <c r="C401" s="46"/>
      <c r="H401" s="32">
        <v>1</v>
      </c>
      <c r="I401" s="32">
        <v>1</v>
      </c>
      <c r="J401" s="32">
        <v>1</v>
      </c>
      <c r="K401" s="32">
        <v>1</v>
      </c>
      <c r="M401" s="32">
        <f t="shared" si="67"/>
        <v>15</v>
      </c>
      <c r="N401" s="32" t="str">
        <f t="shared" si="62"/>
        <v>0F</v>
      </c>
      <c r="P401" s="47"/>
    </row>
    <row r="402" spans="1:16" ht="12" customHeight="1" x14ac:dyDescent="0.3">
      <c r="A402" s="32">
        <v>9</v>
      </c>
      <c r="B402" s="46"/>
      <c r="C402" s="46"/>
      <c r="M402" s="32">
        <f t="shared" si="67"/>
        <v>0</v>
      </c>
      <c r="N402" s="32" t="str">
        <f t="shared" si="62"/>
        <v>00</v>
      </c>
      <c r="P402" s="47"/>
    </row>
    <row r="403" spans="1:16" ht="12" customHeight="1" x14ac:dyDescent="0.3">
      <c r="A403" s="32">
        <v>10</v>
      </c>
      <c r="B403" s="46"/>
      <c r="C403" s="46"/>
      <c r="M403" s="32">
        <f t="shared" si="67"/>
        <v>0</v>
      </c>
      <c r="N403" s="32" t="str">
        <f t="shared" ref="N403:N433" si="68">DEC2HEX(M403,2)</f>
        <v>00</v>
      </c>
      <c r="P403" s="47"/>
    </row>
    <row r="404" spans="1:16" ht="12" customHeight="1" x14ac:dyDescent="0.3">
      <c r="A404" s="32">
        <v>1</v>
      </c>
      <c r="B404" s="46">
        <v>72</v>
      </c>
      <c r="C404" s="46" t="str">
        <f t="shared" si="63"/>
        <v>H</v>
      </c>
      <c r="G404" s="35">
        <v>1</v>
      </c>
      <c r="K404" s="32">
        <v>1</v>
      </c>
      <c r="M404" s="32">
        <f t="shared" si="67"/>
        <v>17</v>
      </c>
      <c r="N404" s="32" t="str">
        <f t="shared" si="68"/>
        <v>11</v>
      </c>
      <c r="P404" s="47" t="str">
        <f t="shared" ref="P404" si="69">CONCATENATE("0x",N404,",0x",N405,",0x",N406,",0x",N407,",0x",N408,",0x",N409,",0x",N410,",0x",N411,",0x",N412,",0x",N413,", //",C404)</f>
        <v>0x11,0x11,0x11,0x1F,0x11,0x11,0x11,0x11,0x00,0x00, //H</v>
      </c>
    </row>
    <row r="405" spans="1:16" ht="12" customHeight="1" x14ac:dyDescent="0.3">
      <c r="A405" s="32">
        <v>2</v>
      </c>
      <c r="B405" s="46"/>
      <c r="C405" s="46"/>
      <c r="G405" s="35">
        <v>1</v>
      </c>
      <c r="K405" s="32">
        <v>1</v>
      </c>
      <c r="M405" s="32">
        <f t="shared" si="67"/>
        <v>17</v>
      </c>
      <c r="N405" s="32" t="str">
        <f t="shared" si="68"/>
        <v>11</v>
      </c>
      <c r="P405" s="47"/>
    </row>
    <row r="406" spans="1:16" ht="12" customHeight="1" x14ac:dyDescent="0.3">
      <c r="A406" s="32">
        <v>3</v>
      </c>
      <c r="B406" s="46"/>
      <c r="C406" s="46"/>
      <c r="G406" s="35">
        <v>1</v>
      </c>
      <c r="K406" s="32">
        <v>1</v>
      </c>
      <c r="M406" s="32">
        <f t="shared" si="67"/>
        <v>17</v>
      </c>
      <c r="N406" s="32" t="str">
        <f t="shared" si="68"/>
        <v>11</v>
      </c>
      <c r="P406" s="47"/>
    </row>
    <row r="407" spans="1:16" ht="12" customHeight="1" x14ac:dyDescent="0.3">
      <c r="A407" s="32">
        <v>4</v>
      </c>
      <c r="B407" s="46"/>
      <c r="C407" s="46"/>
      <c r="G407" s="35">
        <v>1</v>
      </c>
      <c r="H407" s="32">
        <v>1</v>
      </c>
      <c r="I407" s="32">
        <v>1</v>
      </c>
      <c r="J407" s="32">
        <v>1</v>
      </c>
      <c r="K407" s="32">
        <v>1</v>
      </c>
      <c r="M407" s="32">
        <f t="shared" si="67"/>
        <v>31</v>
      </c>
      <c r="N407" s="32" t="str">
        <f t="shared" si="68"/>
        <v>1F</v>
      </c>
      <c r="P407" s="47"/>
    </row>
    <row r="408" spans="1:16" ht="12" customHeight="1" x14ac:dyDescent="0.3">
      <c r="A408" s="32">
        <v>5</v>
      </c>
      <c r="B408" s="46"/>
      <c r="C408" s="46"/>
      <c r="G408" s="35">
        <v>1</v>
      </c>
      <c r="K408" s="32">
        <v>1</v>
      </c>
      <c r="M408" s="32">
        <f t="shared" si="67"/>
        <v>17</v>
      </c>
      <c r="N408" s="32" t="str">
        <f t="shared" si="68"/>
        <v>11</v>
      </c>
      <c r="P408" s="47"/>
    </row>
    <row r="409" spans="1:16" ht="12" customHeight="1" x14ac:dyDescent="0.3">
      <c r="A409" s="32">
        <v>6</v>
      </c>
      <c r="B409" s="46"/>
      <c r="C409" s="46"/>
      <c r="G409" s="35">
        <v>1</v>
      </c>
      <c r="K409" s="32">
        <v>1</v>
      </c>
      <c r="M409" s="32">
        <f t="shared" si="67"/>
        <v>17</v>
      </c>
      <c r="N409" s="32" t="str">
        <f t="shared" si="68"/>
        <v>11</v>
      </c>
      <c r="P409" s="47"/>
    </row>
    <row r="410" spans="1:16" ht="12" customHeight="1" x14ac:dyDescent="0.3">
      <c r="A410" s="32">
        <v>7</v>
      </c>
      <c r="B410" s="46"/>
      <c r="C410" s="46"/>
      <c r="G410" s="35">
        <v>1</v>
      </c>
      <c r="K410" s="32">
        <v>1</v>
      </c>
      <c r="M410" s="32">
        <f t="shared" si="67"/>
        <v>17</v>
      </c>
      <c r="N410" s="32" t="str">
        <f t="shared" si="68"/>
        <v>11</v>
      </c>
      <c r="P410" s="47"/>
    </row>
    <row r="411" spans="1:16" ht="12" customHeight="1" x14ac:dyDescent="0.3">
      <c r="A411" s="32">
        <v>8</v>
      </c>
      <c r="B411" s="46"/>
      <c r="C411" s="46"/>
      <c r="G411" s="35">
        <v>1</v>
      </c>
      <c r="K411" s="32">
        <v>1</v>
      </c>
      <c r="M411" s="32">
        <f t="shared" si="67"/>
        <v>17</v>
      </c>
      <c r="N411" s="32" t="str">
        <f t="shared" si="68"/>
        <v>11</v>
      </c>
      <c r="P411" s="47"/>
    </row>
    <row r="412" spans="1:16" ht="12" customHeight="1" x14ac:dyDescent="0.3">
      <c r="A412" s="32">
        <v>9</v>
      </c>
      <c r="B412" s="46"/>
      <c r="C412" s="46"/>
      <c r="M412" s="32">
        <f t="shared" si="67"/>
        <v>0</v>
      </c>
      <c r="N412" s="32" t="str">
        <f t="shared" si="68"/>
        <v>00</v>
      </c>
      <c r="P412" s="47"/>
    </row>
    <row r="413" spans="1:16" ht="12" customHeight="1" x14ac:dyDescent="0.3">
      <c r="A413" s="32">
        <v>10</v>
      </c>
      <c r="B413" s="46"/>
      <c r="C413" s="46"/>
      <c r="M413" s="32">
        <f t="shared" si="67"/>
        <v>0</v>
      </c>
      <c r="N413" s="32" t="str">
        <f t="shared" si="68"/>
        <v>00</v>
      </c>
      <c r="P413" s="47"/>
    </row>
    <row r="414" spans="1:16" ht="12" customHeight="1" x14ac:dyDescent="0.3">
      <c r="A414" s="32">
        <v>1</v>
      </c>
      <c r="B414" s="46">
        <v>73</v>
      </c>
      <c r="C414" s="46" t="str">
        <f t="shared" si="63"/>
        <v>I</v>
      </c>
      <c r="I414" s="32">
        <v>1</v>
      </c>
      <c r="J414" s="32">
        <v>1</v>
      </c>
      <c r="K414" s="32">
        <v>1</v>
      </c>
      <c r="M414" s="32">
        <f t="shared" si="67"/>
        <v>7</v>
      </c>
      <c r="N414" s="32" t="str">
        <f t="shared" si="68"/>
        <v>07</v>
      </c>
      <c r="P414" s="47" t="str">
        <f t="shared" ref="P414" si="70">CONCATENATE("0x",N414,",0x",N415,",0x",N416,",0x",N417,",0x",N418,",0x",N419,",0x",N420,",0x",N421,",0x",N422,",0x",N423,", //",C414)</f>
        <v>0x07,0x02,0x02,0x02,0x02,0x02,0x02,0x07,0x00,0x00, //I</v>
      </c>
    </row>
    <row r="415" spans="1:16" ht="12" customHeight="1" x14ac:dyDescent="0.3">
      <c r="A415" s="32">
        <v>2</v>
      </c>
      <c r="B415" s="46"/>
      <c r="C415" s="46"/>
      <c r="J415" s="32">
        <v>1</v>
      </c>
      <c r="M415" s="32">
        <f t="shared" si="67"/>
        <v>2</v>
      </c>
      <c r="N415" s="32" t="str">
        <f t="shared" si="68"/>
        <v>02</v>
      </c>
      <c r="P415" s="47"/>
    </row>
    <row r="416" spans="1:16" ht="12" customHeight="1" x14ac:dyDescent="0.3">
      <c r="A416" s="32">
        <v>3</v>
      </c>
      <c r="B416" s="46"/>
      <c r="C416" s="46"/>
      <c r="J416" s="32">
        <v>1</v>
      </c>
      <c r="M416" s="32">
        <f t="shared" si="67"/>
        <v>2</v>
      </c>
      <c r="N416" s="32" t="str">
        <f t="shared" si="68"/>
        <v>02</v>
      </c>
      <c r="P416" s="47"/>
    </row>
    <row r="417" spans="1:16" ht="12" customHeight="1" x14ac:dyDescent="0.3">
      <c r="A417" s="32">
        <v>4</v>
      </c>
      <c r="B417" s="46"/>
      <c r="C417" s="46"/>
      <c r="J417" s="32">
        <v>1</v>
      </c>
      <c r="M417" s="32">
        <f t="shared" si="67"/>
        <v>2</v>
      </c>
      <c r="N417" s="32" t="str">
        <f t="shared" si="68"/>
        <v>02</v>
      </c>
      <c r="P417" s="47"/>
    </row>
    <row r="418" spans="1:16" ht="12" customHeight="1" x14ac:dyDescent="0.3">
      <c r="A418" s="32">
        <v>5</v>
      </c>
      <c r="B418" s="46"/>
      <c r="C418" s="46"/>
      <c r="J418" s="32">
        <v>1</v>
      </c>
      <c r="M418" s="32">
        <f t="shared" si="67"/>
        <v>2</v>
      </c>
      <c r="N418" s="32" t="str">
        <f t="shared" si="68"/>
        <v>02</v>
      </c>
      <c r="P418" s="47"/>
    </row>
    <row r="419" spans="1:16" ht="12" customHeight="1" x14ac:dyDescent="0.3">
      <c r="A419" s="32">
        <v>6</v>
      </c>
      <c r="B419" s="46"/>
      <c r="C419" s="46"/>
      <c r="J419" s="32">
        <v>1</v>
      </c>
      <c r="M419" s="32">
        <f t="shared" si="67"/>
        <v>2</v>
      </c>
      <c r="N419" s="32" t="str">
        <f t="shared" si="68"/>
        <v>02</v>
      </c>
      <c r="P419" s="47"/>
    </row>
    <row r="420" spans="1:16" ht="12" customHeight="1" x14ac:dyDescent="0.3">
      <c r="A420" s="32">
        <v>7</v>
      </c>
      <c r="B420" s="46"/>
      <c r="C420" s="46"/>
      <c r="J420" s="32">
        <v>1</v>
      </c>
      <c r="M420" s="32">
        <f t="shared" si="67"/>
        <v>2</v>
      </c>
      <c r="N420" s="32" t="str">
        <f t="shared" si="68"/>
        <v>02</v>
      </c>
      <c r="P420" s="47"/>
    </row>
    <row r="421" spans="1:16" ht="12" customHeight="1" x14ac:dyDescent="0.3">
      <c r="A421" s="32">
        <v>8</v>
      </c>
      <c r="B421" s="46"/>
      <c r="C421" s="46"/>
      <c r="I421" s="32">
        <v>1</v>
      </c>
      <c r="J421" s="32">
        <v>1</v>
      </c>
      <c r="K421" s="32">
        <v>1</v>
      </c>
      <c r="M421" s="32">
        <f t="shared" si="67"/>
        <v>7</v>
      </c>
      <c r="N421" s="32" t="str">
        <f t="shared" si="68"/>
        <v>07</v>
      </c>
      <c r="P421" s="47"/>
    </row>
    <row r="422" spans="1:16" ht="12" customHeight="1" x14ac:dyDescent="0.3">
      <c r="A422" s="32">
        <v>9</v>
      </c>
      <c r="B422" s="46"/>
      <c r="C422" s="46"/>
      <c r="M422" s="32">
        <f t="shared" si="67"/>
        <v>0</v>
      </c>
      <c r="N422" s="32" t="str">
        <f t="shared" si="68"/>
        <v>00</v>
      </c>
      <c r="P422" s="47"/>
    </row>
    <row r="423" spans="1:16" ht="12" customHeight="1" x14ac:dyDescent="0.3">
      <c r="A423" s="32">
        <v>10</v>
      </c>
      <c r="B423" s="46"/>
      <c r="C423" s="46"/>
      <c r="M423" s="32">
        <f t="shared" si="67"/>
        <v>0</v>
      </c>
      <c r="N423" s="32" t="str">
        <f t="shared" si="68"/>
        <v>00</v>
      </c>
      <c r="P423" s="47"/>
    </row>
    <row r="424" spans="1:16" ht="12" customHeight="1" x14ac:dyDescent="0.3">
      <c r="A424" s="32">
        <v>1</v>
      </c>
      <c r="B424" s="46">
        <v>74</v>
      </c>
      <c r="C424" s="46" t="str">
        <f t="shared" si="63"/>
        <v>J</v>
      </c>
      <c r="G424" s="35">
        <v>1</v>
      </c>
      <c r="H424" s="32">
        <v>1</v>
      </c>
      <c r="I424" s="32">
        <v>1</v>
      </c>
      <c r="J424" s="32">
        <v>1</v>
      </c>
      <c r="K424" s="32">
        <v>1</v>
      </c>
      <c r="M424" s="32">
        <f t="shared" si="67"/>
        <v>31</v>
      </c>
      <c r="N424" s="32" t="str">
        <f t="shared" si="68"/>
        <v>1F</v>
      </c>
      <c r="P424" s="47" t="str">
        <f t="shared" ref="P424" si="71">CONCATENATE("0x",N424,",0x",N425,",0x",N426,",0x",N427,",0x",N428,",0x",N429,",0x",N430,",0x",N431,",0x",N432,",0x",N433,", //",C424)</f>
        <v>0x1F,0x01,0x01,0x01,0x01,0x11,0x11,0x0E,0x00,0x00, //J</v>
      </c>
    </row>
    <row r="425" spans="1:16" ht="12" customHeight="1" x14ac:dyDescent="0.3">
      <c r="A425" s="32">
        <v>2</v>
      </c>
      <c r="B425" s="46"/>
      <c r="C425" s="46"/>
      <c r="K425" s="32">
        <v>1</v>
      </c>
      <c r="M425" s="32">
        <f t="shared" si="67"/>
        <v>1</v>
      </c>
      <c r="N425" s="32" t="str">
        <f t="shared" si="68"/>
        <v>01</v>
      </c>
      <c r="P425" s="47"/>
    </row>
    <row r="426" spans="1:16" ht="12" customHeight="1" x14ac:dyDescent="0.3">
      <c r="A426" s="32">
        <v>3</v>
      </c>
      <c r="B426" s="46"/>
      <c r="C426" s="46"/>
      <c r="K426" s="32">
        <v>1</v>
      </c>
      <c r="M426" s="32">
        <f t="shared" si="67"/>
        <v>1</v>
      </c>
      <c r="N426" s="32" t="str">
        <f t="shared" si="68"/>
        <v>01</v>
      </c>
      <c r="P426" s="47"/>
    </row>
    <row r="427" spans="1:16" ht="12" customHeight="1" x14ac:dyDescent="0.3">
      <c r="A427" s="32">
        <v>4</v>
      </c>
      <c r="B427" s="46"/>
      <c r="C427" s="46"/>
      <c r="K427" s="32">
        <v>1</v>
      </c>
      <c r="M427" s="32">
        <f t="shared" si="67"/>
        <v>1</v>
      </c>
      <c r="N427" s="32" t="str">
        <f t="shared" si="68"/>
        <v>01</v>
      </c>
      <c r="P427" s="47"/>
    </row>
    <row r="428" spans="1:16" ht="12" customHeight="1" x14ac:dyDescent="0.3">
      <c r="A428" s="32">
        <v>5</v>
      </c>
      <c r="B428" s="46"/>
      <c r="C428" s="46"/>
      <c r="K428" s="32">
        <v>1</v>
      </c>
      <c r="M428" s="32">
        <f t="shared" si="67"/>
        <v>1</v>
      </c>
      <c r="N428" s="32" t="str">
        <f t="shared" si="68"/>
        <v>01</v>
      </c>
      <c r="P428" s="47"/>
    </row>
    <row r="429" spans="1:16" ht="12" customHeight="1" x14ac:dyDescent="0.3">
      <c r="A429" s="32">
        <v>6</v>
      </c>
      <c r="B429" s="46"/>
      <c r="C429" s="46"/>
      <c r="G429" s="35">
        <v>1</v>
      </c>
      <c r="K429" s="32">
        <v>1</v>
      </c>
      <c r="M429" s="32">
        <f t="shared" si="67"/>
        <v>17</v>
      </c>
      <c r="N429" s="32" t="str">
        <f t="shared" si="68"/>
        <v>11</v>
      </c>
      <c r="P429" s="47"/>
    </row>
    <row r="430" spans="1:16" ht="12" customHeight="1" x14ac:dyDescent="0.3">
      <c r="A430" s="32">
        <v>7</v>
      </c>
      <c r="B430" s="46"/>
      <c r="C430" s="46"/>
      <c r="G430" s="35">
        <v>1</v>
      </c>
      <c r="K430" s="32">
        <v>1</v>
      </c>
      <c r="M430" s="32">
        <f t="shared" si="67"/>
        <v>17</v>
      </c>
      <c r="N430" s="32" t="str">
        <f t="shared" si="68"/>
        <v>11</v>
      </c>
      <c r="P430" s="47"/>
    </row>
    <row r="431" spans="1:16" ht="12" customHeight="1" x14ac:dyDescent="0.3">
      <c r="A431" s="32">
        <v>8</v>
      </c>
      <c r="B431" s="46"/>
      <c r="C431" s="46"/>
      <c r="H431" s="32">
        <v>1</v>
      </c>
      <c r="I431" s="32">
        <v>1</v>
      </c>
      <c r="J431" s="32">
        <v>1</v>
      </c>
      <c r="M431" s="32">
        <f t="shared" si="67"/>
        <v>14</v>
      </c>
      <c r="N431" s="32" t="str">
        <f t="shared" si="68"/>
        <v>0E</v>
      </c>
      <c r="P431" s="47"/>
    </row>
    <row r="432" spans="1:16" ht="12" customHeight="1" x14ac:dyDescent="0.3">
      <c r="A432" s="32">
        <v>9</v>
      </c>
      <c r="B432" s="46"/>
      <c r="C432" s="46"/>
      <c r="M432" s="32">
        <f t="shared" si="67"/>
        <v>0</v>
      </c>
      <c r="N432" s="32" t="str">
        <f t="shared" si="68"/>
        <v>00</v>
      </c>
      <c r="P432" s="47"/>
    </row>
    <row r="433" spans="1:16" ht="12" customHeight="1" x14ac:dyDescent="0.3">
      <c r="A433" s="32">
        <v>10</v>
      </c>
      <c r="B433" s="46"/>
      <c r="C433" s="46"/>
      <c r="M433" s="32">
        <f t="shared" si="67"/>
        <v>0</v>
      </c>
      <c r="N433" s="32" t="str">
        <f t="shared" si="68"/>
        <v>00</v>
      </c>
      <c r="P433" s="47"/>
    </row>
    <row r="434" spans="1:16" ht="12" customHeight="1" x14ac:dyDescent="0.3">
      <c r="A434" s="32">
        <v>1</v>
      </c>
      <c r="B434" s="46">
        <v>75</v>
      </c>
      <c r="C434" s="46" t="str">
        <f t="shared" si="63"/>
        <v>K</v>
      </c>
      <c r="G434" s="35">
        <v>1</v>
      </c>
      <c r="K434" s="32">
        <v>1</v>
      </c>
      <c r="M434" s="32">
        <f t="shared" si="67"/>
        <v>17</v>
      </c>
      <c r="N434" s="32" t="str">
        <f t="shared" ref="N434:N463" si="72">DEC2HEX(M434,2)</f>
        <v>11</v>
      </c>
      <c r="P434" s="47" t="str">
        <f t="shared" ref="P434" si="73">CONCATENATE("0x",N434,",0x",N435,",0x",N436,",0x",N437,",0x",N438,",0x",N439,",0x",N440,",0x",N441,",0x",N442,",0x",N443,", //",C434)</f>
        <v>0x11,0x12,0x14,0x18,0x18,0x14,0x12,0x11,0x00,0x00, //K</v>
      </c>
    </row>
    <row r="435" spans="1:16" ht="12" customHeight="1" x14ac:dyDescent="0.3">
      <c r="A435" s="32">
        <v>2</v>
      </c>
      <c r="B435" s="46"/>
      <c r="C435" s="46"/>
      <c r="G435" s="35">
        <v>1</v>
      </c>
      <c r="J435" s="32">
        <v>1</v>
      </c>
      <c r="M435" s="32">
        <f t="shared" si="67"/>
        <v>18</v>
      </c>
      <c r="N435" s="32" t="str">
        <f t="shared" si="72"/>
        <v>12</v>
      </c>
      <c r="P435" s="47"/>
    </row>
    <row r="436" spans="1:16" ht="12" customHeight="1" x14ac:dyDescent="0.3">
      <c r="A436" s="32">
        <v>3</v>
      </c>
      <c r="B436" s="46"/>
      <c r="C436" s="46"/>
      <c r="G436" s="35">
        <v>1</v>
      </c>
      <c r="I436" s="32">
        <v>1</v>
      </c>
      <c r="M436" s="32">
        <f t="shared" si="67"/>
        <v>20</v>
      </c>
      <c r="N436" s="32" t="str">
        <f t="shared" si="72"/>
        <v>14</v>
      </c>
      <c r="P436" s="47"/>
    </row>
    <row r="437" spans="1:16" ht="12" customHeight="1" x14ac:dyDescent="0.3">
      <c r="A437" s="32">
        <v>4</v>
      </c>
      <c r="B437" s="46"/>
      <c r="C437" s="46"/>
      <c r="G437" s="35">
        <v>1</v>
      </c>
      <c r="H437" s="32">
        <v>1</v>
      </c>
      <c r="M437" s="32">
        <f t="shared" si="67"/>
        <v>24</v>
      </c>
      <c r="N437" s="32" t="str">
        <f t="shared" si="72"/>
        <v>18</v>
      </c>
      <c r="P437" s="47"/>
    </row>
    <row r="438" spans="1:16" ht="12" customHeight="1" x14ac:dyDescent="0.3">
      <c r="A438" s="32">
        <v>5</v>
      </c>
      <c r="B438" s="46"/>
      <c r="C438" s="46"/>
      <c r="G438" s="35">
        <v>1</v>
      </c>
      <c r="H438" s="32">
        <v>1</v>
      </c>
      <c r="M438" s="32">
        <f t="shared" si="67"/>
        <v>24</v>
      </c>
      <c r="N438" s="32" t="str">
        <f t="shared" si="72"/>
        <v>18</v>
      </c>
      <c r="P438" s="47"/>
    </row>
    <row r="439" spans="1:16" ht="12" customHeight="1" x14ac:dyDescent="0.3">
      <c r="A439" s="32">
        <v>6</v>
      </c>
      <c r="B439" s="46"/>
      <c r="C439" s="46"/>
      <c r="G439" s="35">
        <v>1</v>
      </c>
      <c r="I439" s="32">
        <v>1</v>
      </c>
      <c r="M439" s="32">
        <f t="shared" si="67"/>
        <v>20</v>
      </c>
      <c r="N439" s="32" t="str">
        <f t="shared" si="72"/>
        <v>14</v>
      </c>
      <c r="P439" s="47"/>
    </row>
    <row r="440" spans="1:16" ht="12" customHeight="1" x14ac:dyDescent="0.3">
      <c r="A440" s="32">
        <v>7</v>
      </c>
      <c r="B440" s="46"/>
      <c r="C440" s="46"/>
      <c r="G440" s="35">
        <v>1</v>
      </c>
      <c r="J440" s="32">
        <v>1</v>
      </c>
      <c r="M440" s="32">
        <f t="shared" si="67"/>
        <v>18</v>
      </c>
      <c r="N440" s="32" t="str">
        <f t="shared" si="72"/>
        <v>12</v>
      </c>
      <c r="P440" s="47"/>
    </row>
    <row r="441" spans="1:16" ht="12" customHeight="1" x14ac:dyDescent="0.3">
      <c r="A441" s="32">
        <v>8</v>
      </c>
      <c r="B441" s="46"/>
      <c r="C441" s="46"/>
      <c r="G441" s="35">
        <v>1</v>
      </c>
      <c r="K441" s="32">
        <v>1</v>
      </c>
      <c r="M441" s="32">
        <f t="shared" si="67"/>
        <v>17</v>
      </c>
      <c r="N441" s="32" t="str">
        <f t="shared" si="72"/>
        <v>11</v>
      </c>
      <c r="P441" s="47"/>
    </row>
    <row r="442" spans="1:16" ht="12" customHeight="1" x14ac:dyDescent="0.3">
      <c r="A442" s="32">
        <v>9</v>
      </c>
      <c r="B442" s="46"/>
      <c r="C442" s="46"/>
      <c r="M442" s="32">
        <f t="shared" si="67"/>
        <v>0</v>
      </c>
      <c r="N442" s="32" t="str">
        <f t="shared" si="72"/>
        <v>00</v>
      </c>
      <c r="P442" s="47"/>
    </row>
    <row r="443" spans="1:16" ht="12" customHeight="1" x14ac:dyDescent="0.3">
      <c r="A443" s="32">
        <v>10</v>
      </c>
      <c r="B443" s="46"/>
      <c r="C443" s="46"/>
      <c r="M443" s="32">
        <f t="shared" si="67"/>
        <v>0</v>
      </c>
      <c r="N443" s="32" t="str">
        <f t="shared" si="72"/>
        <v>00</v>
      </c>
      <c r="P443" s="47"/>
    </row>
    <row r="444" spans="1:16" ht="12" customHeight="1" x14ac:dyDescent="0.3">
      <c r="A444" s="32">
        <v>1</v>
      </c>
      <c r="B444" s="46">
        <v>76</v>
      </c>
      <c r="C444" s="46" t="str">
        <f t="shared" ref="C444:C504" si="74">CHAR(B444)</f>
        <v>L</v>
      </c>
      <c r="G444" s="35">
        <v>1</v>
      </c>
      <c r="M444" s="32">
        <f t="shared" si="67"/>
        <v>16</v>
      </c>
      <c r="N444" s="32" t="str">
        <f t="shared" si="72"/>
        <v>10</v>
      </c>
      <c r="P444" s="47" t="str">
        <f t="shared" ref="P444" si="75">CONCATENATE("0x",N444,",0x",N445,",0x",N446,",0x",N447,",0x",N448,",0x",N449,",0x",N450,",0x",N451,",0x",N452,",0x",N453,", //",C444)</f>
        <v>0x10,0x10,0x10,0x10,0x10,0x10,0x10,0x1F,0x00,0x00, //L</v>
      </c>
    </row>
    <row r="445" spans="1:16" ht="12" customHeight="1" x14ac:dyDescent="0.3">
      <c r="A445" s="32">
        <v>2</v>
      </c>
      <c r="B445" s="46"/>
      <c r="C445" s="46"/>
      <c r="G445" s="35">
        <v>1</v>
      </c>
      <c r="M445" s="32">
        <f t="shared" si="67"/>
        <v>16</v>
      </c>
      <c r="N445" s="32" t="str">
        <f t="shared" si="72"/>
        <v>10</v>
      </c>
      <c r="P445" s="47"/>
    </row>
    <row r="446" spans="1:16" ht="12" customHeight="1" x14ac:dyDescent="0.3">
      <c r="A446" s="32">
        <v>3</v>
      </c>
      <c r="B446" s="46"/>
      <c r="C446" s="46"/>
      <c r="G446" s="35">
        <v>1</v>
      </c>
      <c r="M446" s="32">
        <f t="shared" si="67"/>
        <v>16</v>
      </c>
      <c r="N446" s="32" t="str">
        <f t="shared" si="72"/>
        <v>10</v>
      </c>
      <c r="P446" s="47"/>
    </row>
    <row r="447" spans="1:16" ht="12" customHeight="1" x14ac:dyDescent="0.3">
      <c r="A447" s="32">
        <v>4</v>
      </c>
      <c r="B447" s="46"/>
      <c r="C447" s="46"/>
      <c r="G447" s="35">
        <v>1</v>
      </c>
      <c r="M447" s="32">
        <f t="shared" si="67"/>
        <v>16</v>
      </c>
      <c r="N447" s="32" t="str">
        <f t="shared" si="72"/>
        <v>10</v>
      </c>
      <c r="P447" s="47"/>
    </row>
    <row r="448" spans="1:16" ht="12" customHeight="1" x14ac:dyDescent="0.3">
      <c r="A448" s="32">
        <v>5</v>
      </c>
      <c r="B448" s="46"/>
      <c r="C448" s="46"/>
      <c r="G448" s="35">
        <v>1</v>
      </c>
      <c r="M448" s="32">
        <f t="shared" si="67"/>
        <v>16</v>
      </c>
      <c r="N448" s="32" t="str">
        <f t="shared" si="72"/>
        <v>10</v>
      </c>
      <c r="P448" s="47"/>
    </row>
    <row r="449" spans="1:16" ht="12" customHeight="1" x14ac:dyDescent="0.3">
      <c r="A449" s="32">
        <v>6</v>
      </c>
      <c r="B449" s="46"/>
      <c r="C449" s="46"/>
      <c r="G449" s="35">
        <v>1</v>
      </c>
      <c r="M449" s="32">
        <f t="shared" si="67"/>
        <v>16</v>
      </c>
      <c r="N449" s="32" t="str">
        <f t="shared" si="72"/>
        <v>10</v>
      </c>
      <c r="P449" s="47"/>
    </row>
    <row r="450" spans="1:16" ht="12" customHeight="1" x14ac:dyDescent="0.3">
      <c r="A450" s="32">
        <v>7</v>
      </c>
      <c r="B450" s="46"/>
      <c r="C450" s="46"/>
      <c r="G450" s="35">
        <v>1</v>
      </c>
      <c r="M450" s="32">
        <f t="shared" si="67"/>
        <v>16</v>
      </c>
      <c r="N450" s="32" t="str">
        <f t="shared" si="72"/>
        <v>10</v>
      </c>
      <c r="P450" s="47"/>
    </row>
    <row r="451" spans="1:16" ht="12" customHeight="1" x14ac:dyDescent="0.3">
      <c r="A451" s="32">
        <v>8</v>
      </c>
      <c r="B451" s="46"/>
      <c r="C451" s="46"/>
      <c r="G451" s="35">
        <v>1</v>
      </c>
      <c r="H451" s="32">
        <v>1</v>
      </c>
      <c r="I451" s="32">
        <v>1</v>
      </c>
      <c r="J451" s="32">
        <v>1</v>
      </c>
      <c r="K451" s="32">
        <v>1</v>
      </c>
      <c r="M451" s="32">
        <f t="shared" si="67"/>
        <v>31</v>
      </c>
      <c r="N451" s="32" t="str">
        <f t="shared" si="72"/>
        <v>1F</v>
      </c>
      <c r="P451" s="47"/>
    </row>
    <row r="452" spans="1:16" ht="12" customHeight="1" x14ac:dyDescent="0.3">
      <c r="A452" s="32">
        <v>9</v>
      </c>
      <c r="B452" s="46"/>
      <c r="C452" s="46"/>
      <c r="M452" s="32">
        <f t="shared" si="67"/>
        <v>0</v>
      </c>
      <c r="N452" s="32" t="str">
        <f t="shared" si="72"/>
        <v>00</v>
      </c>
      <c r="P452" s="47"/>
    </row>
    <row r="453" spans="1:16" ht="12" customHeight="1" x14ac:dyDescent="0.3">
      <c r="A453" s="32">
        <v>10</v>
      </c>
      <c r="B453" s="46"/>
      <c r="C453" s="46"/>
      <c r="M453" s="32">
        <f t="shared" si="67"/>
        <v>0</v>
      </c>
      <c r="N453" s="32" t="str">
        <f t="shared" si="72"/>
        <v>00</v>
      </c>
      <c r="P453" s="47"/>
    </row>
    <row r="454" spans="1:16" ht="12" customHeight="1" x14ac:dyDescent="0.3">
      <c r="A454" s="32">
        <v>1</v>
      </c>
      <c r="B454" s="46">
        <v>77</v>
      </c>
      <c r="C454" s="46" t="str">
        <f t="shared" si="74"/>
        <v>M</v>
      </c>
      <c r="G454" s="35">
        <v>1</v>
      </c>
      <c r="K454" s="32">
        <v>1</v>
      </c>
      <c r="M454" s="32">
        <f t="shared" si="67"/>
        <v>17</v>
      </c>
      <c r="N454" s="32" t="str">
        <f t="shared" si="72"/>
        <v>11</v>
      </c>
      <c r="P454" s="47" t="str">
        <f t="shared" ref="P454" si="76">CONCATENATE("0x",N454,",0x",N455,",0x",N456,",0x",N457,",0x",N458,",0x",N459,",0x",N460,",0x",N461,",0x",N462,",0x",N463,", //",C454)</f>
        <v>0x11,0x1B,0x15,0x15,0x15,0x15,0x15,0x15,0x00,0x00, //M</v>
      </c>
    </row>
    <row r="455" spans="1:16" ht="12" customHeight="1" x14ac:dyDescent="0.3">
      <c r="A455" s="32">
        <v>2</v>
      </c>
      <c r="B455" s="46"/>
      <c r="C455" s="46"/>
      <c r="G455" s="35">
        <v>1</v>
      </c>
      <c r="H455" s="32">
        <v>1</v>
      </c>
      <c r="J455" s="32">
        <v>1</v>
      </c>
      <c r="K455" s="32">
        <v>1</v>
      </c>
      <c r="M455" s="32">
        <f t="shared" si="67"/>
        <v>27</v>
      </c>
      <c r="N455" s="32" t="str">
        <f t="shared" si="72"/>
        <v>1B</v>
      </c>
      <c r="P455" s="47"/>
    </row>
    <row r="456" spans="1:16" ht="12" customHeight="1" x14ac:dyDescent="0.3">
      <c r="A456" s="32">
        <v>3</v>
      </c>
      <c r="B456" s="46"/>
      <c r="C456" s="46"/>
      <c r="G456" s="35">
        <v>1</v>
      </c>
      <c r="I456" s="32">
        <v>1</v>
      </c>
      <c r="K456" s="32">
        <v>1</v>
      </c>
      <c r="M456" s="32">
        <f t="shared" si="67"/>
        <v>21</v>
      </c>
      <c r="N456" s="32" t="str">
        <f t="shared" si="72"/>
        <v>15</v>
      </c>
      <c r="P456" s="47"/>
    </row>
    <row r="457" spans="1:16" ht="12" customHeight="1" x14ac:dyDescent="0.3">
      <c r="A457" s="32">
        <v>4</v>
      </c>
      <c r="B457" s="46"/>
      <c r="C457" s="46"/>
      <c r="G457" s="35">
        <v>1</v>
      </c>
      <c r="I457" s="32">
        <v>1</v>
      </c>
      <c r="K457" s="32">
        <v>1</v>
      </c>
      <c r="M457" s="32">
        <f t="shared" si="67"/>
        <v>21</v>
      </c>
      <c r="N457" s="32" t="str">
        <f t="shared" si="72"/>
        <v>15</v>
      </c>
      <c r="P457" s="47"/>
    </row>
    <row r="458" spans="1:16" ht="12" customHeight="1" x14ac:dyDescent="0.3">
      <c r="A458" s="32">
        <v>5</v>
      </c>
      <c r="B458" s="46"/>
      <c r="C458" s="46"/>
      <c r="G458" s="35">
        <v>1</v>
      </c>
      <c r="I458" s="32">
        <v>1</v>
      </c>
      <c r="K458" s="32">
        <v>1</v>
      </c>
      <c r="M458" s="32">
        <f t="shared" si="67"/>
        <v>21</v>
      </c>
      <c r="N458" s="32" t="str">
        <f t="shared" si="72"/>
        <v>15</v>
      </c>
      <c r="P458" s="47"/>
    </row>
    <row r="459" spans="1:16" ht="12" customHeight="1" x14ac:dyDescent="0.3">
      <c r="A459" s="32">
        <v>6</v>
      </c>
      <c r="B459" s="46"/>
      <c r="C459" s="46"/>
      <c r="G459" s="35">
        <v>1</v>
      </c>
      <c r="I459" s="32">
        <v>1</v>
      </c>
      <c r="K459" s="32">
        <v>1</v>
      </c>
      <c r="M459" s="32">
        <f t="shared" si="67"/>
        <v>21</v>
      </c>
      <c r="N459" s="32" t="str">
        <f t="shared" si="72"/>
        <v>15</v>
      </c>
      <c r="P459" s="47"/>
    </row>
    <row r="460" spans="1:16" ht="12" customHeight="1" x14ac:dyDescent="0.3">
      <c r="A460" s="32">
        <v>7</v>
      </c>
      <c r="B460" s="46"/>
      <c r="C460" s="46"/>
      <c r="G460" s="35">
        <v>1</v>
      </c>
      <c r="I460" s="32">
        <v>1</v>
      </c>
      <c r="K460" s="32">
        <v>1</v>
      </c>
      <c r="M460" s="32">
        <f t="shared" si="67"/>
        <v>21</v>
      </c>
      <c r="N460" s="32" t="str">
        <f t="shared" si="72"/>
        <v>15</v>
      </c>
      <c r="P460" s="47"/>
    </row>
    <row r="461" spans="1:16" ht="12" customHeight="1" x14ac:dyDescent="0.3">
      <c r="A461" s="32">
        <v>8</v>
      </c>
      <c r="B461" s="46"/>
      <c r="C461" s="46"/>
      <c r="G461" s="35">
        <v>1</v>
      </c>
      <c r="I461" s="32">
        <v>1</v>
      </c>
      <c r="K461" s="32">
        <v>1</v>
      </c>
      <c r="M461" s="32">
        <f t="shared" si="67"/>
        <v>21</v>
      </c>
      <c r="N461" s="32" t="str">
        <f t="shared" si="72"/>
        <v>15</v>
      </c>
      <c r="P461" s="47"/>
    </row>
    <row r="462" spans="1:16" ht="12" customHeight="1" x14ac:dyDescent="0.3">
      <c r="A462" s="32">
        <v>9</v>
      </c>
      <c r="B462" s="46"/>
      <c r="C462" s="46"/>
      <c r="M462" s="32">
        <f t="shared" si="67"/>
        <v>0</v>
      </c>
      <c r="N462" s="32" t="str">
        <f t="shared" si="72"/>
        <v>00</v>
      </c>
      <c r="P462" s="47"/>
    </row>
    <row r="463" spans="1:16" ht="12" customHeight="1" x14ac:dyDescent="0.3">
      <c r="A463" s="32">
        <v>10</v>
      </c>
      <c r="B463" s="46"/>
      <c r="C463" s="46"/>
      <c r="M463" s="32">
        <f t="shared" ref="M463:M526" si="77">G463*G$2+H463*H$2+I463*I$2+J463*J$2+K463*K$2+F463*F$2+E463*E$2+D463*D$2</f>
        <v>0</v>
      </c>
      <c r="N463" s="32" t="str">
        <f t="shared" si="72"/>
        <v>00</v>
      </c>
      <c r="P463" s="47"/>
    </row>
    <row r="464" spans="1:16" ht="12" customHeight="1" x14ac:dyDescent="0.3">
      <c r="A464" s="32">
        <v>1</v>
      </c>
      <c r="B464" s="46">
        <v>78</v>
      </c>
      <c r="C464" s="46" t="str">
        <f t="shared" si="74"/>
        <v>N</v>
      </c>
      <c r="G464" s="35">
        <v>1</v>
      </c>
      <c r="K464" s="32">
        <v>1</v>
      </c>
      <c r="M464" s="32">
        <f t="shared" si="77"/>
        <v>17</v>
      </c>
      <c r="N464" s="32" t="str">
        <f t="shared" ref="N464:N495" si="78">DEC2HEX(M464,2)</f>
        <v>11</v>
      </c>
      <c r="P464" s="47" t="str">
        <f t="shared" ref="P464" si="79">CONCATENATE("0x",N464,",0x",N465,",0x",N466,",0x",N467,",0x",N468,",0x",N469,",0x",N470,",0x",N471,",0x",N472,",0x",N473,", //",C464)</f>
        <v>0x11,0x11,0x19,0x15,0x13,0x11,0x11,0x11,0x00,0x00, //N</v>
      </c>
    </row>
    <row r="465" spans="1:16" ht="12" customHeight="1" x14ac:dyDescent="0.3">
      <c r="A465" s="32">
        <v>2</v>
      </c>
      <c r="B465" s="46"/>
      <c r="C465" s="46"/>
      <c r="G465" s="35">
        <v>1</v>
      </c>
      <c r="K465" s="32">
        <v>1</v>
      </c>
      <c r="M465" s="32">
        <f t="shared" si="77"/>
        <v>17</v>
      </c>
      <c r="N465" s="32" t="str">
        <f t="shared" si="78"/>
        <v>11</v>
      </c>
      <c r="P465" s="47"/>
    </row>
    <row r="466" spans="1:16" ht="12" customHeight="1" x14ac:dyDescent="0.3">
      <c r="A466" s="32">
        <v>3</v>
      </c>
      <c r="B466" s="46"/>
      <c r="C466" s="46"/>
      <c r="G466" s="35">
        <v>1</v>
      </c>
      <c r="H466" s="32">
        <v>1</v>
      </c>
      <c r="K466" s="32">
        <v>1</v>
      </c>
      <c r="M466" s="32">
        <f t="shared" si="77"/>
        <v>25</v>
      </c>
      <c r="N466" s="32" t="str">
        <f t="shared" si="78"/>
        <v>19</v>
      </c>
      <c r="P466" s="47"/>
    </row>
    <row r="467" spans="1:16" ht="12" customHeight="1" x14ac:dyDescent="0.3">
      <c r="A467" s="32">
        <v>4</v>
      </c>
      <c r="B467" s="46"/>
      <c r="C467" s="46"/>
      <c r="G467" s="35">
        <v>1</v>
      </c>
      <c r="I467" s="32">
        <v>1</v>
      </c>
      <c r="K467" s="32">
        <v>1</v>
      </c>
      <c r="M467" s="32">
        <f t="shared" si="77"/>
        <v>21</v>
      </c>
      <c r="N467" s="32" t="str">
        <f t="shared" si="78"/>
        <v>15</v>
      </c>
      <c r="P467" s="47"/>
    </row>
    <row r="468" spans="1:16" ht="12" customHeight="1" x14ac:dyDescent="0.3">
      <c r="A468" s="32">
        <v>5</v>
      </c>
      <c r="B468" s="46"/>
      <c r="C468" s="46"/>
      <c r="G468" s="35">
        <v>1</v>
      </c>
      <c r="J468" s="32">
        <v>1</v>
      </c>
      <c r="K468" s="32">
        <v>1</v>
      </c>
      <c r="M468" s="32">
        <f t="shared" si="77"/>
        <v>19</v>
      </c>
      <c r="N468" s="32" t="str">
        <f t="shared" si="78"/>
        <v>13</v>
      </c>
      <c r="P468" s="47"/>
    </row>
    <row r="469" spans="1:16" ht="12" customHeight="1" x14ac:dyDescent="0.3">
      <c r="A469" s="32">
        <v>6</v>
      </c>
      <c r="B469" s="46"/>
      <c r="C469" s="46"/>
      <c r="G469" s="35">
        <v>1</v>
      </c>
      <c r="K469" s="32">
        <v>1</v>
      </c>
      <c r="M469" s="32">
        <f t="shared" si="77"/>
        <v>17</v>
      </c>
      <c r="N469" s="32" t="str">
        <f t="shared" si="78"/>
        <v>11</v>
      </c>
      <c r="P469" s="47"/>
    </row>
    <row r="470" spans="1:16" ht="12" customHeight="1" x14ac:dyDescent="0.3">
      <c r="A470" s="32">
        <v>7</v>
      </c>
      <c r="B470" s="46"/>
      <c r="C470" s="46"/>
      <c r="G470" s="35">
        <v>1</v>
      </c>
      <c r="K470" s="32">
        <v>1</v>
      </c>
      <c r="M470" s="32">
        <f t="shared" si="77"/>
        <v>17</v>
      </c>
      <c r="N470" s="32" t="str">
        <f t="shared" si="78"/>
        <v>11</v>
      </c>
      <c r="P470" s="47"/>
    </row>
    <row r="471" spans="1:16" ht="12" customHeight="1" x14ac:dyDescent="0.3">
      <c r="A471" s="32">
        <v>8</v>
      </c>
      <c r="B471" s="46"/>
      <c r="C471" s="46"/>
      <c r="G471" s="35">
        <v>1</v>
      </c>
      <c r="K471" s="32">
        <v>1</v>
      </c>
      <c r="M471" s="32">
        <f t="shared" si="77"/>
        <v>17</v>
      </c>
      <c r="N471" s="32" t="str">
        <f t="shared" si="78"/>
        <v>11</v>
      </c>
      <c r="P471" s="47"/>
    </row>
    <row r="472" spans="1:16" ht="12" customHeight="1" x14ac:dyDescent="0.3">
      <c r="A472" s="32">
        <v>9</v>
      </c>
      <c r="B472" s="46"/>
      <c r="C472" s="46"/>
      <c r="M472" s="32">
        <f t="shared" si="77"/>
        <v>0</v>
      </c>
      <c r="N472" s="32" t="str">
        <f t="shared" si="78"/>
        <v>00</v>
      </c>
      <c r="P472" s="47"/>
    </row>
    <row r="473" spans="1:16" ht="12" customHeight="1" x14ac:dyDescent="0.3">
      <c r="A473" s="32">
        <v>10</v>
      </c>
      <c r="B473" s="46"/>
      <c r="C473" s="46"/>
      <c r="M473" s="32">
        <f t="shared" si="77"/>
        <v>0</v>
      </c>
      <c r="N473" s="32" t="str">
        <f t="shared" si="78"/>
        <v>00</v>
      </c>
      <c r="P473" s="47"/>
    </row>
    <row r="474" spans="1:16" ht="12" customHeight="1" x14ac:dyDescent="0.3">
      <c r="A474" s="32">
        <v>1</v>
      </c>
      <c r="B474" s="46">
        <v>79</v>
      </c>
      <c r="C474" s="46" t="str">
        <f t="shared" si="74"/>
        <v>O</v>
      </c>
      <c r="H474" s="32">
        <v>1</v>
      </c>
      <c r="I474" s="32">
        <v>1</v>
      </c>
      <c r="J474" s="32">
        <v>1</v>
      </c>
      <c r="M474" s="32">
        <f t="shared" si="77"/>
        <v>14</v>
      </c>
      <c r="N474" s="32" t="str">
        <f t="shared" si="78"/>
        <v>0E</v>
      </c>
      <c r="P474" s="47" t="str">
        <f t="shared" ref="P474" si="80">CONCATENATE("0x",N474,",0x",N475,",0x",N476,",0x",N477,",0x",N478,",0x",N479,",0x",N480,",0x",N481,",0x",N482,",0x",N483,", //",C474)</f>
        <v>0x0E,0x11,0x11,0x11,0x11,0x11,0x11,0x0E,0x00,0x00, //O</v>
      </c>
    </row>
    <row r="475" spans="1:16" ht="12" customHeight="1" x14ac:dyDescent="0.3">
      <c r="A475" s="32">
        <v>2</v>
      </c>
      <c r="B475" s="46"/>
      <c r="C475" s="46"/>
      <c r="G475" s="35">
        <v>1</v>
      </c>
      <c r="K475" s="32">
        <v>1</v>
      </c>
      <c r="M475" s="32">
        <f t="shared" si="77"/>
        <v>17</v>
      </c>
      <c r="N475" s="32" t="str">
        <f t="shared" si="78"/>
        <v>11</v>
      </c>
      <c r="P475" s="47"/>
    </row>
    <row r="476" spans="1:16" ht="12" customHeight="1" x14ac:dyDescent="0.3">
      <c r="A476" s="32">
        <v>3</v>
      </c>
      <c r="B476" s="46"/>
      <c r="C476" s="46"/>
      <c r="G476" s="35">
        <v>1</v>
      </c>
      <c r="K476" s="32">
        <v>1</v>
      </c>
      <c r="M476" s="32">
        <f t="shared" si="77"/>
        <v>17</v>
      </c>
      <c r="N476" s="32" t="str">
        <f t="shared" si="78"/>
        <v>11</v>
      </c>
      <c r="P476" s="47"/>
    </row>
    <row r="477" spans="1:16" ht="12" customHeight="1" x14ac:dyDescent="0.3">
      <c r="A477" s="32">
        <v>4</v>
      </c>
      <c r="B477" s="46"/>
      <c r="C477" s="46"/>
      <c r="G477" s="35">
        <v>1</v>
      </c>
      <c r="K477" s="32">
        <v>1</v>
      </c>
      <c r="M477" s="32">
        <f t="shared" si="77"/>
        <v>17</v>
      </c>
      <c r="N477" s="32" t="str">
        <f t="shared" si="78"/>
        <v>11</v>
      </c>
      <c r="P477" s="47"/>
    </row>
    <row r="478" spans="1:16" ht="12" customHeight="1" x14ac:dyDescent="0.3">
      <c r="A478" s="32">
        <v>5</v>
      </c>
      <c r="B478" s="46"/>
      <c r="C478" s="46"/>
      <c r="G478" s="35">
        <v>1</v>
      </c>
      <c r="K478" s="32">
        <v>1</v>
      </c>
      <c r="M478" s="32">
        <f t="shared" si="77"/>
        <v>17</v>
      </c>
      <c r="N478" s="32" t="str">
        <f t="shared" si="78"/>
        <v>11</v>
      </c>
      <c r="P478" s="47"/>
    </row>
    <row r="479" spans="1:16" ht="12" customHeight="1" x14ac:dyDescent="0.3">
      <c r="A479" s="32">
        <v>6</v>
      </c>
      <c r="B479" s="46"/>
      <c r="C479" s="46"/>
      <c r="G479" s="35">
        <v>1</v>
      </c>
      <c r="K479" s="32">
        <v>1</v>
      </c>
      <c r="M479" s="32">
        <f t="shared" si="77"/>
        <v>17</v>
      </c>
      <c r="N479" s="32" t="str">
        <f t="shared" si="78"/>
        <v>11</v>
      </c>
      <c r="P479" s="47"/>
    </row>
    <row r="480" spans="1:16" ht="12" customHeight="1" x14ac:dyDescent="0.3">
      <c r="A480" s="32">
        <v>7</v>
      </c>
      <c r="B480" s="46"/>
      <c r="C480" s="46"/>
      <c r="G480" s="35">
        <v>1</v>
      </c>
      <c r="K480" s="32">
        <v>1</v>
      </c>
      <c r="M480" s="32">
        <f t="shared" si="77"/>
        <v>17</v>
      </c>
      <c r="N480" s="32" t="str">
        <f t="shared" si="78"/>
        <v>11</v>
      </c>
      <c r="P480" s="47"/>
    </row>
    <row r="481" spans="1:16" ht="12" customHeight="1" x14ac:dyDescent="0.3">
      <c r="A481" s="32">
        <v>8</v>
      </c>
      <c r="B481" s="46"/>
      <c r="C481" s="46"/>
      <c r="H481" s="32">
        <v>1</v>
      </c>
      <c r="I481" s="32">
        <v>1</v>
      </c>
      <c r="J481" s="32">
        <v>1</v>
      </c>
      <c r="M481" s="32">
        <f t="shared" si="77"/>
        <v>14</v>
      </c>
      <c r="N481" s="32" t="str">
        <f t="shared" si="78"/>
        <v>0E</v>
      </c>
      <c r="P481" s="47"/>
    </row>
    <row r="482" spans="1:16" ht="12" customHeight="1" x14ac:dyDescent="0.3">
      <c r="A482" s="32">
        <v>9</v>
      </c>
      <c r="B482" s="46"/>
      <c r="C482" s="46"/>
      <c r="M482" s="32">
        <f t="shared" si="77"/>
        <v>0</v>
      </c>
      <c r="N482" s="32" t="str">
        <f t="shared" si="78"/>
        <v>00</v>
      </c>
      <c r="P482" s="47"/>
    </row>
    <row r="483" spans="1:16" ht="12" customHeight="1" x14ac:dyDescent="0.3">
      <c r="A483" s="32">
        <v>10</v>
      </c>
      <c r="B483" s="46"/>
      <c r="C483" s="46"/>
      <c r="M483" s="32">
        <f t="shared" si="77"/>
        <v>0</v>
      </c>
      <c r="N483" s="32" t="str">
        <f t="shared" si="78"/>
        <v>00</v>
      </c>
      <c r="P483" s="47"/>
    </row>
    <row r="484" spans="1:16" ht="12" customHeight="1" x14ac:dyDescent="0.3">
      <c r="A484" s="32">
        <v>1</v>
      </c>
      <c r="B484" s="46">
        <v>80</v>
      </c>
      <c r="C484" s="46" t="str">
        <f t="shared" si="74"/>
        <v>P</v>
      </c>
      <c r="G484" s="35">
        <v>1</v>
      </c>
      <c r="H484" s="32">
        <v>1</v>
      </c>
      <c r="I484" s="32">
        <v>1</v>
      </c>
      <c r="J484" s="32">
        <v>1</v>
      </c>
      <c r="M484" s="32">
        <f t="shared" si="77"/>
        <v>30</v>
      </c>
      <c r="N484" s="32" t="str">
        <f t="shared" si="78"/>
        <v>1E</v>
      </c>
      <c r="P484" s="47" t="str">
        <f t="shared" ref="P484" si="81">CONCATENATE("0x",N484,",0x",N485,",0x",N486,",0x",N487,",0x",N488,",0x",N489,",0x",N490,",0x",N491,",0x",N492,",0x",N493,", //",C484)</f>
        <v>0x1E,0x11,0x11,0x1E,0x10,0x10,0x10,0x10,0x00,0x00, //P</v>
      </c>
    </row>
    <row r="485" spans="1:16" ht="12" customHeight="1" x14ac:dyDescent="0.3">
      <c r="A485" s="32">
        <v>2</v>
      </c>
      <c r="B485" s="46"/>
      <c r="C485" s="46"/>
      <c r="G485" s="35">
        <v>1</v>
      </c>
      <c r="K485" s="32">
        <v>1</v>
      </c>
      <c r="M485" s="32">
        <f t="shared" si="77"/>
        <v>17</v>
      </c>
      <c r="N485" s="32" t="str">
        <f t="shared" si="78"/>
        <v>11</v>
      </c>
      <c r="P485" s="47"/>
    </row>
    <row r="486" spans="1:16" ht="12" customHeight="1" x14ac:dyDescent="0.3">
      <c r="A486" s="32">
        <v>3</v>
      </c>
      <c r="B486" s="46"/>
      <c r="C486" s="46"/>
      <c r="G486" s="35">
        <v>1</v>
      </c>
      <c r="K486" s="32">
        <v>1</v>
      </c>
      <c r="M486" s="32">
        <f t="shared" si="77"/>
        <v>17</v>
      </c>
      <c r="N486" s="32" t="str">
        <f t="shared" si="78"/>
        <v>11</v>
      </c>
      <c r="P486" s="47"/>
    </row>
    <row r="487" spans="1:16" ht="12" customHeight="1" x14ac:dyDescent="0.3">
      <c r="A487" s="32">
        <v>4</v>
      </c>
      <c r="B487" s="46"/>
      <c r="C487" s="46"/>
      <c r="G487" s="35">
        <v>1</v>
      </c>
      <c r="H487" s="32">
        <v>1</v>
      </c>
      <c r="I487" s="32">
        <v>1</v>
      </c>
      <c r="J487" s="32">
        <v>1</v>
      </c>
      <c r="M487" s="32">
        <f t="shared" si="77"/>
        <v>30</v>
      </c>
      <c r="N487" s="32" t="str">
        <f t="shared" si="78"/>
        <v>1E</v>
      </c>
      <c r="P487" s="47"/>
    </row>
    <row r="488" spans="1:16" ht="12" customHeight="1" x14ac:dyDescent="0.3">
      <c r="A488" s="32">
        <v>5</v>
      </c>
      <c r="B488" s="46"/>
      <c r="C488" s="46"/>
      <c r="G488" s="35">
        <v>1</v>
      </c>
      <c r="M488" s="32">
        <f t="shared" si="77"/>
        <v>16</v>
      </c>
      <c r="N488" s="32" t="str">
        <f t="shared" si="78"/>
        <v>10</v>
      </c>
      <c r="P488" s="47"/>
    </row>
    <row r="489" spans="1:16" ht="12" customHeight="1" x14ac:dyDescent="0.3">
      <c r="A489" s="32">
        <v>6</v>
      </c>
      <c r="B489" s="46"/>
      <c r="C489" s="46"/>
      <c r="G489" s="35">
        <v>1</v>
      </c>
      <c r="M489" s="32">
        <f t="shared" si="77"/>
        <v>16</v>
      </c>
      <c r="N489" s="32" t="str">
        <f t="shared" si="78"/>
        <v>10</v>
      </c>
      <c r="P489" s="47"/>
    </row>
    <row r="490" spans="1:16" ht="12" customHeight="1" x14ac:dyDescent="0.3">
      <c r="A490" s="32">
        <v>7</v>
      </c>
      <c r="B490" s="46"/>
      <c r="C490" s="46"/>
      <c r="G490" s="35">
        <v>1</v>
      </c>
      <c r="M490" s="32">
        <f t="shared" si="77"/>
        <v>16</v>
      </c>
      <c r="N490" s="32" t="str">
        <f t="shared" si="78"/>
        <v>10</v>
      </c>
      <c r="P490" s="47"/>
    </row>
    <row r="491" spans="1:16" ht="12" customHeight="1" x14ac:dyDescent="0.3">
      <c r="A491" s="32">
        <v>8</v>
      </c>
      <c r="B491" s="46"/>
      <c r="C491" s="46"/>
      <c r="G491" s="35">
        <v>1</v>
      </c>
      <c r="M491" s="32">
        <f t="shared" si="77"/>
        <v>16</v>
      </c>
      <c r="N491" s="32" t="str">
        <f t="shared" si="78"/>
        <v>10</v>
      </c>
      <c r="P491" s="47"/>
    </row>
    <row r="492" spans="1:16" ht="12" customHeight="1" x14ac:dyDescent="0.3">
      <c r="A492" s="32">
        <v>9</v>
      </c>
      <c r="B492" s="46"/>
      <c r="C492" s="46"/>
      <c r="M492" s="32">
        <f t="shared" si="77"/>
        <v>0</v>
      </c>
      <c r="N492" s="32" t="str">
        <f t="shared" si="78"/>
        <v>00</v>
      </c>
      <c r="P492" s="47"/>
    </row>
    <row r="493" spans="1:16" ht="12" customHeight="1" x14ac:dyDescent="0.3">
      <c r="A493" s="32">
        <v>10</v>
      </c>
      <c r="B493" s="46"/>
      <c r="C493" s="46"/>
      <c r="M493" s="32">
        <f t="shared" si="77"/>
        <v>0</v>
      </c>
      <c r="N493" s="32" t="str">
        <f t="shared" si="78"/>
        <v>00</v>
      </c>
      <c r="P493" s="47"/>
    </row>
    <row r="494" spans="1:16" ht="12" customHeight="1" x14ac:dyDescent="0.3">
      <c r="A494" s="32">
        <v>1</v>
      </c>
      <c r="B494" s="46">
        <v>81</v>
      </c>
      <c r="C494" s="46" t="str">
        <f t="shared" si="74"/>
        <v>Q</v>
      </c>
      <c r="H494" s="32">
        <v>1</v>
      </c>
      <c r="I494" s="32">
        <v>1</v>
      </c>
      <c r="J494" s="32">
        <v>1</v>
      </c>
      <c r="M494" s="32">
        <f t="shared" si="77"/>
        <v>14</v>
      </c>
      <c r="N494" s="32" t="str">
        <f t="shared" si="78"/>
        <v>0E</v>
      </c>
      <c r="P494" s="47" t="str">
        <f t="shared" ref="P494" si="82">CONCATENATE("0x",N494,",0x",N495,",0x",N496,",0x",N497,",0x",N498,",0x",N499,",0x",N500,",0x",N501,",0x",N502,",0x",N503,", //",C494)</f>
        <v>0x0E,0x11,0x11,0x11,0x11,0x11,0x12,0x0E,0x02,0x00, //Q</v>
      </c>
    </row>
    <row r="495" spans="1:16" ht="12" customHeight="1" x14ac:dyDescent="0.3">
      <c r="A495" s="32">
        <v>2</v>
      </c>
      <c r="B495" s="46"/>
      <c r="C495" s="46"/>
      <c r="G495" s="35">
        <v>1</v>
      </c>
      <c r="K495" s="32">
        <v>1</v>
      </c>
      <c r="M495" s="32">
        <f t="shared" si="77"/>
        <v>17</v>
      </c>
      <c r="N495" s="32" t="str">
        <f t="shared" si="78"/>
        <v>11</v>
      </c>
      <c r="P495" s="47"/>
    </row>
    <row r="496" spans="1:16" ht="12" customHeight="1" x14ac:dyDescent="0.3">
      <c r="A496" s="32">
        <v>3</v>
      </c>
      <c r="B496" s="46"/>
      <c r="C496" s="46"/>
      <c r="G496" s="35">
        <v>1</v>
      </c>
      <c r="K496" s="32">
        <v>1</v>
      </c>
      <c r="M496" s="32">
        <f t="shared" si="77"/>
        <v>17</v>
      </c>
      <c r="N496" s="32" t="str">
        <f t="shared" ref="N496:N527" si="83">DEC2HEX(M496,2)</f>
        <v>11</v>
      </c>
      <c r="P496" s="47"/>
    </row>
    <row r="497" spans="1:16" ht="12" customHeight="1" x14ac:dyDescent="0.3">
      <c r="A497" s="32">
        <v>4</v>
      </c>
      <c r="B497" s="46"/>
      <c r="C497" s="46"/>
      <c r="G497" s="35">
        <v>1</v>
      </c>
      <c r="K497" s="32">
        <v>1</v>
      </c>
      <c r="M497" s="32">
        <f t="shared" si="77"/>
        <v>17</v>
      </c>
      <c r="N497" s="32" t="str">
        <f t="shared" si="83"/>
        <v>11</v>
      </c>
      <c r="P497" s="47"/>
    </row>
    <row r="498" spans="1:16" ht="12" customHeight="1" x14ac:dyDescent="0.3">
      <c r="A498" s="32">
        <v>5</v>
      </c>
      <c r="B498" s="46"/>
      <c r="C498" s="46"/>
      <c r="G498" s="35">
        <v>1</v>
      </c>
      <c r="K498" s="32">
        <v>1</v>
      </c>
      <c r="M498" s="32">
        <f t="shared" si="77"/>
        <v>17</v>
      </c>
      <c r="N498" s="32" t="str">
        <f t="shared" si="83"/>
        <v>11</v>
      </c>
      <c r="P498" s="47"/>
    </row>
    <row r="499" spans="1:16" ht="12" customHeight="1" x14ac:dyDescent="0.3">
      <c r="A499" s="32">
        <v>6</v>
      </c>
      <c r="B499" s="46"/>
      <c r="C499" s="46"/>
      <c r="G499" s="35">
        <v>1</v>
      </c>
      <c r="K499" s="32">
        <v>1</v>
      </c>
      <c r="M499" s="32">
        <f t="shared" si="77"/>
        <v>17</v>
      </c>
      <c r="N499" s="32" t="str">
        <f t="shared" si="83"/>
        <v>11</v>
      </c>
      <c r="P499" s="47"/>
    </row>
    <row r="500" spans="1:16" ht="12" customHeight="1" x14ac:dyDescent="0.3">
      <c r="A500" s="32">
        <v>7</v>
      </c>
      <c r="B500" s="46"/>
      <c r="C500" s="46"/>
      <c r="G500" s="35">
        <v>1</v>
      </c>
      <c r="J500" s="32">
        <v>1</v>
      </c>
      <c r="M500" s="32">
        <f t="shared" si="77"/>
        <v>18</v>
      </c>
      <c r="N500" s="32" t="str">
        <f t="shared" si="83"/>
        <v>12</v>
      </c>
      <c r="P500" s="47"/>
    </row>
    <row r="501" spans="1:16" ht="12" customHeight="1" x14ac:dyDescent="0.3">
      <c r="A501" s="32">
        <v>8</v>
      </c>
      <c r="B501" s="46"/>
      <c r="C501" s="46"/>
      <c r="H501" s="32">
        <v>1</v>
      </c>
      <c r="I501" s="32">
        <v>1</v>
      </c>
      <c r="J501" s="32">
        <v>1</v>
      </c>
      <c r="M501" s="32">
        <f t="shared" si="77"/>
        <v>14</v>
      </c>
      <c r="N501" s="32" t="str">
        <f t="shared" si="83"/>
        <v>0E</v>
      </c>
      <c r="P501" s="47"/>
    </row>
    <row r="502" spans="1:16" ht="12" customHeight="1" x14ac:dyDescent="0.3">
      <c r="A502" s="32">
        <v>9</v>
      </c>
      <c r="B502" s="46"/>
      <c r="C502" s="46"/>
      <c r="J502" s="32">
        <v>1</v>
      </c>
      <c r="M502" s="32">
        <f t="shared" si="77"/>
        <v>2</v>
      </c>
      <c r="N502" s="32" t="str">
        <f t="shared" si="83"/>
        <v>02</v>
      </c>
      <c r="P502" s="47"/>
    </row>
    <row r="503" spans="1:16" ht="12" customHeight="1" x14ac:dyDescent="0.3">
      <c r="A503" s="32">
        <v>10</v>
      </c>
      <c r="B503" s="46"/>
      <c r="C503" s="46"/>
      <c r="M503" s="32">
        <f t="shared" si="77"/>
        <v>0</v>
      </c>
      <c r="N503" s="32" t="str">
        <f t="shared" si="83"/>
        <v>00</v>
      </c>
      <c r="P503" s="47"/>
    </row>
    <row r="504" spans="1:16" ht="12" customHeight="1" x14ac:dyDescent="0.3">
      <c r="A504" s="32">
        <v>1</v>
      </c>
      <c r="B504" s="46">
        <v>82</v>
      </c>
      <c r="C504" s="46" t="str">
        <f t="shared" si="74"/>
        <v>R</v>
      </c>
      <c r="G504" s="35">
        <v>1</v>
      </c>
      <c r="H504" s="32">
        <v>1</v>
      </c>
      <c r="I504" s="32">
        <v>1</v>
      </c>
      <c r="J504" s="32">
        <v>1</v>
      </c>
      <c r="M504" s="32">
        <f t="shared" si="77"/>
        <v>30</v>
      </c>
      <c r="N504" s="32" t="str">
        <f t="shared" si="83"/>
        <v>1E</v>
      </c>
      <c r="P504" s="47" t="str">
        <f t="shared" ref="P504" si="84">CONCATENATE("0x",N504,",0x",N505,",0x",N506,",0x",N507,",0x",N508,",0x",N509,",0x",N510,",0x",N511,",0x",N512,",0x",N513,", //",C504)</f>
        <v>0x1E,0x11,0x11,0x1E,0x14,0x12,0x11,0x11,0x00,0x00, //R</v>
      </c>
    </row>
    <row r="505" spans="1:16" ht="12" customHeight="1" x14ac:dyDescent="0.3">
      <c r="A505" s="32">
        <v>2</v>
      </c>
      <c r="B505" s="46"/>
      <c r="C505" s="46"/>
      <c r="G505" s="35">
        <v>1</v>
      </c>
      <c r="K505" s="32">
        <v>1</v>
      </c>
      <c r="M505" s="32">
        <f t="shared" si="77"/>
        <v>17</v>
      </c>
      <c r="N505" s="32" t="str">
        <f t="shared" si="83"/>
        <v>11</v>
      </c>
      <c r="P505" s="47"/>
    </row>
    <row r="506" spans="1:16" ht="12" customHeight="1" x14ac:dyDescent="0.3">
      <c r="A506" s="32">
        <v>3</v>
      </c>
      <c r="B506" s="46"/>
      <c r="C506" s="46"/>
      <c r="G506" s="35">
        <v>1</v>
      </c>
      <c r="K506" s="32">
        <v>1</v>
      </c>
      <c r="M506" s="32">
        <f t="shared" si="77"/>
        <v>17</v>
      </c>
      <c r="N506" s="32" t="str">
        <f t="shared" si="83"/>
        <v>11</v>
      </c>
      <c r="P506" s="47"/>
    </row>
    <row r="507" spans="1:16" ht="12" customHeight="1" x14ac:dyDescent="0.3">
      <c r="A507" s="32">
        <v>4</v>
      </c>
      <c r="B507" s="46"/>
      <c r="C507" s="46"/>
      <c r="G507" s="35">
        <v>1</v>
      </c>
      <c r="H507" s="32">
        <v>1</v>
      </c>
      <c r="I507" s="32">
        <v>1</v>
      </c>
      <c r="J507" s="32">
        <v>1</v>
      </c>
      <c r="M507" s="32">
        <f t="shared" si="77"/>
        <v>30</v>
      </c>
      <c r="N507" s="32" t="str">
        <f t="shared" si="83"/>
        <v>1E</v>
      </c>
      <c r="P507" s="47"/>
    </row>
    <row r="508" spans="1:16" ht="12" customHeight="1" x14ac:dyDescent="0.3">
      <c r="A508" s="32">
        <v>5</v>
      </c>
      <c r="B508" s="46"/>
      <c r="C508" s="46"/>
      <c r="G508" s="35">
        <v>1</v>
      </c>
      <c r="I508" s="32">
        <v>1</v>
      </c>
      <c r="M508" s="32">
        <f t="shared" si="77"/>
        <v>20</v>
      </c>
      <c r="N508" s="32" t="str">
        <f t="shared" si="83"/>
        <v>14</v>
      </c>
      <c r="P508" s="47"/>
    </row>
    <row r="509" spans="1:16" ht="12" customHeight="1" x14ac:dyDescent="0.3">
      <c r="A509" s="32">
        <v>6</v>
      </c>
      <c r="B509" s="46"/>
      <c r="C509" s="46"/>
      <c r="G509" s="35">
        <v>1</v>
      </c>
      <c r="J509" s="32">
        <v>1</v>
      </c>
      <c r="M509" s="32">
        <f t="shared" si="77"/>
        <v>18</v>
      </c>
      <c r="N509" s="32" t="str">
        <f t="shared" si="83"/>
        <v>12</v>
      </c>
      <c r="P509" s="47"/>
    </row>
    <row r="510" spans="1:16" ht="12" customHeight="1" x14ac:dyDescent="0.3">
      <c r="A510" s="32">
        <v>7</v>
      </c>
      <c r="B510" s="46"/>
      <c r="C510" s="46"/>
      <c r="G510" s="35">
        <v>1</v>
      </c>
      <c r="K510" s="32">
        <v>1</v>
      </c>
      <c r="M510" s="32">
        <f t="shared" si="77"/>
        <v>17</v>
      </c>
      <c r="N510" s="32" t="str">
        <f t="shared" si="83"/>
        <v>11</v>
      </c>
      <c r="P510" s="47"/>
    </row>
    <row r="511" spans="1:16" ht="12" customHeight="1" x14ac:dyDescent="0.3">
      <c r="A511" s="32">
        <v>8</v>
      </c>
      <c r="B511" s="46"/>
      <c r="C511" s="46"/>
      <c r="G511" s="35">
        <v>1</v>
      </c>
      <c r="K511" s="32">
        <v>1</v>
      </c>
      <c r="M511" s="32">
        <f t="shared" si="77"/>
        <v>17</v>
      </c>
      <c r="N511" s="32" t="str">
        <f t="shared" si="83"/>
        <v>11</v>
      </c>
      <c r="P511" s="47"/>
    </row>
    <row r="512" spans="1:16" ht="12" customHeight="1" x14ac:dyDescent="0.3">
      <c r="A512" s="32">
        <v>9</v>
      </c>
      <c r="B512" s="46"/>
      <c r="C512" s="46"/>
      <c r="M512" s="32">
        <f t="shared" si="77"/>
        <v>0</v>
      </c>
      <c r="N512" s="32" t="str">
        <f t="shared" si="83"/>
        <v>00</v>
      </c>
      <c r="P512" s="47"/>
    </row>
    <row r="513" spans="1:16" ht="12" customHeight="1" x14ac:dyDescent="0.3">
      <c r="A513" s="32">
        <v>10</v>
      </c>
      <c r="B513" s="46"/>
      <c r="C513" s="46"/>
      <c r="M513" s="32">
        <f t="shared" si="77"/>
        <v>0</v>
      </c>
      <c r="N513" s="32" t="str">
        <f t="shared" si="83"/>
        <v>00</v>
      </c>
      <c r="P513" s="47"/>
    </row>
    <row r="514" spans="1:16" ht="12" customHeight="1" x14ac:dyDescent="0.3">
      <c r="A514" s="32">
        <v>1</v>
      </c>
      <c r="B514" s="46">
        <v>83</v>
      </c>
      <c r="C514" s="46" t="str">
        <f t="shared" ref="C514:C554" si="85">CHAR(B514)</f>
        <v>S</v>
      </c>
      <c r="H514" s="32">
        <v>1</v>
      </c>
      <c r="I514" s="32">
        <v>1</v>
      </c>
      <c r="J514" s="32">
        <v>1</v>
      </c>
      <c r="M514" s="32">
        <f t="shared" si="77"/>
        <v>14</v>
      </c>
      <c r="N514" s="32" t="str">
        <f t="shared" si="83"/>
        <v>0E</v>
      </c>
      <c r="P514" s="47" t="str">
        <f t="shared" ref="P514" si="86">CONCATENATE("0x",N514,",0x",N515,",0x",N516,",0x",N517,",0x",N518,",0x",N519,",0x",N520,",0x",N521,",0x",N522,",0x",N523,", //",C514)</f>
        <v>0x0E,0x11,0x10,0x0E,0x01,0x01,0x11,0x0E,0x00,0x00, //S</v>
      </c>
    </row>
    <row r="515" spans="1:16" ht="12" customHeight="1" x14ac:dyDescent="0.3">
      <c r="A515" s="32">
        <v>2</v>
      </c>
      <c r="B515" s="46"/>
      <c r="C515" s="46"/>
      <c r="G515" s="35">
        <v>1</v>
      </c>
      <c r="K515" s="32">
        <v>1</v>
      </c>
      <c r="M515" s="32">
        <f t="shared" si="77"/>
        <v>17</v>
      </c>
      <c r="N515" s="32" t="str">
        <f t="shared" si="83"/>
        <v>11</v>
      </c>
      <c r="P515" s="47"/>
    </row>
    <row r="516" spans="1:16" ht="12" customHeight="1" x14ac:dyDescent="0.3">
      <c r="A516" s="32">
        <v>3</v>
      </c>
      <c r="B516" s="46"/>
      <c r="C516" s="46"/>
      <c r="G516" s="35">
        <v>1</v>
      </c>
      <c r="M516" s="32">
        <f t="shared" si="77"/>
        <v>16</v>
      </c>
      <c r="N516" s="32" t="str">
        <f t="shared" si="83"/>
        <v>10</v>
      </c>
      <c r="P516" s="47"/>
    </row>
    <row r="517" spans="1:16" ht="12" customHeight="1" x14ac:dyDescent="0.3">
      <c r="A517" s="32">
        <v>4</v>
      </c>
      <c r="B517" s="46"/>
      <c r="C517" s="46"/>
      <c r="H517" s="32">
        <v>1</v>
      </c>
      <c r="I517" s="32">
        <v>1</v>
      </c>
      <c r="J517" s="32">
        <v>1</v>
      </c>
      <c r="M517" s="32">
        <f t="shared" si="77"/>
        <v>14</v>
      </c>
      <c r="N517" s="32" t="str">
        <f t="shared" si="83"/>
        <v>0E</v>
      </c>
      <c r="P517" s="47"/>
    </row>
    <row r="518" spans="1:16" ht="12" customHeight="1" x14ac:dyDescent="0.3">
      <c r="A518" s="32">
        <v>5</v>
      </c>
      <c r="B518" s="46"/>
      <c r="C518" s="46"/>
      <c r="K518" s="32">
        <v>1</v>
      </c>
      <c r="M518" s="32">
        <f t="shared" si="77"/>
        <v>1</v>
      </c>
      <c r="N518" s="32" t="str">
        <f t="shared" si="83"/>
        <v>01</v>
      </c>
      <c r="P518" s="47"/>
    </row>
    <row r="519" spans="1:16" ht="12" customHeight="1" x14ac:dyDescent="0.3">
      <c r="A519" s="32">
        <v>6</v>
      </c>
      <c r="B519" s="46"/>
      <c r="C519" s="46"/>
      <c r="K519" s="32">
        <v>1</v>
      </c>
      <c r="M519" s="32">
        <f t="shared" si="77"/>
        <v>1</v>
      </c>
      <c r="N519" s="32" t="str">
        <f t="shared" si="83"/>
        <v>01</v>
      </c>
      <c r="P519" s="47"/>
    </row>
    <row r="520" spans="1:16" ht="12" customHeight="1" x14ac:dyDescent="0.3">
      <c r="A520" s="32">
        <v>7</v>
      </c>
      <c r="B520" s="46"/>
      <c r="C520" s="46"/>
      <c r="G520" s="35">
        <v>1</v>
      </c>
      <c r="K520" s="32">
        <v>1</v>
      </c>
      <c r="M520" s="32">
        <f t="shared" si="77"/>
        <v>17</v>
      </c>
      <c r="N520" s="32" t="str">
        <f t="shared" si="83"/>
        <v>11</v>
      </c>
      <c r="P520" s="47"/>
    </row>
    <row r="521" spans="1:16" ht="12" customHeight="1" x14ac:dyDescent="0.3">
      <c r="A521" s="32">
        <v>8</v>
      </c>
      <c r="B521" s="46"/>
      <c r="C521" s="46"/>
      <c r="H521" s="32">
        <v>1</v>
      </c>
      <c r="I521" s="32">
        <v>1</v>
      </c>
      <c r="J521" s="32">
        <v>1</v>
      </c>
      <c r="M521" s="32">
        <f t="shared" si="77"/>
        <v>14</v>
      </c>
      <c r="N521" s="32" t="str">
        <f t="shared" si="83"/>
        <v>0E</v>
      </c>
      <c r="P521" s="47"/>
    </row>
    <row r="522" spans="1:16" ht="12" customHeight="1" x14ac:dyDescent="0.3">
      <c r="A522" s="32">
        <v>9</v>
      </c>
      <c r="B522" s="46"/>
      <c r="C522" s="46"/>
      <c r="M522" s="32">
        <f t="shared" si="77"/>
        <v>0</v>
      </c>
      <c r="N522" s="32" t="str">
        <f t="shared" si="83"/>
        <v>00</v>
      </c>
      <c r="P522" s="47"/>
    </row>
    <row r="523" spans="1:16" ht="12" customHeight="1" x14ac:dyDescent="0.3">
      <c r="A523" s="32">
        <v>10</v>
      </c>
      <c r="B523" s="46"/>
      <c r="C523" s="46"/>
      <c r="M523" s="32">
        <f t="shared" si="77"/>
        <v>0</v>
      </c>
      <c r="N523" s="32" t="str">
        <f t="shared" si="83"/>
        <v>00</v>
      </c>
      <c r="P523" s="47"/>
    </row>
    <row r="524" spans="1:16" ht="12" customHeight="1" x14ac:dyDescent="0.3">
      <c r="A524" s="32">
        <v>1</v>
      </c>
      <c r="B524" s="46">
        <v>84</v>
      </c>
      <c r="C524" s="46" t="str">
        <f t="shared" si="85"/>
        <v>T</v>
      </c>
      <c r="G524" s="35">
        <v>1</v>
      </c>
      <c r="H524" s="32">
        <v>1</v>
      </c>
      <c r="I524" s="32">
        <v>1</v>
      </c>
      <c r="J524" s="32">
        <v>1</v>
      </c>
      <c r="K524" s="32">
        <v>1</v>
      </c>
      <c r="M524" s="32">
        <f t="shared" si="77"/>
        <v>31</v>
      </c>
      <c r="N524" s="32" t="str">
        <f t="shared" si="83"/>
        <v>1F</v>
      </c>
      <c r="P524" s="47" t="str">
        <f t="shared" ref="P524" si="87">CONCATENATE("0x",N524,",0x",N525,",0x",N526,",0x",N527,",0x",N528,",0x",N529,",0x",N530,",0x",N531,",0x",N532,",0x",N533,", //",C524)</f>
        <v>0x1F,0x04,0x04,0x04,0x04,0x04,0x04,0x04,0x00,0x00, //T</v>
      </c>
    </row>
    <row r="525" spans="1:16" ht="12" customHeight="1" x14ac:dyDescent="0.3">
      <c r="A525" s="32">
        <v>2</v>
      </c>
      <c r="B525" s="46"/>
      <c r="C525" s="46"/>
      <c r="I525" s="32">
        <v>1</v>
      </c>
      <c r="M525" s="32">
        <f t="shared" si="77"/>
        <v>4</v>
      </c>
      <c r="N525" s="32" t="str">
        <f t="shared" si="83"/>
        <v>04</v>
      </c>
      <c r="P525" s="47"/>
    </row>
    <row r="526" spans="1:16" ht="12" customHeight="1" x14ac:dyDescent="0.3">
      <c r="A526" s="32">
        <v>3</v>
      </c>
      <c r="B526" s="46"/>
      <c r="C526" s="46"/>
      <c r="I526" s="32">
        <v>1</v>
      </c>
      <c r="M526" s="32">
        <f t="shared" si="77"/>
        <v>4</v>
      </c>
      <c r="N526" s="32" t="str">
        <f t="shared" si="83"/>
        <v>04</v>
      </c>
      <c r="P526" s="47"/>
    </row>
    <row r="527" spans="1:16" ht="12" customHeight="1" x14ac:dyDescent="0.3">
      <c r="A527" s="32">
        <v>4</v>
      </c>
      <c r="B527" s="46"/>
      <c r="C527" s="46"/>
      <c r="I527" s="32">
        <v>1</v>
      </c>
      <c r="M527" s="32">
        <f t="shared" ref="M527:M600" si="88">G527*G$2+H527*H$2+I527*I$2+J527*J$2+K527*K$2+F527*F$2+E527*E$2+D527*D$2</f>
        <v>4</v>
      </c>
      <c r="N527" s="32" t="str">
        <f t="shared" si="83"/>
        <v>04</v>
      </c>
      <c r="P527" s="47"/>
    </row>
    <row r="528" spans="1:16" ht="12" customHeight="1" x14ac:dyDescent="0.3">
      <c r="A528" s="32">
        <v>5</v>
      </c>
      <c r="B528" s="46"/>
      <c r="C528" s="46"/>
      <c r="I528" s="32">
        <v>1</v>
      </c>
      <c r="M528" s="32">
        <f t="shared" si="88"/>
        <v>4</v>
      </c>
      <c r="N528" s="32" t="str">
        <f t="shared" ref="N528:N553" si="89">DEC2HEX(M528,2)</f>
        <v>04</v>
      </c>
      <c r="P528" s="47"/>
    </row>
    <row r="529" spans="1:16" ht="12" customHeight="1" x14ac:dyDescent="0.3">
      <c r="A529" s="32">
        <v>6</v>
      </c>
      <c r="B529" s="46"/>
      <c r="C529" s="46"/>
      <c r="I529" s="32">
        <v>1</v>
      </c>
      <c r="M529" s="32">
        <f t="shared" si="88"/>
        <v>4</v>
      </c>
      <c r="N529" s="32" t="str">
        <f t="shared" si="89"/>
        <v>04</v>
      </c>
      <c r="P529" s="47"/>
    </row>
    <row r="530" spans="1:16" ht="12" customHeight="1" x14ac:dyDescent="0.3">
      <c r="A530" s="32">
        <v>7</v>
      </c>
      <c r="B530" s="46"/>
      <c r="C530" s="46"/>
      <c r="I530" s="32">
        <v>1</v>
      </c>
      <c r="M530" s="32">
        <f t="shared" si="88"/>
        <v>4</v>
      </c>
      <c r="N530" s="32" t="str">
        <f t="shared" si="89"/>
        <v>04</v>
      </c>
      <c r="P530" s="47"/>
    </row>
    <row r="531" spans="1:16" ht="12" customHeight="1" x14ac:dyDescent="0.3">
      <c r="A531" s="32">
        <v>8</v>
      </c>
      <c r="B531" s="46"/>
      <c r="C531" s="46"/>
      <c r="I531" s="32">
        <v>1</v>
      </c>
      <c r="M531" s="32">
        <f t="shared" si="88"/>
        <v>4</v>
      </c>
      <c r="N531" s="32" t="str">
        <f t="shared" si="89"/>
        <v>04</v>
      </c>
      <c r="P531" s="47"/>
    </row>
    <row r="532" spans="1:16" ht="12" customHeight="1" x14ac:dyDescent="0.3">
      <c r="A532" s="32">
        <v>9</v>
      </c>
      <c r="B532" s="46"/>
      <c r="C532" s="46"/>
      <c r="M532" s="32">
        <f t="shared" si="88"/>
        <v>0</v>
      </c>
      <c r="N532" s="32" t="str">
        <f t="shared" si="89"/>
        <v>00</v>
      </c>
      <c r="P532" s="47"/>
    </row>
    <row r="533" spans="1:16" ht="12" customHeight="1" x14ac:dyDescent="0.3">
      <c r="A533" s="32">
        <v>10</v>
      </c>
      <c r="B533" s="46"/>
      <c r="C533" s="46"/>
      <c r="M533" s="32">
        <f t="shared" si="88"/>
        <v>0</v>
      </c>
      <c r="N533" s="32" t="str">
        <f t="shared" si="89"/>
        <v>00</v>
      </c>
      <c r="P533" s="47"/>
    </row>
    <row r="534" spans="1:16" ht="12" customHeight="1" x14ac:dyDescent="0.3">
      <c r="A534" s="32">
        <v>1</v>
      </c>
      <c r="B534" s="46">
        <v>85</v>
      </c>
      <c r="C534" s="46" t="str">
        <f t="shared" si="85"/>
        <v>U</v>
      </c>
      <c r="G534" s="35">
        <v>1</v>
      </c>
      <c r="K534" s="32">
        <v>1</v>
      </c>
      <c r="M534" s="32">
        <f t="shared" si="88"/>
        <v>17</v>
      </c>
      <c r="N534" s="32" t="str">
        <f t="shared" si="89"/>
        <v>11</v>
      </c>
      <c r="P534" s="47" t="str">
        <f t="shared" ref="P534" si="90">CONCATENATE("0x",N534,",0x",N535,",0x",N536,",0x",N537,",0x",N538,",0x",N539,",0x",N540,",0x",N541,",0x",N542,",0x",N543,", //",C534)</f>
        <v>0x11,0x11,0x11,0x11,0x11,0x11,0x11,0x0E,0x00,0x00, //U</v>
      </c>
    </row>
    <row r="535" spans="1:16" ht="12" customHeight="1" x14ac:dyDescent="0.3">
      <c r="A535" s="32">
        <v>2</v>
      </c>
      <c r="B535" s="46"/>
      <c r="C535" s="46"/>
      <c r="G535" s="35">
        <v>1</v>
      </c>
      <c r="K535" s="32">
        <v>1</v>
      </c>
      <c r="M535" s="32">
        <f t="shared" si="88"/>
        <v>17</v>
      </c>
      <c r="N535" s="32" t="str">
        <f t="shared" si="89"/>
        <v>11</v>
      </c>
      <c r="P535" s="47"/>
    </row>
    <row r="536" spans="1:16" ht="12" customHeight="1" x14ac:dyDescent="0.3">
      <c r="A536" s="32">
        <v>3</v>
      </c>
      <c r="B536" s="46"/>
      <c r="C536" s="46"/>
      <c r="G536" s="35">
        <v>1</v>
      </c>
      <c r="K536" s="32">
        <v>1</v>
      </c>
      <c r="M536" s="32">
        <f t="shared" si="88"/>
        <v>17</v>
      </c>
      <c r="N536" s="32" t="str">
        <f t="shared" si="89"/>
        <v>11</v>
      </c>
      <c r="P536" s="47"/>
    </row>
    <row r="537" spans="1:16" ht="12" customHeight="1" x14ac:dyDescent="0.3">
      <c r="A537" s="32">
        <v>4</v>
      </c>
      <c r="B537" s="46"/>
      <c r="C537" s="46"/>
      <c r="G537" s="35">
        <v>1</v>
      </c>
      <c r="K537" s="32">
        <v>1</v>
      </c>
      <c r="M537" s="32">
        <f t="shared" si="88"/>
        <v>17</v>
      </c>
      <c r="N537" s="32" t="str">
        <f t="shared" si="89"/>
        <v>11</v>
      </c>
      <c r="P537" s="47"/>
    </row>
    <row r="538" spans="1:16" ht="12" customHeight="1" x14ac:dyDescent="0.3">
      <c r="A538" s="32">
        <v>5</v>
      </c>
      <c r="B538" s="46"/>
      <c r="C538" s="46"/>
      <c r="G538" s="35">
        <v>1</v>
      </c>
      <c r="K538" s="32">
        <v>1</v>
      </c>
      <c r="M538" s="32">
        <f t="shared" si="88"/>
        <v>17</v>
      </c>
      <c r="N538" s="32" t="str">
        <f t="shared" si="89"/>
        <v>11</v>
      </c>
      <c r="P538" s="47"/>
    </row>
    <row r="539" spans="1:16" ht="12" customHeight="1" x14ac:dyDescent="0.3">
      <c r="A539" s="32">
        <v>6</v>
      </c>
      <c r="B539" s="46"/>
      <c r="C539" s="46"/>
      <c r="G539" s="35">
        <v>1</v>
      </c>
      <c r="K539" s="32">
        <v>1</v>
      </c>
      <c r="M539" s="32">
        <f t="shared" si="88"/>
        <v>17</v>
      </c>
      <c r="N539" s="32" t="str">
        <f t="shared" si="89"/>
        <v>11</v>
      </c>
      <c r="P539" s="47"/>
    </row>
    <row r="540" spans="1:16" ht="12" customHeight="1" x14ac:dyDescent="0.3">
      <c r="A540" s="32">
        <v>7</v>
      </c>
      <c r="B540" s="46"/>
      <c r="C540" s="46"/>
      <c r="G540" s="35">
        <v>1</v>
      </c>
      <c r="K540" s="32">
        <v>1</v>
      </c>
      <c r="M540" s="32">
        <f t="shared" si="88"/>
        <v>17</v>
      </c>
      <c r="N540" s="32" t="str">
        <f t="shared" si="89"/>
        <v>11</v>
      </c>
      <c r="P540" s="47"/>
    </row>
    <row r="541" spans="1:16" ht="12" customHeight="1" x14ac:dyDescent="0.3">
      <c r="A541" s="32">
        <v>8</v>
      </c>
      <c r="B541" s="46"/>
      <c r="C541" s="46"/>
      <c r="H541" s="32">
        <v>1</v>
      </c>
      <c r="I541" s="32">
        <v>1</v>
      </c>
      <c r="J541" s="32">
        <v>1</v>
      </c>
      <c r="M541" s="32">
        <f t="shared" si="88"/>
        <v>14</v>
      </c>
      <c r="N541" s="32" t="str">
        <f t="shared" si="89"/>
        <v>0E</v>
      </c>
      <c r="P541" s="47"/>
    </row>
    <row r="542" spans="1:16" ht="12" customHeight="1" x14ac:dyDescent="0.3">
      <c r="A542" s="32">
        <v>9</v>
      </c>
      <c r="B542" s="46"/>
      <c r="C542" s="46"/>
      <c r="M542" s="32">
        <f t="shared" si="88"/>
        <v>0</v>
      </c>
      <c r="N542" s="32" t="str">
        <f t="shared" si="89"/>
        <v>00</v>
      </c>
      <c r="P542" s="47"/>
    </row>
    <row r="543" spans="1:16" ht="12" customHeight="1" x14ac:dyDescent="0.3">
      <c r="A543" s="32">
        <v>10</v>
      </c>
      <c r="B543" s="46"/>
      <c r="C543" s="46"/>
      <c r="M543" s="32">
        <f t="shared" si="88"/>
        <v>0</v>
      </c>
      <c r="N543" s="32" t="str">
        <f t="shared" si="89"/>
        <v>00</v>
      </c>
      <c r="P543" s="47"/>
    </row>
    <row r="544" spans="1:16" ht="12" customHeight="1" x14ac:dyDescent="0.3">
      <c r="A544" s="32">
        <v>1</v>
      </c>
      <c r="B544" s="46">
        <v>86</v>
      </c>
      <c r="C544" s="46" t="str">
        <f t="shared" si="85"/>
        <v>V</v>
      </c>
      <c r="G544" s="35">
        <v>1</v>
      </c>
      <c r="K544" s="32">
        <v>1</v>
      </c>
      <c r="M544" s="32">
        <f t="shared" si="88"/>
        <v>17</v>
      </c>
      <c r="N544" s="32" t="str">
        <f t="shared" si="89"/>
        <v>11</v>
      </c>
      <c r="P544" s="47" t="str">
        <f t="shared" ref="P544" si="91">CONCATENATE("0x",N544,",0x",N545,",0x",N546,",0x",N547,",0x",N548,",0x",N549,",0x",N550,",0x",N551,",0x",N552,",0x",N553,", //",C544)</f>
        <v>0x11,0x11,0x11,0x11,0x0A,0x0A,0x04,0x04,0x00,0x00, //V</v>
      </c>
    </row>
    <row r="545" spans="1:16" ht="12" customHeight="1" x14ac:dyDescent="0.3">
      <c r="A545" s="32">
        <v>2</v>
      </c>
      <c r="B545" s="46"/>
      <c r="C545" s="46"/>
      <c r="G545" s="35">
        <v>1</v>
      </c>
      <c r="K545" s="32">
        <v>1</v>
      </c>
      <c r="M545" s="32">
        <f t="shared" si="88"/>
        <v>17</v>
      </c>
      <c r="N545" s="32" t="str">
        <f t="shared" si="89"/>
        <v>11</v>
      </c>
      <c r="P545" s="47"/>
    </row>
    <row r="546" spans="1:16" ht="12" customHeight="1" x14ac:dyDescent="0.3">
      <c r="A546" s="32">
        <v>3</v>
      </c>
      <c r="B546" s="46"/>
      <c r="C546" s="46"/>
      <c r="G546" s="35">
        <v>1</v>
      </c>
      <c r="K546" s="32">
        <v>1</v>
      </c>
      <c r="M546" s="32">
        <f t="shared" si="88"/>
        <v>17</v>
      </c>
      <c r="N546" s="32" t="str">
        <f t="shared" si="89"/>
        <v>11</v>
      </c>
      <c r="P546" s="47"/>
    </row>
    <row r="547" spans="1:16" ht="12" customHeight="1" x14ac:dyDescent="0.3">
      <c r="A547" s="32">
        <v>4</v>
      </c>
      <c r="B547" s="46"/>
      <c r="C547" s="46"/>
      <c r="G547" s="35">
        <v>1</v>
      </c>
      <c r="K547" s="32">
        <v>1</v>
      </c>
      <c r="M547" s="32">
        <f t="shared" si="88"/>
        <v>17</v>
      </c>
      <c r="N547" s="32" t="str">
        <f t="shared" si="89"/>
        <v>11</v>
      </c>
      <c r="P547" s="47"/>
    </row>
    <row r="548" spans="1:16" ht="12" customHeight="1" x14ac:dyDescent="0.3">
      <c r="A548" s="32">
        <v>5</v>
      </c>
      <c r="B548" s="46"/>
      <c r="C548" s="46"/>
      <c r="H548" s="32">
        <v>1</v>
      </c>
      <c r="J548" s="32">
        <v>1</v>
      </c>
      <c r="M548" s="32">
        <f t="shared" si="88"/>
        <v>10</v>
      </c>
      <c r="N548" s="32" t="str">
        <f t="shared" si="89"/>
        <v>0A</v>
      </c>
      <c r="P548" s="47"/>
    </row>
    <row r="549" spans="1:16" ht="12" customHeight="1" x14ac:dyDescent="0.3">
      <c r="A549" s="32">
        <v>6</v>
      </c>
      <c r="B549" s="46"/>
      <c r="C549" s="46"/>
      <c r="H549" s="32">
        <v>1</v>
      </c>
      <c r="J549" s="32">
        <v>1</v>
      </c>
      <c r="M549" s="32">
        <f t="shared" si="88"/>
        <v>10</v>
      </c>
      <c r="N549" s="32" t="str">
        <f t="shared" si="89"/>
        <v>0A</v>
      </c>
      <c r="P549" s="47"/>
    </row>
    <row r="550" spans="1:16" ht="12" customHeight="1" x14ac:dyDescent="0.3">
      <c r="A550" s="32">
        <v>7</v>
      </c>
      <c r="B550" s="46"/>
      <c r="C550" s="46"/>
      <c r="I550" s="32">
        <v>1</v>
      </c>
      <c r="M550" s="32">
        <f t="shared" si="88"/>
        <v>4</v>
      </c>
      <c r="N550" s="32" t="str">
        <f t="shared" si="89"/>
        <v>04</v>
      </c>
      <c r="P550" s="47"/>
    </row>
    <row r="551" spans="1:16" ht="12" customHeight="1" x14ac:dyDescent="0.3">
      <c r="A551" s="32">
        <v>8</v>
      </c>
      <c r="B551" s="46"/>
      <c r="C551" s="46"/>
      <c r="I551" s="32">
        <v>1</v>
      </c>
      <c r="M551" s="32">
        <f t="shared" si="88"/>
        <v>4</v>
      </c>
      <c r="N551" s="32" t="str">
        <f t="shared" si="89"/>
        <v>04</v>
      </c>
      <c r="P551" s="47"/>
    </row>
    <row r="552" spans="1:16" ht="12" customHeight="1" x14ac:dyDescent="0.3">
      <c r="A552" s="32">
        <v>9</v>
      </c>
      <c r="B552" s="46"/>
      <c r="C552" s="46"/>
      <c r="M552" s="32">
        <f t="shared" si="88"/>
        <v>0</v>
      </c>
      <c r="N552" s="32" t="str">
        <f t="shared" si="89"/>
        <v>00</v>
      </c>
      <c r="P552" s="47"/>
    </row>
    <row r="553" spans="1:16" ht="12" customHeight="1" x14ac:dyDescent="0.3">
      <c r="A553" s="32">
        <v>10</v>
      </c>
      <c r="B553" s="46"/>
      <c r="C553" s="46"/>
      <c r="M553" s="32">
        <f t="shared" si="88"/>
        <v>0</v>
      </c>
      <c r="N553" s="32" t="str">
        <f t="shared" si="89"/>
        <v>00</v>
      </c>
      <c r="P553" s="47"/>
    </row>
    <row r="554" spans="1:16" ht="12" customHeight="1" x14ac:dyDescent="0.3">
      <c r="A554" s="32">
        <v>1</v>
      </c>
      <c r="B554" s="46">
        <v>87</v>
      </c>
      <c r="C554" s="46" t="str">
        <f t="shared" si="85"/>
        <v>W</v>
      </c>
      <c r="G554" s="35">
        <v>1</v>
      </c>
      <c r="K554" s="32">
        <v>1</v>
      </c>
      <c r="M554" s="32">
        <f t="shared" si="88"/>
        <v>17</v>
      </c>
      <c r="N554" s="32" t="str">
        <f t="shared" ref="N554" si="92">DEC2HEX(M554,2)</f>
        <v>11</v>
      </c>
      <c r="P554" s="47" t="str">
        <f t="shared" ref="P554" si="93">CONCATENATE("0x",N554,",0x",N555,",0x",N556,",0x",N557,",0x",N558,",0x",N559,",0x",N560,",0x",N561,",0x",N562,",0x",N563,", //",C554)</f>
        <v>0x11,0x11,0x15,0x15,0x15,0x15,0x0A,0x0A,0x00,0x00, //W</v>
      </c>
    </row>
    <row r="555" spans="1:16" ht="12" customHeight="1" x14ac:dyDescent="0.3">
      <c r="A555" s="32">
        <v>2</v>
      </c>
      <c r="B555" s="46"/>
      <c r="C555" s="46"/>
      <c r="G555" s="35">
        <v>1</v>
      </c>
      <c r="K555" s="32">
        <v>1</v>
      </c>
      <c r="M555" s="32">
        <f t="shared" ref="M555:M573" si="94">G555*G$2+H555*H$2+I555*I$2+J555*J$2+K555*K$2+F555*F$2+E555*E$2+D555*D$2</f>
        <v>17</v>
      </c>
      <c r="N555" s="32" t="str">
        <f t="shared" ref="N555:N573" si="95">DEC2HEX(M555,2)</f>
        <v>11</v>
      </c>
      <c r="P555" s="47"/>
    </row>
    <row r="556" spans="1:16" ht="12" customHeight="1" x14ac:dyDescent="0.3">
      <c r="A556" s="32">
        <v>3</v>
      </c>
      <c r="B556" s="46"/>
      <c r="C556" s="46"/>
      <c r="G556" s="35">
        <v>1</v>
      </c>
      <c r="I556" s="32">
        <v>1</v>
      </c>
      <c r="K556" s="32">
        <v>1</v>
      </c>
      <c r="M556" s="32">
        <f t="shared" si="94"/>
        <v>21</v>
      </c>
      <c r="N556" s="32" t="str">
        <f t="shared" si="95"/>
        <v>15</v>
      </c>
      <c r="P556" s="47"/>
    </row>
    <row r="557" spans="1:16" ht="12" customHeight="1" x14ac:dyDescent="0.3">
      <c r="A557" s="32">
        <v>4</v>
      </c>
      <c r="B557" s="46"/>
      <c r="C557" s="46"/>
      <c r="G557" s="35">
        <v>1</v>
      </c>
      <c r="I557" s="32">
        <v>1</v>
      </c>
      <c r="K557" s="32">
        <v>1</v>
      </c>
      <c r="M557" s="32">
        <f t="shared" si="94"/>
        <v>21</v>
      </c>
      <c r="N557" s="32" t="str">
        <f t="shared" si="95"/>
        <v>15</v>
      </c>
      <c r="P557" s="47"/>
    </row>
    <row r="558" spans="1:16" ht="12" customHeight="1" x14ac:dyDescent="0.3">
      <c r="A558" s="32">
        <v>5</v>
      </c>
      <c r="B558" s="46"/>
      <c r="C558" s="46"/>
      <c r="G558" s="35">
        <v>1</v>
      </c>
      <c r="I558" s="32">
        <v>1</v>
      </c>
      <c r="K558" s="32">
        <v>1</v>
      </c>
      <c r="M558" s="32">
        <f t="shared" si="94"/>
        <v>21</v>
      </c>
      <c r="N558" s="32" t="str">
        <f t="shared" si="95"/>
        <v>15</v>
      </c>
      <c r="P558" s="47"/>
    </row>
    <row r="559" spans="1:16" ht="12" customHeight="1" x14ac:dyDescent="0.3">
      <c r="A559" s="32">
        <v>6</v>
      </c>
      <c r="B559" s="46"/>
      <c r="C559" s="46"/>
      <c r="G559" s="35">
        <v>1</v>
      </c>
      <c r="I559" s="32">
        <v>1</v>
      </c>
      <c r="K559" s="32">
        <v>1</v>
      </c>
      <c r="M559" s="32">
        <f t="shared" si="94"/>
        <v>21</v>
      </c>
      <c r="N559" s="32" t="str">
        <f t="shared" si="95"/>
        <v>15</v>
      </c>
      <c r="P559" s="47"/>
    </row>
    <row r="560" spans="1:16" ht="12" customHeight="1" x14ac:dyDescent="0.3">
      <c r="A560" s="32">
        <v>7</v>
      </c>
      <c r="B560" s="46"/>
      <c r="C560" s="46"/>
      <c r="H560" s="32">
        <v>1</v>
      </c>
      <c r="J560" s="32">
        <v>1</v>
      </c>
      <c r="M560" s="32">
        <f t="shared" si="94"/>
        <v>10</v>
      </c>
      <c r="N560" s="32" t="str">
        <f t="shared" si="95"/>
        <v>0A</v>
      </c>
      <c r="P560" s="47"/>
    </row>
    <row r="561" spans="1:24" ht="12" customHeight="1" x14ac:dyDescent="0.3">
      <c r="A561" s="32">
        <v>8</v>
      </c>
      <c r="B561" s="46"/>
      <c r="C561" s="46"/>
      <c r="H561" s="32">
        <v>1</v>
      </c>
      <c r="J561" s="32">
        <v>1</v>
      </c>
      <c r="M561" s="32">
        <f t="shared" si="94"/>
        <v>10</v>
      </c>
      <c r="N561" s="32" t="str">
        <f t="shared" si="95"/>
        <v>0A</v>
      </c>
      <c r="P561" s="47"/>
    </row>
    <row r="562" spans="1:24" ht="12" customHeight="1" x14ac:dyDescent="0.3">
      <c r="A562" s="32">
        <v>9</v>
      </c>
      <c r="B562" s="46"/>
      <c r="C562" s="46"/>
      <c r="M562" s="32">
        <f t="shared" si="94"/>
        <v>0</v>
      </c>
      <c r="N562" s="32" t="str">
        <f t="shared" si="95"/>
        <v>00</v>
      </c>
      <c r="P562" s="47"/>
    </row>
    <row r="563" spans="1:24" ht="12" customHeight="1" x14ac:dyDescent="0.3">
      <c r="A563" s="32">
        <v>10</v>
      </c>
      <c r="B563" s="46"/>
      <c r="C563" s="46"/>
      <c r="M563" s="32">
        <f t="shared" si="94"/>
        <v>0</v>
      </c>
      <c r="N563" s="32" t="str">
        <f t="shared" si="95"/>
        <v>00</v>
      </c>
      <c r="P563" s="47"/>
    </row>
    <row r="564" spans="1:24" ht="12" customHeight="1" x14ac:dyDescent="0.3">
      <c r="A564" s="32">
        <v>1</v>
      </c>
      <c r="B564" s="46">
        <v>88</v>
      </c>
      <c r="C564" s="46" t="s">
        <v>141</v>
      </c>
      <c r="G564" s="35">
        <v>1</v>
      </c>
      <c r="H564" s="39"/>
      <c r="I564" s="39"/>
      <c r="J564" s="39"/>
      <c r="K564" s="40">
        <v>1</v>
      </c>
      <c r="L564" s="32"/>
      <c r="M564" s="32">
        <f t="shared" si="94"/>
        <v>17</v>
      </c>
      <c r="N564" s="32" t="str">
        <f t="shared" si="95"/>
        <v>11</v>
      </c>
      <c r="P564" s="47" t="str">
        <f t="shared" ref="P564" si="96">CONCATENATE("0x",N564,",0x",N565,",0x",N566,",0x",N567,",0x",N568,",0x",N569,",0x",N570,",0x",N571,",0x",N572,",0x",N573,", //",C564)</f>
        <v>0x11,0x11,0x0A,0x04,0x04,0x0A,0x11,0x11,0x00,0x00, //X</v>
      </c>
      <c r="X564" s="32"/>
    </row>
    <row r="565" spans="1:24" ht="12" customHeight="1" x14ac:dyDescent="0.3">
      <c r="A565" s="32">
        <v>2</v>
      </c>
      <c r="B565" s="46"/>
      <c r="C565" s="46"/>
      <c r="G565" s="35">
        <v>1</v>
      </c>
      <c r="H565" s="39"/>
      <c r="I565" s="39"/>
      <c r="J565" s="39"/>
      <c r="K565" s="40">
        <v>1</v>
      </c>
      <c r="L565" s="32"/>
      <c r="M565" s="32">
        <f t="shared" si="94"/>
        <v>17</v>
      </c>
      <c r="N565" s="32" t="str">
        <f t="shared" si="95"/>
        <v>11</v>
      </c>
      <c r="P565" s="47"/>
      <c r="X565" s="32"/>
    </row>
    <row r="566" spans="1:24" ht="12" customHeight="1" x14ac:dyDescent="0.3">
      <c r="A566" s="32">
        <v>3</v>
      </c>
      <c r="B566" s="46"/>
      <c r="C566" s="46"/>
      <c r="H566" s="39">
        <v>1</v>
      </c>
      <c r="I566" s="39"/>
      <c r="J566" s="39">
        <v>1</v>
      </c>
      <c r="K566" s="40"/>
      <c r="L566" s="32"/>
      <c r="M566" s="32">
        <f t="shared" si="94"/>
        <v>10</v>
      </c>
      <c r="N566" s="32" t="str">
        <f t="shared" si="95"/>
        <v>0A</v>
      </c>
      <c r="P566" s="47"/>
      <c r="X566" s="32"/>
    </row>
    <row r="567" spans="1:24" ht="12" customHeight="1" x14ac:dyDescent="0.3">
      <c r="A567" s="32">
        <v>4</v>
      </c>
      <c r="B567" s="46"/>
      <c r="C567" s="46"/>
      <c r="H567" s="39"/>
      <c r="I567" s="39">
        <v>1</v>
      </c>
      <c r="J567" s="39"/>
      <c r="K567" s="40"/>
      <c r="L567" s="32"/>
      <c r="M567" s="32">
        <f t="shared" si="94"/>
        <v>4</v>
      </c>
      <c r="N567" s="32" t="str">
        <f t="shared" si="95"/>
        <v>04</v>
      </c>
      <c r="P567" s="47"/>
      <c r="X567" s="32"/>
    </row>
    <row r="568" spans="1:24" ht="12" customHeight="1" x14ac:dyDescent="0.3">
      <c r="A568" s="32">
        <v>5</v>
      </c>
      <c r="B568" s="46"/>
      <c r="C568" s="46"/>
      <c r="H568" s="39"/>
      <c r="I568" s="39">
        <v>1</v>
      </c>
      <c r="J568" s="39"/>
      <c r="K568" s="40"/>
      <c r="L568" s="32"/>
      <c r="M568" s="32">
        <f t="shared" si="94"/>
        <v>4</v>
      </c>
      <c r="N568" s="32" t="str">
        <f t="shared" si="95"/>
        <v>04</v>
      </c>
      <c r="P568" s="47"/>
      <c r="X568" s="32"/>
    </row>
    <row r="569" spans="1:24" ht="12" customHeight="1" x14ac:dyDescent="0.3">
      <c r="A569" s="32">
        <v>6</v>
      </c>
      <c r="B569" s="46"/>
      <c r="C569" s="46"/>
      <c r="H569" s="39">
        <v>1</v>
      </c>
      <c r="I569" s="39"/>
      <c r="J569" s="39">
        <v>1</v>
      </c>
      <c r="K569" s="40"/>
      <c r="L569" s="32"/>
      <c r="M569" s="32">
        <f t="shared" si="94"/>
        <v>10</v>
      </c>
      <c r="N569" s="32" t="str">
        <f t="shared" si="95"/>
        <v>0A</v>
      </c>
      <c r="P569" s="47"/>
      <c r="X569" s="32"/>
    </row>
    <row r="570" spans="1:24" ht="12" customHeight="1" x14ac:dyDescent="0.3">
      <c r="A570" s="32">
        <v>7</v>
      </c>
      <c r="B570" s="46"/>
      <c r="C570" s="46"/>
      <c r="G570" s="35">
        <v>1</v>
      </c>
      <c r="H570" s="39"/>
      <c r="I570" s="39"/>
      <c r="J570" s="39"/>
      <c r="K570" s="40">
        <v>1</v>
      </c>
      <c r="L570" s="32"/>
      <c r="M570" s="32">
        <f t="shared" si="94"/>
        <v>17</v>
      </c>
      <c r="N570" s="32" t="str">
        <f t="shared" si="95"/>
        <v>11</v>
      </c>
      <c r="P570" s="47"/>
      <c r="X570" s="32"/>
    </row>
    <row r="571" spans="1:24" ht="12" customHeight="1" x14ac:dyDescent="0.3">
      <c r="A571" s="32">
        <v>8</v>
      </c>
      <c r="B571" s="46"/>
      <c r="C571" s="46"/>
      <c r="G571" s="35">
        <v>1</v>
      </c>
      <c r="H571" s="39"/>
      <c r="I571" s="39"/>
      <c r="J571" s="39"/>
      <c r="K571" s="40">
        <v>1</v>
      </c>
      <c r="L571" s="32"/>
      <c r="M571" s="32">
        <f t="shared" si="94"/>
        <v>17</v>
      </c>
      <c r="N571" s="32" t="str">
        <f t="shared" si="95"/>
        <v>11</v>
      </c>
      <c r="P571" s="47"/>
      <c r="X571" s="32"/>
    </row>
    <row r="572" spans="1:24" ht="12" customHeight="1" x14ac:dyDescent="0.3">
      <c r="A572" s="32">
        <v>9</v>
      </c>
      <c r="B572" s="46"/>
      <c r="C572" s="46"/>
      <c r="H572" s="39"/>
      <c r="I572" s="39"/>
      <c r="J572" s="39"/>
      <c r="K572" s="40"/>
      <c r="L572" s="32"/>
      <c r="M572" s="32">
        <f t="shared" si="94"/>
        <v>0</v>
      </c>
      <c r="N572" s="32" t="str">
        <f t="shared" si="95"/>
        <v>00</v>
      </c>
      <c r="P572" s="47"/>
      <c r="X572" s="32"/>
    </row>
    <row r="573" spans="1:24" ht="12" customHeight="1" x14ac:dyDescent="0.3">
      <c r="A573" s="32">
        <v>10</v>
      </c>
      <c r="B573" s="46"/>
      <c r="C573" s="46"/>
      <c r="H573" s="39"/>
      <c r="I573" s="39"/>
      <c r="J573" s="39"/>
      <c r="K573" s="40"/>
      <c r="L573" s="32"/>
      <c r="M573" s="32">
        <f t="shared" si="94"/>
        <v>0</v>
      </c>
      <c r="N573" s="32" t="str">
        <f t="shared" si="95"/>
        <v>00</v>
      </c>
      <c r="P573" s="47"/>
      <c r="X573" s="32"/>
    </row>
    <row r="574" spans="1:24" ht="12" customHeight="1" x14ac:dyDescent="0.3">
      <c r="A574" s="32">
        <v>1</v>
      </c>
      <c r="B574" s="46">
        <v>89</v>
      </c>
      <c r="C574" s="46" t="str">
        <f t="shared" ref="C574" si="97">CHAR(B574)</f>
        <v>Y</v>
      </c>
      <c r="G574" s="35">
        <v>1</v>
      </c>
      <c r="K574" s="32">
        <v>1</v>
      </c>
      <c r="M574" s="32">
        <f t="shared" si="88"/>
        <v>17</v>
      </c>
      <c r="N574" s="32" t="str">
        <f t="shared" ref="N574:N593" si="98">DEC2HEX(M574,2)</f>
        <v>11</v>
      </c>
      <c r="P574" s="47" t="str">
        <f t="shared" ref="P574" si="99">CONCATENATE("0x",N574,",0x",N575,",0x",N576,",0x",N577,",0x",N578,",0x",N579,",0x",N580,",0x",N581,",0x",N582,",0x",N583,", //",C574)</f>
        <v>0x11,0x11,0x0A,0x0A,0x04,0x04,0x04,0x04,0x00,0x00, //Y</v>
      </c>
    </row>
    <row r="575" spans="1:24" ht="12" customHeight="1" x14ac:dyDescent="0.3">
      <c r="A575" s="32">
        <v>2</v>
      </c>
      <c r="B575" s="46"/>
      <c r="C575" s="46"/>
      <c r="G575" s="35">
        <v>1</v>
      </c>
      <c r="K575" s="32">
        <v>1</v>
      </c>
      <c r="M575" s="32">
        <f t="shared" si="88"/>
        <v>17</v>
      </c>
      <c r="N575" s="32" t="str">
        <f t="shared" si="98"/>
        <v>11</v>
      </c>
      <c r="P575" s="47"/>
    </row>
    <row r="576" spans="1:24" ht="12" customHeight="1" x14ac:dyDescent="0.3">
      <c r="A576" s="32">
        <v>3</v>
      </c>
      <c r="B576" s="46"/>
      <c r="C576" s="46"/>
      <c r="H576" s="32">
        <v>1</v>
      </c>
      <c r="J576" s="32">
        <v>1</v>
      </c>
      <c r="M576" s="32">
        <f t="shared" si="88"/>
        <v>10</v>
      </c>
      <c r="N576" s="32" t="str">
        <f t="shared" si="98"/>
        <v>0A</v>
      </c>
      <c r="P576" s="47"/>
    </row>
    <row r="577" spans="1:16" ht="12" customHeight="1" x14ac:dyDescent="0.3">
      <c r="A577" s="32">
        <v>4</v>
      </c>
      <c r="B577" s="46"/>
      <c r="C577" s="46"/>
      <c r="H577" s="32">
        <v>1</v>
      </c>
      <c r="J577" s="32">
        <v>1</v>
      </c>
      <c r="M577" s="32">
        <f t="shared" si="88"/>
        <v>10</v>
      </c>
      <c r="N577" s="32" t="str">
        <f t="shared" si="98"/>
        <v>0A</v>
      </c>
      <c r="P577" s="47"/>
    </row>
    <row r="578" spans="1:16" ht="12" customHeight="1" x14ac:dyDescent="0.3">
      <c r="A578" s="32">
        <v>5</v>
      </c>
      <c r="B578" s="46"/>
      <c r="C578" s="46"/>
      <c r="I578" s="32">
        <v>1</v>
      </c>
      <c r="M578" s="32">
        <f t="shared" si="88"/>
        <v>4</v>
      </c>
      <c r="N578" s="32" t="str">
        <f t="shared" si="98"/>
        <v>04</v>
      </c>
      <c r="P578" s="47"/>
    </row>
    <row r="579" spans="1:16" ht="12" customHeight="1" x14ac:dyDescent="0.3">
      <c r="A579" s="32">
        <v>6</v>
      </c>
      <c r="B579" s="46"/>
      <c r="C579" s="46"/>
      <c r="I579" s="32">
        <v>1</v>
      </c>
      <c r="M579" s="32">
        <f t="shared" si="88"/>
        <v>4</v>
      </c>
      <c r="N579" s="32" t="str">
        <f t="shared" si="98"/>
        <v>04</v>
      </c>
      <c r="P579" s="47"/>
    </row>
    <row r="580" spans="1:16" ht="12" customHeight="1" x14ac:dyDescent="0.3">
      <c r="A580" s="32">
        <v>7</v>
      </c>
      <c r="B580" s="46"/>
      <c r="C580" s="46"/>
      <c r="I580" s="32">
        <v>1</v>
      </c>
      <c r="M580" s="32">
        <f t="shared" si="88"/>
        <v>4</v>
      </c>
      <c r="N580" s="32" t="str">
        <f t="shared" si="98"/>
        <v>04</v>
      </c>
      <c r="P580" s="47"/>
    </row>
    <row r="581" spans="1:16" ht="12" customHeight="1" x14ac:dyDescent="0.3">
      <c r="A581" s="32">
        <v>8</v>
      </c>
      <c r="B581" s="46"/>
      <c r="C581" s="46"/>
      <c r="I581" s="32">
        <v>1</v>
      </c>
      <c r="M581" s="32">
        <f t="shared" si="88"/>
        <v>4</v>
      </c>
      <c r="N581" s="32" t="str">
        <f t="shared" si="98"/>
        <v>04</v>
      </c>
      <c r="P581" s="47"/>
    </row>
    <row r="582" spans="1:16" ht="12" customHeight="1" x14ac:dyDescent="0.3">
      <c r="A582" s="32">
        <v>9</v>
      </c>
      <c r="B582" s="46"/>
      <c r="C582" s="46"/>
      <c r="M582" s="32">
        <f t="shared" si="88"/>
        <v>0</v>
      </c>
      <c r="N582" s="32" t="str">
        <f t="shared" si="98"/>
        <v>00</v>
      </c>
      <c r="P582" s="47"/>
    </row>
    <row r="583" spans="1:16" ht="12" customHeight="1" x14ac:dyDescent="0.3">
      <c r="A583" s="32">
        <v>10</v>
      </c>
      <c r="B583" s="46"/>
      <c r="C583" s="46"/>
      <c r="M583" s="32">
        <f t="shared" si="88"/>
        <v>0</v>
      </c>
      <c r="N583" s="32" t="str">
        <f t="shared" si="98"/>
        <v>00</v>
      </c>
      <c r="P583" s="47"/>
    </row>
    <row r="584" spans="1:16" ht="12" customHeight="1" x14ac:dyDescent="0.3">
      <c r="A584" s="32">
        <v>1</v>
      </c>
      <c r="B584" s="46">
        <v>90</v>
      </c>
      <c r="C584" s="46" t="str">
        <f t="shared" ref="C584:C604" si="100">CHAR(B584)</f>
        <v>Z</v>
      </c>
      <c r="H584" s="32">
        <v>1</v>
      </c>
      <c r="I584" s="32">
        <v>1</v>
      </c>
      <c r="J584" s="32">
        <v>1</v>
      </c>
      <c r="K584" s="32">
        <v>1</v>
      </c>
      <c r="M584" s="32">
        <f t="shared" si="88"/>
        <v>15</v>
      </c>
      <c r="N584" s="32" t="str">
        <f t="shared" si="98"/>
        <v>0F</v>
      </c>
      <c r="P584" s="47" t="str">
        <f t="shared" ref="P584" si="101">CONCATENATE("0x",N584,",0x",N585,",0x",N586,",0x",N587,",0x",N588,",0x",N589,",0x",N590,",0x",N591,",0x",N592,",0x",N593,", //",C584)</f>
        <v>0x0F,0x01,0x02,0x02,0x04,0x04,0x08,0x0F,0x00,0x00, //Z</v>
      </c>
    </row>
    <row r="585" spans="1:16" ht="12" customHeight="1" x14ac:dyDescent="0.3">
      <c r="A585" s="32">
        <v>2</v>
      </c>
      <c r="B585" s="46"/>
      <c r="C585" s="46"/>
      <c r="K585" s="32">
        <v>1</v>
      </c>
      <c r="M585" s="32">
        <f t="shared" si="88"/>
        <v>1</v>
      </c>
      <c r="N585" s="32" t="str">
        <f t="shared" si="98"/>
        <v>01</v>
      </c>
      <c r="P585" s="47"/>
    </row>
    <row r="586" spans="1:16" ht="12" customHeight="1" x14ac:dyDescent="0.3">
      <c r="A586" s="32">
        <v>3</v>
      </c>
      <c r="B586" s="46"/>
      <c r="C586" s="46"/>
      <c r="J586" s="32">
        <v>1</v>
      </c>
      <c r="M586" s="32">
        <f t="shared" si="88"/>
        <v>2</v>
      </c>
      <c r="N586" s="32" t="str">
        <f t="shared" si="98"/>
        <v>02</v>
      </c>
      <c r="P586" s="47"/>
    </row>
    <row r="587" spans="1:16" ht="12" customHeight="1" x14ac:dyDescent="0.3">
      <c r="A587" s="32">
        <v>4</v>
      </c>
      <c r="B587" s="46"/>
      <c r="C587" s="46"/>
      <c r="J587" s="32">
        <v>1</v>
      </c>
      <c r="M587" s="32">
        <f t="shared" si="88"/>
        <v>2</v>
      </c>
      <c r="N587" s="32" t="str">
        <f t="shared" si="98"/>
        <v>02</v>
      </c>
      <c r="P587" s="47"/>
    </row>
    <row r="588" spans="1:16" ht="12" customHeight="1" x14ac:dyDescent="0.3">
      <c r="A588" s="32">
        <v>5</v>
      </c>
      <c r="B588" s="46"/>
      <c r="C588" s="46"/>
      <c r="I588" s="32">
        <v>1</v>
      </c>
      <c r="M588" s="32">
        <f t="shared" si="88"/>
        <v>4</v>
      </c>
      <c r="N588" s="32" t="str">
        <f t="shared" si="98"/>
        <v>04</v>
      </c>
      <c r="P588" s="47"/>
    </row>
    <row r="589" spans="1:16" ht="12" customHeight="1" x14ac:dyDescent="0.3">
      <c r="A589" s="32">
        <v>6</v>
      </c>
      <c r="B589" s="46"/>
      <c r="C589" s="46"/>
      <c r="I589" s="32">
        <v>1</v>
      </c>
      <c r="M589" s="32">
        <f t="shared" si="88"/>
        <v>4</v>
      </c>
      <c r="N589" s="32" t="str">
        <f t="shared" si="98"/>
        <v>04</v>
      </c>
      <c r="P589" s="47"/>
    </row>
    <row r="590" spans="1:16" ht="12" customHeight="1" x14ac:dyDescent="0.3">
      <c r="A590" s="32">
        <v>7</v>
      </c>
      <c r="B590" s="46"/>
      <c r="C590" s="46"/>
      <c r="H590" s="32">
        <v>1</v>
      </c>
      <c r="M590" s="32">
        <f t="shared" si="88"/>
        <v>8</v>
      </c>
      <c r="N590" s="32" t="str">
        <f t="shared" si="98"/>
        <v>08</v>
      </c>
      <c r="P590" s="47"/>
    </row>
    <row r="591" spans="1:16" ht="12" customHeight="1" x14ac:dyDescent="0.3">
      <c r="A591" s="32">
        <v>8</v>
      </c>
      <c r="B591" s="46"/>
      <c r="C591" s="46"/>
      <c r="H591" s="32">
        <v>1</v>
      </c>
      <c r="I591" s="32">
        <v>1</v>
      </c>
      <c r="J591" s="32">
        <v>1</v>
      </c>
      <c r="K591" s="32">
        <v>1</v>
      </c>
      <c r="M591" s="32">
        <f t="shared" si="88"/>
        <v>15</v>
      </c>
      <c r="N591" s="32" t="str">
        <f t="shared" si="98"/>
        <v>0F</v>
      </c>
      <c r="P591" s="47"/>
    </row>
    <row r="592" spans="1:16" ht="12" customHeight="1" x14ac:dyDescent="0.3">
      <c r="A592" s="32">
        <v>9</v>
      </c>
      <c r="B592" s="46"/>
      <c r="C592" s="46"/>
      <c r="M592" s="32">
        <f t="shared" si="88"/>
        <v>0</v>
      </c>
      <c r="N592" s="32" t="str">
        <f t="shared" si="98"/>
        <v>00</v>
      </c>
      <c r="P592" s="47"/>
    </row>
    <row r="593" spans="1:16" ht="12" customHeight="1" x14ac:dyDescent="0.3">
      <c r="A593" s="32">
        <v>10</v>
      </c>
      <c r="B593" s="46"/>
      <c r="C593" s="46"/>
      <c r="M593" s="32">
        <f t="shared" si="88"/>
        <v>0</v>
      </c>
      <c r="N593" s="32" t="str">
        <f t="shared" si="98"/>
        <v>00</v>
      </c>
      <c r="P593" s="47"/>
    </row>
    <row r="594" spans="1:16" ht="12" customHeight="1" x14ac:dyDescent="0.3">
      <c r="A594" s="32">
        <v>1</v>
      </c>
      <c r="B594" s="46">
        <v>91</v>
      </c>
      <c r="C594" s="46" t="str">
        <f t="shared" si="100"/>
        <v>[</v>
      </c>
      <c r="M594" s="32">
        <f t="shared" si="88"/>
        <v>0</v>
      </c>
      <c r="N594" s="32" t="str">
        <f t="shared" ref="N594:N603" si="102">DEC2HEX(M594,2)</f>
        <v>00</v>
      </c>
      <c r="P594" s="47" t="str">
        <f t="shared" ref="P594" si="103">CONCATENATE("0x",N594,",0x",N595,",0x",N596,",0x",N597,",0x",N598,",0x",N599,",0x",N600,",0x",N601,",0x",N602,",0x",N603,", //",C594)</f>
        <v>0x00,0x00,0x00,0x00,0x00,0x00,0x00,0x00,0x00,0x00, //[</v>
      </c>
    </row>
    <row r="595" spans="1:16" ht="12" customHeight="1" x14ac:dyDescent="0.3">
      <c r="A595" s="32">
        <v>2</v>
      </c>
      <c r="B595" s="46"/>
      <c r="C595" s="46"/>
      <c r="M595" s="32">
        <f t="shared" si="88"/>
        <v>0</v>
      </c>
      <c r="N595" s="32" t="str">
        <f t="shared" si="102"/>
        <v>00</v>
      </c>
      <c r="P595" s="47"/>
    </row>
    <row r="596" spans="1:16" ht="12" customHeight="1" x14ac:dyDescent="0.3">
      <c r="A596" s="32">
        <v>3</v>
      </c>
      <c r="B596" s="46"/>
      <c r="C596" s="46"/>
      <c r="M596" s="32">
        <f t="shared" si="88"/>
        <v>0</v>
      </c>
      <c r="N596" s="32" t="str">
        <f t="shared" si="102"/>
        <v>00</v>
      </c>
      <c r="P596" s="47"/>
    </row>
    <row r="597" spans="1:16" ht="12" customHeight="1" x14ac:dyDescent="0.3">
      <c r="A597" s="32">
        <v>4</v>
      </c>
      <c r="B597" s="46"/>
      <c r="C597" s="46"/>
      <c r="M597" s="32">
        <f t="shared" si="88"/>
        <v>0</v>
      </c>
      <c r="N597" s="32" t="str">
        <f t="shared" si="102"/>
        <v>00</v>
      </c>
      <c r="P597" s="47"/>
    </row>
    <row r="598" spans="1:16" ht="12" customHeight="1" x14ac:dyDescent="0.3">
      <c r="A598" s="32">
        <v>5</v>
      </c>
      <c r="B598" s="46"/>
      <c r="C598" s="46"/>
      <c r="M598" s="32">
        <f t="shared" si="88"/>
        <v>0</v>
      </c>
      <c r="N598" s="32" t="str">
        <f t="shared" si="102"/>
        <v>00</v>
      </c>
      <c r="P598" s="47"/>
    </row>
    <row r="599" spans="1:16" ht="12" customHeight="1" x14ac:dyDescent="0.3">
      <c r="A599" s="32">
        <v>6</v>
      </c>
      <c r="B599" s="46"/>
      <c r="C599" s="46"/>
      <c r="M599" s="32">
        <f t="shared" si="88"/>
        <v>0</v>
      </c>
      <c r="N599" s="32" t="str">
        <f t="shared" si="102"/>
        <v>00</v>
      </c>
      <c r="P599" s="47"/>
    </row>
    <row r="600" spans="1:16" ht="12" customHeight="1" x14ac:dyDescent="0.3">
      <c r="A600" s="32">
        <v>7</v>
      </c>
      <c r="B600" s="46"/>
      <c r="C600" s="46"/>
      <c r="M600" s="32">
        <f t="shared" si="88"/>
        <v>0</v>
      </c>
      <c r="N600" s="32" t="str">
        <f t="shared" si="102"/>
        <v>00</v>
      </c>
      <c r="P600" s="47"/>
    </row>
    <row r="601" spans="1:16" ht="12" customHeight="1" x14ac:dyDescent="0.3">
      <c r="A601" s="32">
        <v>8</v>
      </c>
      <c r="B601" s="46"/>
      <c r="C601" s="46"/>
      <c r="M601" s="32">
        <f t="shared" ref="M601:M704" si="104">G601*G$2+H601*H$2+I601*I$2+J601*J$2+K601*K$2+F601*F$2+E601*E$2+D601*D$2</f>
        <v>0</v>
      </c>
      <c r="N601" s="32" t="str">
        <f t="shared" si="102"/>
        <v>00</v>
      </c>
      <c r="P601" s="47"/>
    </row>
    <row r="602" spans="1:16" ht="12" customHeight="1" x14ac:dyDescent="0.3">
      <c r="A602" s="32">
        <v>9</v>
      </c>
      <c r="B602" s="46"/>
      <c r="C602" s="46"/>
      <c r="M602" s="32">
        <f t="shared" si="104"/>
        <v>0</v>
      </c>
      <c r="N602" s="32" t="str">
        <f t="shared" si="102"/>
        <v>00</v>
      </c>
      <c r="P602" s="47"/>
    </row>
    <row r="603" spans="1:16" ht="12" customHeight="1" x14ac:dyDescent="0.3">
      <c r="A603" s="32">
        <v>10</v>
      </c>
      <c r="B603" s="46"/>
      <c r="C603" s="46"/>
      <c r="M603" s="32">
        <f t="shared" si="104"/>
        <v>0</v>
      </c>
      <c r="N603" s="32" t="str">
        <f t="shared" si="102"/>
        <v>00</v>
      </c>
      <c r="P603" s="47"/>
    </row>
    <row r="604" spans="1:16" ht="12" customHeight="1" x14ac:dyDescent="0.3">
      <c r="A604" s="32">
        <v>1</v>
      </c>
      <c r="B604" s="46">
        <v>92</v>
      </c>
      <c r="C604" s="46" t="str">
        <f t="shared" si="100"/>
        <v>\</v>
      </c>
      <c r="H604" s="32">
        <v>1</v>
      </c>
      <c r="J604" s="32">
        <v>1</v>
      </c>
      <c r="M604" s="32">
        <f t="shared" si="104"/>
        <v>10</v>
      </c>
      <c r="N604" s="32" t="str">
        <f t="shared" ref="N604:N663" si="105">DEC2HEX(M604,2)</f>
        <v>0A</v>
      </c>
      <c r="P604" s="47" t="str">
        <f t="shared" ref="P604" si="106">CONCATENATE("0x",N604,",0x",N605,",0x",N606,",0x",N607,",0x",N608,",0x",N609,",0x",N610,",0x",N611,",0x",N612,",0x",N613,", //",C604)</f>
        <v>0x0A,0x0A,0x0A,0x0A,0x1F,0x11,0x11,0x11,0x11,0x0E, //\</v>
      </c>
    </row>
    <row r="605" spans="1:16" ht="12" customHeight="1" x14ac:dyDescent="0.3">
      <c r="A605" s="32">
        <v>2</v>
      </c>
      <c r="B605" s="46"/>
      <c r="C605" s="46"/>
      <c r="H605" s="32">
        <v>1</v>
      </c>
      <c r="J605" s="32">
        <v>1</v>
      </c>
      <c r="M605" s="32">
        <f t="shared" si="104"/>
        <v>10</v>
      </c>
      <c r="N605" s="32" t="str">
        <f t="shared" si="105"/>
        <v>0A</v>
      </c>
      <c r="P605" s="47"/>
    </row>
    <row r="606" spans="1:16" ht="12" customHeight="1" x14ac:dyDescent="0.3">
      <c r="A606" s="32">
        <v>3</v>
      </c>
      <c r="B606" s="46"/>
      <c r="C606" s="46"/>
      <c r="H606" s="32">
        <v>1</v>
      </c>
      <c r="J606" s="32">
        <v>1</v>
      </c>
      <c r="M606" s="32">
        <f t="shared" si="104"/>
        <v>10</v>
      </c>
      <c r="N606" s="32" t="str">
        <f t="shared" si="105"/>
        <v>0A</v>
      </c>
      <c r="P606" s="47"/>
    </row>
    <row r="607" spans="1:16" ht="12" customHeight="1" x14ac:dyDescent="0.3">
      <c r="A607" s="32">
        <v>4</v>
      </c>
      <c r="B607" s="46"/>
      <c r="C607" s="46"/>
      <c r="H607" s="32">
        <v>1</v>
      </c>
      <c r="J607" s="32">
        <v>1</v>
      </c>
      <c r="M607" s="32">
        <f t="shared" si="104"/>
        <v>10</v>
      </c>
      <c r="N607" s="32" t="str">
        <f t="shared" si="105"/>
        <v>0A</v>
      </c>
      <c r="P607" s="47"/>
    </row>
    <row r="608" spans="1:16" ht="12" customHeight="1" x14ac:dyDescent="0.3">
      <c r="A608" s="32">
        <v>5</v>
      </c>
      <c r="B608" s="46"/>
      <c r="C608" s="46"/>
      <c r="G608" s="35">
        <v>1</v>
      </c>
      <c r="H608" s="32">
        <v>1</v>
      </c>
      <c r="I608" s="32">
        <v>1</v>
      </c>
      <c r="J608" s="32">
        <v>1</v>
      </c>
      <c r="K608" s="32">
        <v>1</v>
      </c>
      <c r="M608" s="32">
        <f t="shared" si="104"/>
        <v>31</v>
      </c>
      <c r="N608" s="32" t="str">
        <f t="shared" si="105"/>
        <v>1F</v>
      </c>
      <c r="P608" s="47"/>
    </row>
    <row r="609" spans="1:24" ht="12" customHeight="1" x14ac:dyDescent="0.3">
      <c r="A609" s="32">
        <v>6</v>
      </c>
      <c r="B609" s="46"/>
      <c r="C609" s="46"/>
      <c r="G609" s="35">
        <v>1</v>
      </c>
      <c r="K609" s="32">
        <v>1</v>
      </c>
      <c r="M609" s="32">
        <f t="shared" si="104"/>
        <v>17</v>
      </c>
      <c r="N609" s="32" t="str">
        <f t="shared" si="105"/>
        <v>11</v>
      </c>
      <c r="P609" s="47"/>
    </row>
    <row r="610" spans="1:24" ht="12" customHeight="1" x14ac:dyDescent="0.3">
      <c r="A610" s="32">
        <v>7</v>
      </c>
      <c r="B610" s="46"/>
      <c r="C610" s="46"/>
      <c r="G610" s="35">
        <v>1</v>
      </c>
      <c r="K610" s="32">
        <v>1</v>
      </c>
      <c r="M610" s="32">
        <f t="shared" si="104"/>
        <v>17</v>
      </c>
      <c r="N610" s="32" t="str">
        <f t="shared" si="105"/>
        <v>11</v>
      </c>
      <c r="P610" s="47"/>
    </row>
    <row r="611" spans="1:24" ht="12" customHeight="1" x14ac:dyDescent="0.3">
      <c r="A611" s="32">
        <v>8</v>
      </c>
      <c r="B611" s="46"/>
      <c r="C611" s="46"/>
      <c r="G611" s="35">
        <v>1</v>
      </c>
      <c r="K611" s="32">
        <v>1</v>
      </c>
      <c r="M611" s="32">
        <f t="shared" si="104"/>
        <v>17</v>
      </c>
      <c r="N611" s="32" t="str">
        <f t="shared" si="105"/>
        <v>11</v>
      </c>
      <c r="P611" s="47"/>
    </row>
    <row r="612" spans="1:24" ht="12" customHeight="1" x14ac:dyDescent="0.3">
      <c r="A612" s="32">
        <v>9</v>
      </c>
      <c r="B612" s="46"/>
      <c r="C612" s="46"/>
      <c r="G612" s="35">
        <v>1</v>
      </c>
      <c r="K612" s="32">
        <v>1</v>
      </c>
      <c r="M612" s="32">
        <f t="shared" si="104"/>
        <v>17</v>
      </c>
      <c r="N612" s="32" t="str">
        <f t="shared" si="105"/>
        <v>11</v>
      </c>
      <c r="P612" s="47"/>
    </row>
    <row r="613" spans="1:24" ht="12" customHeight="1" x14ac:dyDescent="0.3">
      <c r="A613" s="32">
        <v>10</v>
      </c>
      <c r="B613" s="46"/>
      <c r="C613" s="46"/>
      <c r="H613" s="32">
        <v>1</v>
      </c>
      <c r="I613" s="32">
        <v>1</v>
      </c>
      <c r="J613" s="32">
        <v>1</v>
      </c>
      <c r="M613" s="32">
        <f t="shared" si="104"/>
        <v>14</v>
      </c>
      <c r="N613" s="32" t="str">
        <f t="shared" si="105"/>
        <v>0E</v>
      </c>
      <c r="P613" s="47"/>
    </row>
    <row r="614" spans="1:24" ht="12" customHeight="1" x14ac:dyDescent="0.3">
      <c r="A614" s="32">
        <v>1</v>
      </c>
      <c r="B614" s="46">
        <v>93</v>
      </c>
      <c r="C614" s="46" t="str">
        <f t="shared" ref="C614" si="107">CHAR(B614)</f>
        <v>]</v>
      </c>
      <c r="M614" s="32">
        <f t="shared" si="104"/>
        <v>0</v>
      </c>
      <c r="N614" s="32" t="str">
        <f t="shared" si="105"/>
        <v>00</v>
      </c>
      <c r="P614" s="47" t="str">
        <f t="shared" ref="P614" si="108">CONCATENATE("0x",N614,",0x",N615,",0x",N616,",0x",N617,",0x",N618,",0x",N619,",0x",N620,",0x",N621,",0x",N622,",0x",N623,", //",C614)</f>
        <v>0x00,0x00,0x00,0x00,0x00,0x00,0x00,0x00,0x00,0x00, //]</v>
      </c>
      <c r="X614" s="38"/>
    </row>
    <row r="615" spans="1:24" ht="12" customHeight="1" x14ac:dyDescent="0.3">
      <c r="A615" s="32">
        <v>2</v>
      </c>
      <c r="B615" s="46"/>
      <c r="C615" s="46"/>
      <c r="M615" s="32">
        <f t="shared" si="104"/>
        <v>0</v>
      </c>
      <c r="N615" s="32" t="str">
        <f t="shared" si="105"/>
        <v>00</v>
      </c>
      <c r="P615" s="47"/>
      <c r="X615" s="38"/>
    </row>
    <row r="616" spans="1:24" ht="12" customHeight="1" x14ac:dyDescent="0.3">
      <c r="A616" s="32">
        <v>3</v>
      </c>
      <c r="B616" s="46"/>
      <c r="C616" s="46"/>
      <c r="M616" s="32">
        <f t="shared" si="104"/>
        <v>0</v>
      </c>
      <c r="N616" s="32" t="str">
        <f t="shared" si="105"/>
        <v>00</v>
      </c>
      <c r="P616" s="47"/>
      <c r="X616" s="38"/>
    </row>
    <row r="617" spans="1:24" ht="12" customHeight="1" x14ac:dyDescent="0.3">
      <c r="A617" s="32">
        <v>4</v>
      </c>
      <c r="B617" s="46"/>
      <c r="C617" s="46"/>
      <c r="M617" s="32">
        <f t="shared" si="104"/>
        <v>0</v>
      </c>
      <c r="N617" s="32" t="str">
        <f t="shared" si="105"/>
        <v>00</v>
      </c>
      <c r="P617" s="47"/>
      <c r="X617" s="38"/>
    </row>
    <row r="618" spans="1:24" ht="12" customHeight="1" x14ac:dyDescent="0.3">
      <c r="A618" s="32">
        <v>5</v>
      </c>
      <c r="B618" s="46"/>
      <c r="C618" s="46"/>
      <c r="M618" s="32">
        <f t="shared" si="104"/>
        <v>0</v>
      </c>
      <c r="N618" s="32" t="str">
        <f t="shared" si="105"/>
        <v>00</v>
      </c>
      <c r="P618" s="47"/>
      <c r="X618" s="38"/>
    </row>
    <row r="619" spans="1:24" ht="12" customHeight="1" x14ac:dyDescent="0.3">
      <c r="A619" s="32">
        <v>6</v>
      </c>
      <c r="B619" s="46"/>
      <c r="C619" s="46"/>
      <c r="M619" s="32">
        <f t="shared" si="104"/>
        <v>0</v>
      </c>
      <c r="N619" s="32" t="str">
        <f t="shared" si="105"/>
        <v>00</v>
      </c>
      <c r="P619" s="47"/>
      <c r="X619" s="38"/>
    </row>
    <row r="620" spans="1:24" ht="12" customHeight="1" x14ac:dyDescent="0.3">
      <c r="A620" s="32">
        <v>7</v>
      </c>
      <c r="B620" s="46"/>
      <c r="C620" s="46"/>
      <c r="M620" s="32">
        <f t="shared" si="104"/>
        <v>0</v>
      </c>
      <c r="N620" s="32" t="str">
        <f t="shared" si="105"/>
        <v>00</v>
      </c>
      <c r="P620" s="47"/>
      <c r="X620" s="38"/>
    </row>
    <row r="621" spans="1:24" ht="12" customHeight="1" x14ac:dyDescent="0.3">
      <c r="A621" s="32">
        <v>8</v>
      </c>
      <c r="B621" s="46"/>
      <c r="C621" s="46"/>
      <c r="M621" s="32">
        <f t="shared" si="104"/>
        <v>0</v>
      </c>
      <c r="N621" s="32" t="str">
        <f t="shared" si="105"/>
        <v>00</v>
      </c>
      <c r="P621" s="47"/>
      <c r="X621" s="38"/>
    </row>
    <row r="622" spans="1:24" ht="12" customHeight="1" x14ac:dyDescent="0.3">
      <c r="A622" s="32">
        <v>9</v>
      </c>
      <c r="B622" s="46"/>
      <c r="C622" s="46"/>
      <c r="M622" s="32">
        <f t="shared" si="104"/>
        <v>0</v>
      </c>
      <c r="N622" s="32" t="str">
        <f t="shared" si="105"/>
        <v>00</v>
      </c>
      <c r="P622" s="47"/>
      <c r="X622" s="38"/>
    </row>
    <row r="623" spans="1:24" ht="12" customHeight="1" x14ac:dyDescent="0.3">
      <c r="A623" s="32">
        <v>10</v>
      </c>
      <c r="B623" s="46"/>
      <c r="C623" s="46"/>
      <c r="M623" s="32">
        <f t="shared" si="104"/>
        <v>0</v>
      </c>
      <c r="N623" s="32" t="str">
        <f t="shared" si="105"/>
        <v>00</v>
      </c>
      <c r="P623" s="47"/>
      <c r="X623" s="38"/>
    </row>
    <row r="624" spans="1:24" ht="12" customHeight="1" x14ac:dyDescent="0.3">
      <c r="A624" s="32">
        <v>1</v>
      </c>
      <c r="B624" s="46">
        <v>94</v>
      </c>
      <c r="C624" s="46" t="str">
        <f t="shared" ref="C624" si="109">CHAR(B624)</f>
        <v>^</v>
      </c>
      <c r="M624" s="32">
        <f t="shared" ref="M624:M643" si="110">G624*G$2+H624*H$2+I624*I$2+J624*J$2+K624*K$2+F624*F$2+E624*E$2+D624*D$2</f>
        <v>0</v>
      </c>
      <c r="N624" s="32" t="str">
        <f t="shared" ref="N624:N643" si="111">DEC2HEX(M624,2)</f>
        <v>00</v>
      </c>
      <c r="P624" s="47" t="str">
        <f t="shared" ref="P624" si="112">CONCATENATE("0x",N624,",0x",N625,",0x",N626,",0x",N627,",0x",N628,",0x",N629,",0x",N630,",0x",N631,",0x",N632,",0x",N633,", //",C624)</f>
        <v>0x00,0x00,0x00,0x00,0x00,0x00,0x00,0x00,0x00,0x00, //^</v>
      </c>
      <c r="X624" s="38"/>
    </row>
    <row r="625" spans="1:24" ht="12" customHeight="1" x14ac:dyDescent="0.3">
      <c r="A625" s="32">
        <v>2</v>
      </c>
      <c r="B625" s="46"/>
      <c r="C625" s="46"/>
      <c r="M625" s="32">
        <f t="shared" si="110"/>
        <v>0</v>
      </c>
      <c r="N625" s="32" t="str">
        <f t="shared" si="111"/>
        <v>00</v>
      </c>
      <c r="P625" s="47"/>
      <c r="X625" s="38"/>
    </row>
    <row r="626" spans="1:24" ht="12" customHeight="1" x14ac:dyDescent="0.3">
      <c r="A626" s="32">
        <v>3</v>
      </c>
      <c r="B626" s="46"/>
      <c r="C626" s="46"/>
      <c r="M626" s="32">
        <f t="shared" si="110"/>
        <v>0</v>
      </c>
      <c r="N626" s="32" t="str">
        <f t="shared" si="111"/>
        <v>00</v>
      </c>
      <c r="P626" s="47"/>
      <c r="X626" s="38"/>
    </row>
    <row r="627" spans="1:24" ht="12" customHeight="1" x14ac:dyDescent="0.3">
      <c r="A627" s="32">
        <v>4</v>
      </c>
      <c r="B627" s="46"/>
      <c r="C627" s="46"/>
      <c r="M627" s="32">
        <f t="shared" si="110"/>
        <v>0</v>
      </c>
      <c r="N627" s="32" t="str">
        <f t="shared" si="111"/>
        <v>00</v>
      </c>
      <c r="P627" s="47"/>
      <c r="X627" s="38"/>
    </row>
    <row r="628" spans="1:24" ht="12" customHeight="1" x14ac:dyDescent="0.3">
      <c r="A628" s="32">
        <v>5</v>
      </c>
      <c r="B628" s="46"/>
      <c r="C628" s="46"/>
      <c r="M628" s="32">
        <f t="shared" si="110"/>
        <v>0</v>
      </c>
      <c r="N628" s="32" t="str">
        <f t="shared" si="111"/>
        <v>00</v>
      </c>
      <c r="P628" s="47"/>
      <c r="X628" s="38"/>
    </row>
    <row r="629" spans="1:24" ht="12" customHeight="1" x14ac:dyDescent="0.3">
      <c r="A629" s="32">
        <v>6</v>
      </c>
      <c r="B629" s="46"/>
      <c r="C629" s="46"/>
      <c r="M629" s="32">
        <f t="shared" si="110"/>
        <v>0</v>
      </c>
      <c r="N629" s="32" t="str">
        <f t="shared" si="111"/>
        <v>00</v>
      </c>
      <c r="P629" s="47"/>
      <c r="X629" s="38"/>
    </row>
    <row r="630" spans="1:24" ht="12" customHeight="1" x14ac:dyDescent="0.3">
      <c r="A630" s="32">
        <v>7</v>
      </c>
      <c r="B630" s="46"/>
      <c r="C630" s="46"/>
      <c r="M630" s="32">
        <f t="shared" si="110"/>
        <v>0</v>
      </c>
      <c r="N630" s="32" t="str">
        <f t="shared" si="111"/>
        <v>00</v>
      </c>
      <c r="P630" s="47"/>
      <c r="X630" s="38"/>
    </row>
    <row r="631" spans="1:24" ht="12" customHeight="1" x14ac:dyDescent="0.3">
      <c r="A631" s="32">
        <v>8</v>
      </c>
      <c r="B631" s="46"/>
      <c r="C631" s="46"/>
      <c r="M631" s="32">
        <f t="shared" si="110"/>
        <v>0</v>
      </c>
      <c r="N631" s="32" t="str">
        <f t="shared" si="111"/>
        <v>00</v>
      </c>
      <c r="P631" s="47"/>
      <c r="X631" s="38"/>
    </row>
    <row r="632" spans="1:24" ht="12" customHeight="1" x14ac:dyDescent="0.3">
      <c r="A632" s="32">
        <v>9</v>
      </c>
      <c r="B632" s="46"/>
      <c r="C632" s="46"/>
      <c r="M632" s="32">
        <f t="shared" si="110"/>
        <v>0</v>
      </c>
      <c r="N632" s="32" t="str">
        <f t="shared" si="111"/>
        <v>00</v>
      </c>
      <c r="P632" s="47"/>
      <c r="X632" s="38"/>
    </row>
    <row r="633" spans="1:24" ht="12" customHeight="1" x14ac:dyDescent="0.3">
      <c r="A633" s="32">
        <v>10</v>
      </c>
      <c r="B633" s="46"/>
      <c r="C633" s="46"/>
      <c r="M633" s="32">
        <f t="shared" si="110"/>
        <v>0</v>
      </c>
      <c r="N633" s="32" t="str">
        <f t="shared" si="111"/>
        <v>00</v>
      </c>
      <c r="P633" s="47"/>
      <c r="X633" s="38"/>
    </row>
    <row r="634" spans="1:24" ht="12" customHeight="1" x14ac:dyDescent="0.3">
      <c r="A634" s="32">
        <v>1</v>
      </c>
      <c r="B634" s="46">
        <v>95</v>
      </c>
      <c r="C634" s="46" t="str">
        <f t="shared" ref="C634" si="113">CHAR(B634)</f>
        <v>_</v>
      </c>
      <c r="M634" s="32">
        <f t="shared" si="110"/>
        <v>0</v>
      </c>
      <c r="N634" s="32" t="str">
        <f t="shared" si="111"/>
        <v>00</v>
      </c>
      <c r="P634" s="47" t="str">
        <f t="shared" ref="P634" si="114">CONCATENATE("0x",N634,",0x",N635,",0x",N636,",0x",N637,",0x",N638,",0x",N639,",0x",N640,",0x",N641,",0x",N642,",0x",N643,", //",C634)</f>
        <v>0x00,0x00,0x00,0x00,0x00,0x00,0x00,0x00,0x00,0x00, //_</v>
      </c>
      <c r="X634" s="38"/>
    </row>
    <row r="635" spans="1:24" ht="12" customHeight="1" x14ac:dyDescent="0.3">
      <c r="A635" s="32">
        <v>2</v>
      </c>
      <c r="B635" s="46"/>
      <c r="C635" s="46"/>
      <c r="M635" s="32">
        <f t="shared" si="110"/>
        <v>0</v>
      </c>
      <c r="N635" s="32" t="str">
        <f t="shared" si="111"/>
        <v>00</v>
      </c>
      <c r="P635" s="47"/>
      <c r="X635" s="38"/>
    </row>
    <row r="636" spans="1:24" ht="12" customHeight="1" x14ac:dyDescent="0.3">
      <c r="A636" s="32">
        <v>3</v>
      </c>
      <c r="B636" s="46"/>
      <c r="C636" s="46"/>
      <c r="M636" s="32">
        <f t="shared" si="110"/>
        <v>0</v>
      </c>
      <c r="N636" s="32" t="str">
        <f t="shared" si="111"/>
        <v>00</v>
      </c>
      <c r="P636" s="47"/>
      <c r="X636" s="38"/>
    </row>
    <row r="637" spans="1:24" ht="12" customHeight="1" x14ac:dyDescent="0.3">
      <c r="A637" s="32">
        <v>4</v>
      </c>
      <c r="B637" s="46"/>
      <c r="C637" s="46"/>
      <c r="M637" s="32">
        <f t="shared" si="110"/>
        <v>0</v>
      </c>
      <c r="N637" s="32" t="str">
        <f t="shared" si="111"/>
        <v>00</v>
      </c>
      <c r="P637" s="47"/>
      <c r="X637" s="38"/>
    </row>
    <row r="638" spans="1:24" ht="12" customHeight="1" x14ac:dyDescent="0.3">
      <c r="A638" s="32">
        <v>5</v>
      </c>
      <c r="B638" s="46"/>
      <c r="C638" s="46"/>
      <c r="M638" s="32">
        <f t="shared" si="110"/>
        <v>0</v>
      </c>
      <c r="N638" s="32" t="str">
        <f t="shared" si="111"/>
        <v>00</v>
      </c>
      <c r="P638" s="47"/>
      <c r="X638" s="38"/>
    </row>
    <row r="639" spans="1:24" ht="12" customHeight="1" x14ac:dyDescent="0.3">
      <c r="A639" s="32">
        <v>6</v>
      </c>
      <c r="B639" s="46"/>
      <c r="C639" s="46"/>
      <c r="M639" s="32">
        <f t="shared" si="110"/>
        <v>0</v>
      </c>
      <c r="N639" s="32" t="str">
        <f t="shared" si="111"/>
        <v>00</v>
      </c>
      <c r="P639" s="47"/>
      <c r="X639" s="38"/>
    </row>
    <row r="640" spans="1:24" ht="12" customHeight="1" x14ac:dyDescent="0.3">
      <c r="A640" s="32">
        <v>7</v>
      </c>
      <c r="B640" s="46"/>
      <c r="C640" s="46"/>
      <c r="M640" s="32">
        <f t="shared" si="110"/>
        <v>0</v>
      </c>
      <c r="N640" s="32" t="str">
        <f t="shared" si="111"/>
        <v>00</v>
      </c>
      <c r="P640" s="47"/>
      <c r="X640" s="38"/>
    </row>
    <row r="641" spans="1:24" ht="12" customHeight="1" x14ac:dyDescent="0.3">
      <c r="A641" s="32">
        <v>8</v>
      </c>
      <c r="B641" s="46"/>
      <c r="C641" s="46"/>
      <c r="M641" s="32">
        <f t="shared" si="110"/>
        <v>0</v>
      </c>
      <c r="N641" s="32" t="str">
        <f t="shared" si="111"/>
        <v>00</v>
      </c>
      <c r="P641" s="47"/>
      <c r="X641" s="38"/>
    </row>
    <row r="642" spans="1:24" ht="12" customHeight="1" x14ac:dyDescent="0.3">
      <c r="A642" s="32">
        <v>9</v>
      </c>
      <c r="B642" s="46"/>
      <c r="C642" s="46"/>
      <c r="M642" s="32">
        <f t="shared" si="110"/>
        <v>0</v>
      </c>
      <c r="N642" s="32" t="str">
        <f t="shared" si="111"/>
        <v>00</v>
      </c>
      <c r="P642" s="47"/>
      <c r="X642" s="38"/>
    </row>
    <row r="643" spans="1:24" ht="12" customHeight="1" x14ac:dyDescent="0.3">
      <c r="A643" s="32">
        <v>10</v>
      </c>
      <c r="B643" s="46"/>
      <c r="C643" s="46"/>
      <c r="M643" s="32">
        <f t="shared" si="110"/>
        <v>0</v>
      </c>
      <c r="N643" s="32" t="str">
        <f t="shared" si="111"/>
        <v>00</v>
      </c>
      <c r="P643" s="47"/>
      <c r="X643" s="38"/>
    </row>
    <row r="644" spans="1:24" ht="12" customHeight="1" x14ac:dyDescent="0.3">
      <c r="A644" s="32">
        <v>1</v>
      </c>
      <c r="B644" s="46">
        <v>96</v>
      </c>
      <c r="C644" s="46" t="str">
        <f t="shared" ref="C644" si="115">CHAR(B644)</f>
        <v>`</v>
      </c>
      <c r="M644" s="32">
        <f t="shared" ref="M644:M653" si="116">G644*G$2+H644*H$2+I644*I$2+J644*J$2+K644*K$2+F644*F$2+E644*E$2+D644*D$2</f>
        <v>0</v>
      </c>
      <c r="N644" s="32" t="str">
        <f t="shared" ref="N644:N653" si="117">DEC2HEX(M644,2)</f>
        <v>00</v>
      </c>
      <c r="P644" s="47" t="str">
        <f t="shared" ref="P644" si="118">CONCATENATE("0x",N644,",0x",N645,",0x",N646,",0x",N647,",0x",N648,",0x",N649,",0x",N650,",0x",N651,",0x",N652,",0x",N653,", //",C644)</f>
        <v>0x00,0x00,0x00,0x00,0x00,0x00,0x00,0x00,0x00,0x00, //`</v>
      </c>
      <c r="X644" s="38"/>
    </row>
    <row r="645" spans="1:24" ht="12" customHeight="1" x14ac:dyDescent="0.3">
      <c r="A645" s="32">
        <v>2</v>
      </c>
      <c r="B645" s="46"/>
      <c r="C645" s="46"/>
      <c r="M645" s="32">
        <f t="shared" si="116"/>
        <v>0</v>
      </c>
      <c r="N645" s="32" t="str">
        <f t="shared" si="117"/>
        <v>00</v>
      </c>
      <c r="P645" s="47"/>
      <c r="X645" s="38"/>
    </row>
    <row r="646" spans="1:24" ht="12" customHeight="1" x14ac:dyDescent="0.3">
      <c r="A646" s="32">
        <v>3</v>
      </c>
      <c r="B646" s="46"/>
      <c r="C646" s="46"/>
      <c r="M646" s="32">
        <f t="shared" si="116"/>
        <v>0</v>
      </c>
      <c r="N646" s="32" t="str">
        <f t="shared" si="117"/>
        <v>00</v>
      </c>
      <c r="P646" s="47"/>
      <c r="X646" s="38"/>
    </row>
    <row r="647" spans="1:24" ht="12" customHeight="1" x14ac:dyDescent="0.3">
      <c r="A647" s="32">
        <v>4</v>
      </c>
      <c r="B647" s="46"/>
      <c r="C647" s="46"/>
      <c r="M647" s="32">
        <f t="shared" si="116"/>
        <v>0</v>
      </c>
      <c r="N647" s="32" t="str">
        <f t="shared" si="117"/>
        <v>00</v>
      </c>
      <c r="P647" s="47"/>
      <c r="X647" s="38"/>
    </row>
    <row r="648" spans="1:24" ht="12" customHeight="1" x14ac:dyDescent="0.3">
      <c r="A648" s="32">
        <v>5</v>
      </c>
      <c r="B648" s="46"/>
      <c r="C648" s="46"/>
      <c r="M648" s="32">
        <f t="shared" si="116"/>
        <v>0</v>
      </c>
      <c r="N648" s="32" t="str">
        <f t="shared" si="117"/>
        <v>00</v>
      </c>
      <c r="P648" s="47"/>
      <c r="X648" s="38"/>
    </row>
    <row r="649" spans="1:24" ht="12" customHeight="1" x14ac:dyDescent="0.3">
      <c r="A649" s="32">
        <v>6</v>
      </c>
      <c r="B649" s="46"/>
      <c r="C649" s="46"/>
      <c r="M649" s="32">
        <f t="shared" si="116"/>
        <v>0</v>
      </c>
      <c r="N649" s="32" t="str">
        <f t="shared" si="117"/>
        <v>00</v>
      </c>
      <c r="P649" s="47"/>
      <c r="X649" s="38"/>
    </row>
    <row r="650" spans="1:24" ht="12" customHeight="1" x14ac:dyDescent="0.3">
      <c r="A650" s="32">
        <v>7</v>
      </c>
      <c r="B650" s="46"/>
      <c r="C650" s="46"/>
      <c r="M650" s="32">
        <f t="shared" si="116"/>
        <v>0</v>
      </c>
      <c r="N650" s="32" t="str">
        <f t="shared" si="117"/>
        <v>00</v>
      </c>
      <c r="P650" s="47"/>
      <c r="X650" s="38"/>
    </row>
    <row r="651" spans="1:24" ht="12" customHeight="1" x14ac:dyDescent="0.3">
      <c r="A651" s="32">
        <v>8</v>
      </c>
      <c r="B651" s="46"/>
      <c r="C651" s="46"/>
      <c r="M651" s="32">
        <f t="shared" si="116"/>
        <v>0</v>
      </c>
      <c r="N651" s="32" t="str">
        <f t="shared" si="117"/>
        <v>00</v>
      </c>
      <c r="P651" s="47"/>
      <c r="X651" s="38"/>
    </row>
    <row r="652" spans="1:24" ht="12" customHeight="1" x14ac:dyDescent="0.3">
      <c r="A652" s="32">
        <v>9</v>
      </c>
      <c r="B652" s="46"/>
      <c r="C652" s="46"/>
      <c r="M652" s="32">
        <f t="shared" si="116"/>
        <v>0</v>
      </c>
      <c r="N652" s="32" t="str">
        <f t="shared" si="117"/>
        <v>00</v>
      </c>
      <c r="P652" s="47"/>
      <c r="X652" s="38"/>
    </row>
    <row r="653" spans="1:24" ht="12" customHeight="1" x14ac:dyDescent="0.3">
      <c r="A653" s="32">
        <v>10</v>
      </c>
      <c r="B653" s="46"/>
      <c r="C653" s="46"/>
      <c r="M653" s="32">
        <f t="shared" si="116"/>
        <v>0</v>
      </c>
      <c r="N653" s="32" t="str">
        <f t="shared" si="117"/>
        <v>00</v>
      </c>
      <c r="P653" s="47"/>
      <c r="X653" s="38"/>
    </row>
    <row r="654" spans="1:24" ht="12" customHeight="1" x14ac:dyDescent="0.3">
      <c r="A654" s="32">
        <v>1</v>
      </c>
      <c r="B654" s="46">
        <v>97</v>
      </c>
      <c r="C654" s="46" t="str">
        <f t="shared" ref="C654" si="119">CHAR(B654)</f>
        <v>a</v>
      </c>
      <c r="M654" s="32">
        <f t="shared" si="104"/>
        <v>0</v>
      </c>
      <c r="N654" s="32" t="str">
        <f t="shared" si="105"/>
        <v>00</v>
      </c>
      <c r="P654" s="47" t="str">
        <f t="shared" ref="P654" si="120">CONCATENATE("0x",N654,",0x",N655,",0x",N656,",0x",N657,",0x",N658,",0x",N659,",0x",N660,",0x",N661,",0x",N662,",0x",N663,", //",C654)</f>
        <v>0x00,0x00,0x00,0x0E,0x12,0x12,0x12,0x0F,0x00,0x00, //a</v>
      </c>
    </row>
    <row r="655" spans="1:24" ht="12" customHeight="1" x14ac:dyDescent="0.3">
      <c r="A655" s="32">
        <v>2</v>
      </c>
      <c r="B655" s="46"/>
      <c r="C655" s="46"/>
      <c r="M655" s="32">
        <f t="shared" si="104"/>
        <v>0</v>
      </c>
      <c r="N655" s="32" t="str">
        <f t="shared" si="105"/>
        <v>00</v>
      </c>
      <c r="P655" s="47"/>
    </row>
    <row r="656" spans="1:24" ht="12" customHeight="1" x14ac:dyDescent="0.3">
      <c r="A656" s="32">
        <v>3</v>
      </c>
      <c r="B656" s="46"/>
      <c r="C656" s="46"/>
      <c r="M656" s="32">
        <f t="shared" si="104"/>
        <v>0</v>
      </c>
      <c r="N656" s="32" t="str">
        <f t="shared" si="105"/>
        <v>00</v>
      </c>
      <c r="P656" s="47"/>
    </row>
    <row r="657" spans="1:16" ht="12" customHeight="1" x14ac:dyDescent="0.3">
      <c r="A657" s="32">
        <v>4</v>
      </c>
      <c r="B657" s="46"/>
      <c r="C657" s="46"/>
      <c r="H657" s="32">
        <v>1</v>
      </c>
      <c r="I657" s="32">
        <v>1</v>
      </c>
      <c r="J657" s="32">
        <v>1</v>
      </c>
      <c r="M657" s="32">
        <f t="shared" si="104"/>
        <v>14</v>
      </c>
      <c r="N657" s="32" t="str">
        <f t="shared" si="105"/>
        <v>0E</v>
      </c>
      <c r="P657" s="47"/>
    </row>
    <row r="658" spans="1:16" ht="12" customHeight="1" x14ac:dyDescent="0.3">
      <c r="A658" s="32">
        <v>5</v>
      </c>
      <c r="B658" s="46"/>
      <c r="C658" s="46"/>
      <c r="G658" s="35">
        <v>1</v>
      </c>
      <c r="J658" s="32">
        <v>1</v>
      </c>
      <c r="M658" s="32">
        <f t="shared" si="104"/>
        <v>18</v>
      </c>
      <c r="N658" s="32" t="str">
        <f t="shared" si="105"/>
        <v>12</v>
      </c>
      <c r="P658" s="47"/>
    </row>
    <row r="659" spans="1:16" ht="12" customHeight="1" x14ac:dyDescent="0.3">
      <c r="A659" s="32">
        <v>6</v>
      </c>
      <c r="B659" s="46"/>
      <c r="C659" s="46"/>
      <c r="G659" s="35">
        <v>1</v>
      </c>
      <c r="J659" s="32">
        <v>1</v>
      </c>
      <c r="M659" s="32">
        <f t="shared" si="104"/>
        <v>18</v>
      </c>
      <c r="N659" s="32" t="str">
        <f t="shared" si="105"/>
        <v>12</v>
      </c>
      <c r="P659" s="47"/>
    </row>
    <row r="660" spans="1:16" ht="12" customHeight="1" x14ac:dyDescent="0.3">
      <c r="A660" s="32">
        <v>7</v>
      </c>
      <c r="B660" s="46"/>
      <c r="C660" s="46"/>
      <c r="G660" s="35">
        <v>1</v>
      </c>
      <c r="J660" s="32">
        <v>1</v>
      </c>
      <c r="M660" s="32">
        <f t="shared" si="104"/>
        <v>18</v>
      </c>
      <c r="N660" s="32" t="str">
        <f t="shared" si="105"/>
        <v>12</v>
      </c>
      <c r="P660" s="47"/>
    </row>
    <row r="661" spans="1:16" ht="12" customHeight="1" x14ac:dyDescent="0.3">
      <c r="A661" s="32">
        <v>8</v>
      </c>
      <c r="B661" s="46"/>
      <c r="C661" s="46"/>
      <c r="H661" s="32">
        <v>1</v>
      </c>
      <c r="I661" s="32">
        <v>1</v>
      </c>
      <c r="J661" s="32">
        <v>1</v>
      </c>
      <c r="K661" s="32">
        <v>1</v>
      </c>
      <c r="M661" s="32">
        <f t="shared" si="104"/>
        <v>15</v>
      </c>
      <c r="N661" s="32" t="str">
        <f t="shared" si="105"/>
        <v>0F</v>
      </c>
      <c r="P661" s="47"/>
    </row>
    <row r="662" spans="1:16" ht="12" customHeight="1" x14ac:dyDescent="0.3">
      <c r="A662" s="32">
        <v>9</v>
      </c>
      <c r="B662" s="46"/>
      <c r="C662" s="46"/>
      <c r="M662" s="32">
        <f t="shared" si="104"/>
        <v>0</v>
      </c>
      <c r="N662" s="32" t="str">
        <f t="shared" si="105"/>
        <v>00</v>
      </c>
      <c r="P662" s="47"/>
    </row>
    <row r="663" spans="1:16" ht="12" customHeight="1" x14ac:dyDescent="0.3">
      <c r="A663" s="32">
        <v>10</v>
      </c>
      <c r="B663" s="46"/>
      <c r="C663" s="46"/>
      <c r="M663" s="32">
        <f t="shared" si="104"/>
        <v>0</v>
      </c>
      <c r="N663" s="32" t="str">
        <f t="shared" si="105"/>
        <v>00</v>
      </c>
      <c r="P663" s="47"/>
    </row>
    <row r="664" spans="1:16" ht="12" customHeight="1" x14ac:dyDescent="0.3">
      <c r="A664" s="32">
        <v>1</v>
      </c>
      <c r="B664" s="46">
        <v>98</v>
      </c>
      <c r="C664" s="46" t="str">
        <f t="shared" ref="C664" si="121">CHAR(B664)</f>
        <v>b</v>
      </c>
      <c r="M664" s="32">
        <f t="shared" si="104"/>
        <v>0</v>
      </c>
      <c r="N664" s="32" t="str">
        <f t="shared" ref="N664:N696" si="122">DEC2HEX(M664,2)</f>
        <v>00</v>
      </c>
      <c r="P664" s="47" t="str">
        <f t="shared" ref="P664" si="123">CONCATENATE("0x",N664,",0x",N665,",0x",N666,",0x",N667,",0x",N668,",0x",N669,",0x",N670,",0x",N671,",0x",N672,",0x",N673,", //",C664)</f>
        <v>0x00,0x08,0x08,0x0E,0x09,0x09,0x09,0x0E,0x00,0x00, //b</v>
      </c>
    </row>
    <row r="665" spans="1:16" ht="12" customHeight="1" x14ac:dyDescent="0.3">
      <c r="A665" s="32">
        <v>2</v>
      </c>
      <c r="B665" s="46"/>
      <c r="C665" s="46"/>
      <c r="H665" s="32">
        <v>1</v>
      </c>
      <c r="M665" s="32">
        <f t="shared" si="104"/>
        <v>8</v>
      </c>
      <c r="N665" s="32" t="str">
        <f t="shared" si="122"/>
        <v>08</v>
      </c>
      <c r="P665" s="47"/>
    </row>
    <row r="666" spans="1:16" ht="12" customHeight="1" x14ac:dyDescent="0.3">
      <c r="A666" s="32">
        <v>3</v>
      </c>
      <c r="B666" s="46"/>
      <c r="C666" s="46"/>
      <c r="H666" s="32">
        <v>1</v>
      </c>
      <c r="M666" s="32">
        <f t="shared" si="104"/>
        <v>8</v>
      </c>
      <c r="N666" s="32" t="str">
        <f t="shared" si="122"/>
        <v>08</v>
      </c>
      <c r="P666" s="47"/>
    </row>
    <row r="667" spans="1:16" ht="12" customHeight="1" x14ac:dyDescent="0.3">
      <c r="A667" s="32">
        <v>4</v>
      </c>
      <c r="B667" s="46"/>
      <c r="C667" s="46"/>
      <c r="H667" s="32">
        <v>1</v>
      </c>
      <c r="I667" s="32">
        <v>1</v>
      </c>
      <c r="J667" s="32">
        <v>1</v>
      </c>
      <c r="M667" s="32">
        <f t="shared" si="104"/>
        <v>14</v>
      </c>
      <c r="N667" s="32" t="str">
        <f t="shared" si="122"/>
        <v>0E</v>
      </c>
      <c r="P667" s="47"/>
    </row>
    <row r="668" spans="1:16" ht="12" customHeight="1" x14ac:dyDescent="0.3">
      <c r="A668" s="32">
        <v>5</v>
      </c>
      <c r="B668" s="46"/>
      <c r="C668" s="46"/>
      <c r="H668" s="32">
        <v>1</v>
      </c>
      <c r="K668" s="32">
        <v>1</v>
      </c>
      <c r="M668" s="32">
        <f t="shared" si="104"/>
        <v>9</v>
      </c>
      <c r="N668" s="32" t="str">
        <f t="shared" si="122"/>
        <v>09</v>
      </c>
      <c r="P668" s="47"/>
    </row>
    <row r="669" spans="1:16" ht="12" customHeight="1" x14ac:dyDescent="0.3">
      <c r="A669" s="32">
        <v>6</v>
      </c>
      <c r="B669" s="46"/>
      <c r="C669" s="46"/>
      <c r="H669" s="32">
        <v>1</v>
      </c>
      <c r="K669" s="32">
        <v>1</v>
      </c>
      <c r="M669" s="32">
        <f t="shared" si="104"/>
        <v>9</v>
      </c>
      <c r="N669" s="32" t="str">
        <f t="shared" si="122"/>
        <v>09</v>
      </c>
      <c r="P669" s="47"/>
    </row>
    <row r="670" spans="1:16" ht="12" customHeight="1" x14ac:dyDescent="0.3">
      <c r="A670" s="32">
        <v>7</v>
      </c>
      <c r="B670" s="46"/>
      <c r="C670" s="46"/>
      <c r="H670" s="32">
        <v>1</v>
      </c>
      <c r="K670" s="32">
        <v>1</v>
      </c>
      <c r="M670" s="32">
        <f t="shared" si="104"/>
        <v>9</v>
      </c>
      <c r="N670" s="32" t="str">
        <f t="shared" si="122"/>
        <v>09</v>
      </c>
      <c r="P670" s="47"/>
    </row>
    <row r="671" spans="1:16" ht="12" customHeight="1" x14ac:dyDescent="0.3">
      <c r="A671" s="32">
        <v>8</v>
      </c>
      <c r="B671" s="46"/>
      <c r="C671" s="46"/>
      <c r="H671" s="32">
        <v>1</v>
      </c>
      <c r="I671" s="32">
        <v>1</v>
      </c>
      <c r="J671" s="32">
        <v>1</v>
      </c>
      <c r="M671" s="32">
        <f t="shared" si="104"/>
        <v>14</v>
      </c>
      <c r="N671" s="32" t="str">
        <f t="shared" si="122"/>
        <v>0E</v>
      </c>
      <c r="P671" s="47"/>
    </row>
    <row r="672" spans="1:16" ht="12" customHeight="1" x14ac:dyDescent="0.3">
      <c r="A672" s="32">
        <v>9</v>
      </c>
      <c r="B672" s="46"/>
      <c r="C672" s="46"/>
      <c r="M672" s="32">
        <f t="shared" si="104"/>
        <v>0</v>
      </c>
      <c r="N672" s="32" t="str">
        <f t="shared" si="122"/>
        <v>00</v>
      </c>
      <c r="P672" s="47"/>
    </row>
    <row r="673" spans="1:16" ht="12" customHeight="1" x14ac:dyDescent="0.3">
      <c r="A673" s="32">
        <v>10</v>
      </c>
      <c r="B673" s="46"/>
      <c r="C673" s="46"/>
      <c r="M673" s="32">
        <f t="shared" si="104"/>
        <v>0</v>
      </c>
      <c r="N673" s="32" t="str">
        <f t="shared" si="122"/>
        <v>00</v>
      </c>
      <c r="P673" s="47"/>
    </row>
    <row r="674" spans="1:16" ht="12" customHeight="1" x14ac:dyDescent="0.3">
      <c r="A674" s="32">
        <v>1</v>
      </c>
      <c r="B674" s="46">
        <v>99</v>
      </c>
      <c r="C674" s="46" t="str">
        <f t="shared" ref="C674:C684" si="124">CHAR(B674)</f>
        <v>c</v>
      </c>
      <c r="M674" s="32">
        <f t="shared" si="104"/>
        <v>0</v>
      </c>
      <c r="N674" s="32" t="str">
        <f t="shared" si="122"/>
        <v>00</v>
      </c>
      <c r="P674" s="47" t="str">
        <f t="shared" ref="P674" si="125">CONCATENATE("0x",N674,",0x",N675,",0x",N676,",0x",N677,",0x",N678,",0x",N679,",0x",N680,",0x",N681,",0x",N682,",0x",N683,", //",C674)</f>
        <v>0x00,0x00,0x00,0x06,0x09,0x08,0x09,0x06,0x00,0x00, //c</v>
      </c>
    </row>
    <row r="675" spans="1:16" ht="12" customHeight="1" x14ac:dyDescent="0.3">
      <c r="A675" s="32">
        <v>2</v>
      </c>
      <c r="B675" s="46"/>
      <c r="C675" s="46"/>
      <c r="M675" s="32">
        <f t="shared" si="104"/>
        <v>0</v>
      </c>
      <c r="N675" s="32" t="str">
        <f t="shared" si="122"/>
        <v>00</v>
      </c>
      <c r="P675" s="47"/>
    </row>
    <row r="676" spans="1:16" ht="12" customHeight="1" x14ac:dyDescent="0.3">
      <c r="A676" s="32">
        <v>3</v>
      </c>
      <c r="B676" s="46"/>
      <c r="C676" s="46"/>
      <c r="M676" s="32">
        <f t="shared" si="104"/>
        <v>0</v>
      </c>
      <c r="N676" s="32" t="str">
        <f t="shared" si="122"/>
        <v>00</v>
      </c>
      <c r="P676" s="47"/>
    </row>
    <row r="677" spans="1:16" ht="12" customHeight="1" x14ac:dyDescent="0.3">
      <c r="A677" s="32">
        <v>4</v>
      </c>
      <c r="B677" s="46"/>
      <c r="C677" s="46"/>
      <c r="I677" s="32">
        <v>1</v>
      </c>
      <c r="J677" s="32">
        <v>1</v>
      </c>
      <c r="M677" s="32">
        <f t="shared" si="104"/>
        <v>6</v>
      </c>
      <c r="N677" s="32" t="str">
        <f t="shared" si="122"/>
        <v>06</v>
      </c>
      <c r="P677" s="47"/>
    </row>
    <row r="678" spans="1:16" ht="12" customHeight="1" x14ac:dyDescent="0.3">
      <c r="A678" s="32">
        <v>5</v>
      </c>
      <c r="B678" s="46"/>
      <c r="C678" s="46"/>
      <c r="H678" s="32">
        <v>1</v>
      </c>
      <c r="K678" s="32">
        <v>1</v>
      </c>
      <c r="M678" s="32">
        <f t="shared" si="104"/>
        <v>9</v>
      </c>
      <c r="N678" s="32" t="str">
        <f t="shared" si="122"/>
        <v>09</v>
      </c>
      <c r="P678" s="47"/>
    </row>
    <row r="679" spans="1:16" ht="12" customHeight="1" x14ac:dyDescent="0.3">
      <c r="A679" s="32">
        <v>6</v>
      </c>
      <c r="B679" s="46"/>
      <c r="C679" s="46"/>
      <c r="H679" s="32">
        <v>1</v>
      </c>
      <c r="M679" s="32">
        <f t="shared" si="104"/>
        <v>8</v>
      </c>
      <c r="N679" s="32" t="str">
        <f t="shared" si="122"/>
        <v>08</v>
      </c>
      <c r="P679" s="47"/>
    </row>
    <row r="680" spans="1:16" ht="12" customHeight="1" x14ac:dyDescent="0.3">
      <c r="A680" s="32">
        <v>7</v>
      </c>
      <c r="B680" s="46"/>
      <c r="C680" s="46"/>
      <c r="H680" s="32">
        <v>1</v>
      </c>
      <c r="K680" s="32">
        <v>1</v>
      </c>
      <c r="M680" s="32">
        <f t="shared" si="104"/>
        <v>9</v>
      </c>
      <c r="N680" s="32" t="str">
        <f t="shared" si="122"/>
        <v>09</v>
      </c>
      <c r="P680" s="47"/>
    </row>
    <row r="681" spans="1:16" ht="12" customHeight="1" x14ac:dyDescent="0.3">
      <c r="A681" s="32">
        <v>8</v>
      </c>
      <c r="B681" s="46"/>
      <c r="C681" s="46"/>
      <c r="I681" s="32">
        <v>1</v>
      </c>
      <c r="J681" s="32">
        <v>1</v>
      </c>
      <c r="M681" s="32">
        <f t="shared" si="104"/>
        <v>6</v>
      </c>
      <c r="N681" s="32" t="str">
        <f t="shared" si="122"/>
        <v>06</v>
      </c>
      <c r="P681" s="47"/>
    </row>
    <row r="682" spans="1:16" ht="12" customHeight="1" x14ac:dyDescent="0.3">
      <c r="A682" s="32">
        <v>9</v>
      </c>
      <c r="B682" s="46"/>
      <c r="C682" s="46"/>
      <c r="M682" s="32">
        <f t="shared" si="104"/>
        <v>0</v>
      </c>
      <c r="N682" s="32" t="str">
        <f t="shared" si="122"/>
        <v>00</v>
      </c>
      <c r="P682" s="47"/>
    </row>
    <row r="683" spans="1:16" ht="12" customHeight="1" x14ac:dyDescent="0.3">
      <c r="A683" s="32">
        <v>10</v>
      </c>
      <c r="B683" s="46"/>
      <c r="C683" s="46"/>
      <c r="M683" s="32">
        <f t="shared" si="104"/>
        <v>0</v>
      </c>
      <c r="N683" s="32" t="str">
        <f t="shared" si="122"/>
        <v>00</v>
      </c>
      <c r="P683" s="47"/>
    </row>
    <row r="684" spans="1:16" ht="12" customHeight="1" x14ac:dyDescent="0.3">
      <c r="A684" s="32">
        <v>1</v>
      </c>
      <c r="B684" s="46">
        <v>100</v>
      </c>
      <c r="C684" s="46" t="str">
        <f t="shared" si="124"/>
        <v>d</v>
      </c>
      <c r="M684" s="32">
        <f t="shared" si="104"/>
        <v>0</v>
      </c>
      <c r="N684" s="32" t="str">
        <f t="shared" si="122"/>
        <v>00</v>
      </c>
      <c r="P684" s="47" t="str">
        <f t="shared" ref="P684" si="126">CONCATENATE("0x",N684,",0x",N685,",0x",N686,",0x",N687,",0x",N688,",0x",N689,",0x",N690,",0x",N691,",0x",N692,",0x",N693,", //",C684)</f>
        <v>0x00,0x01,0x01,0x07,0x09,0x09,0x09,0x07,0x00,0x00, //d</v>
      </c>
    </row>
    <row r="685" spans="1:16" ht="12" customHeight="1" x14ac:dyDescent="0.3">
      <c r="A685" s="32">
        <v>2</v>
      </c>
      <c r="B685" s="46"/>
      <c r="C685" s="46"/>
      <c r="K685" s="32">
        <v>1</v>
      </c>
      <c r="M685" s="32">
        <f t="shared" si="104"/>
        <v>1</v>
      </c>
      <c r="N685" s="32" t="str">
        <f t="shared" si="122"/>
        <v>01</v>
      </c>
      <c r="P685" s="47"/>
    </row>
    <row r="686" spans="1:16" ht="12" customHeight="1" x14ac:dyDescent="0.3">
      <c r="A686" s="32">
        <v>3</v>
      </c>
      <c r="B686" s="46"/>
      <c r="C686" s="46"/>
      <c r="K686" s="32">
        <v>1</v>
      </c>
      <c r="M686" s="32">
        <f t="shared" si="104"/>
        <v>1</v>
      </c>
      <c r="N686" s="32" t="str">
        <f t="shared" si="122"/>
        <v>01</v>
      </c>
      <c r="P686" s="47"/>
    </row>
    <row r="687" spans="1:16" ht="12" customHeight="1" x14ac:dyDescent="0.3">
      <c r="A687" s="32">
        <v>4</v>
      </c>
      <c r="B687" s="46"/>
      <c r="C687" s="46"/>
      <c r="I687" s="32">
        <v>1</v>
      </c>
      <c r="J687" s="32">
        <v>1</v>
      </c>
      <c r="K687" s="32">
        <v>1</v>
      </c>
      <c r="M687" s="32">
        <f t="shared" si="104"/>
        <v>7</v>
      </c>
      <c r="N687" s="32" t="str">
        <f t="shared" si="122"/>
        <v>07</v>
      </c>
      <c r="P687" s="47"/>
    </row>
    <row r="688" spans="1:16" ht="12" customHeight="1" x14ac:dyDescent="0.3">
      <c r="A688" s="32">
        <v>5</v>
      </c>
      <c r="B688" s="46"/>
      <c r="C688" s="46"/>
      <c r="H688" s="32">
        <v>1</v>
      </c>
      <c r="K688" s="32">
        <v>1</v>
      </c>
      <c r="M688" s="32">
        <f t="shared" si="104"/>
        <v>9</v>
      </c>
      <c r="N688" s="32" t="str">
        <f t="shared" si="122"/>
        <v>09</v>
      </c>
      <c r="P688" s="47"/>
    </row>
    <row r="689" spans="1:16" ht="12" customHeight="1" x14ac:dyDescent="0.3">
      <c r="A689" s="32">
        <v>6</v>
      </c>
      <c r="B689" s="46"/>
      <c r="C689" s="46"/>
      <c r="H689" s="32">
        <v>1</v>
      </c>
      <c r="K689" s="32">
        <v>1</v>
      </c>
      <c r="M689" s="32">
        <f t="shared" si="104"/>
        <v>9</v>
      </c>
      <c r="N689" s="32" t="str">
        <f t="shared" si="122"/>
        <v>09</v>
      </c>
      <c r="P689" s="47"/>
    </row>
    <row r="690" spans="1:16" ht="12" customHeight="1" x14ac:dyDescent="0.3">
      <c r="A690" s="32">
        <v>7</v>
      </c>
      <c r="B690" s="46"/>
      <c r="C690" s="46"/>
      <c r="H690" s="32">
        <v>1</v>
      </c>
      <c r="K690" s="32">
        <v>1</v>
      </c>
      <c r="M690" s="32">
        <f t="shared" si="104"/>
        <v>9</v>
      </c>
      <c r="N690" s="32" t="str">
        <f t="shared" si="122"/>
        <v>09</v>
      </c>
      <c r="P690" s="47"/>
    </row>
    <row r="691" spans="1:16" ht="12" customHeight="1" x14ac:dyDescent="0.3">
      <c r="A691" s="32">
        <v>8</v>
      </c>
      <c r="B691" s="46"/>
      <c r="C691" s="46"/>
      <c r="I691" s="32">
        <v>1</v>
      </c>
      <c r="J691" s="32">
        <v>1</v>
      </c>
      <c r="K691" s="32">
        <v>1</v>
      </c>
      <c r="M691" s="32">
        <f t="shared" si="104"/>
        <v>7</v>
      </c>
      <c r="N691" s="32" t="str">
        <f t="shared" si="122"/>
        <v>07</v>
      </c>
      <c r="P691" s="47"/>
    </row>
    <row r="692" spans="1:16" ht="12" customHeight="1" x14ac:dyDescent="0.3">
      <c r="A692" s="32">
        <v>9</v>
      </c>
      <c r="B692" s="46"/>
      <c r="C692" s="46"/>
      <c r="M692" s="32">
        <f t="shared" si="104"/>
        <v>0</v>
      </c>
      <c r="N692" s="32" t="str">
        <f t="shared" si="122"/>
        <v>00</v>
      </c>
      <c r="P692" s="47"/>
    </row>
    <row r="693" spans="1:16" ht="12" customHeight="1" x14ac:dyDescent="0.3">
      <c r="A693" s="32">
        <v>10</v>
      </c>
      <c r="B693" s="46"/>
      <c r="C693" s="46"/>
      <c r="M693" s="32">
        <f t="shared" si="104"/>
        <v>0</v>
      </c>
      <c r="N693" s="32" t="str">
        <f t="shared" si="122"/>
        <v>00</v>
      </c>
      <c r="P693" s="47"/>
    </row>
    <row r="694" spans="1:16" ht="12" customHeight="1" x14ac:dyDescent="0.3">
      <c r="A694" s="32">
        <v>1</v>
      </c>
      <c r="B694" s="46">
        <v>101</v>
      </c>
      <c r="C694" s="46" t="str">
        <f t="shared" ref="C694" si="127">CHAR(B694)</f>
        <v>e</v>
      </c>
      <c r="M694" s="32">
        <f t="shared" si="104"/>
        <v>0</v>
      </c>
      <c r="N694" s="32" t="str">
        <f t="shared" si="122"/>
        <v>00</v>
      </c>
      <c r="P694" s="47" t="str">
        <f t="shared" ref="P694" si="128">CONCATENATE("0x",N694,",0x",N695,",0x",N696,",0x",N697,",0x",N698,",0x",N699,",0x",N700,",0x",N701,",0x",N702,",0x",N703,", //",C694)</f>
        <v>0x00,0x00,0x00,0x06,0x09,0x0E,0x08,0x06,0x00,0x00, //e</v>
      </c>
    </row>
    <row r="695" spans="1:16" ht="12" customHeight="1" x14ac:dyDescent="0.3">
      <c r="A695" s="32">
        <v>2</v>
      </c>
      <c r="B695" s="46"/>
      <c r="C695" s="46"/>
      <c r="M695" s="32">
        <f t="shared" si="104"/>
        <v>0</v>
      </c>
      <c r="N695" s="32" t="str">
        <f t="shared" si="122"/>
        <v>00</v>
      </c>
      <c r="P695" s="47"/>
    </row>
    <row r="696" spans="1:16" ht="12" customHeight="1" x14ac:dyDescent="0.3">
      <c r="A696" s="32">
        <v>3</v>
      </c>
      <c r="B696" s="46"/>
      <c r="C696" s="46"/>
      <c r="M696" s="32">
        <f t="shared" si="104"/>
        <v>0</v>
      </c>
      <c r="N696" s="32" t="str">
        <f t="shared" si="122"/>
        <v>00</v>
      </c>
      <c r="P696" s="47"/>
    </row>
    <row r="697" spans="1:16" ht="12" customHeight="1" x14ac:dyDescent="0.3">
      <c r="A697" s="32">
        <v>4</v>
      </c>
      <c r="B697" s="46"/>
      <c r="C697" s="46"/>
      <c r="I697" s="32">
        <v>1</v>
      </c>
      <c r="J697" s="32">
        <v>1</v>
      </c>
      <c r="M697" s="32">
        <f t="shared" si="104"/>
        <v>6</v>
      </c>
      <c r="N697" s="32" t="str">
        <f t="shared" ref="N697:N730" si="129">DEC2HEX(M697,2)</f>
        <v>06</v>
      </c>
      <c r="P697" s="47"/>
    </row>
    <row r="698" spans="1:16" ht="12" customHeight="1" x14ac:dyDescent="0.3">
      <c r="A698" s="32">
        <v>5</v>
      </c>
      <c r="B698" s="46"/>
      <c r="C698" s="46"/>
      <c r="H698" s="32">
        <v>1</v>
      </c>
      <c r="K698" s="32">
        <v>1</v>
      </c>
      <c r="M698" s="32">
        <f t="shared" si="104"/>
        <v>9</v>
      </c>
      <c r="N698" s="32" t="str">
        <f t="shared" si="129"/>
        <v>09</v>
      </c>
      <c r="P698" s="47"/>
    </row>
    <row r="699" spans="1:16" ht="12" customHeight="1" x14ac:dyDescent="0.3">
      <c r="A699" s="32">
        <v>6</v>
      </c>
      <c r="B699" s="46"/>
      <c r="C699" s="46"/>
      <c r="H699" s="32">
        <v>1</v>
      </c>
      <c r="I699" s="32">
        <v>1</v>
      </c>
      <c r="J699" s="32">
        <v>1</v>
      </c>
      <c r="M699" s="32">
        <f t="shared" si="104"/>
        <v>14</v>
      </c>
      <c r="N699" s="32" t="str">
        <f t="shared" si="129"/>
        <v>0E</v>
      </c>
      <c r="P699" s="47"/>
    </row>
    <row r="700" spans="1:16" ht="12" customHeight="1" x14ac:dyDescent="0.3">
      <c r="A700" s="32">
        <v>7</v>
      </c>
      <c r="B700" s="46"/>
      <c r="C700" s="46"/>
      <c r="H700" s="32">
        <v>1</v>
      </c>
      <c r="M700" s="32">
        <f t="shared" si="104"/>
        <v>8</v>
      </c>
      <c r="N700" s="32" t="str">
        <f t="shared" si="129"/>
        <v>08</v>
      </c>
      <c r="P700" s="47"/>
    </row>
    <row r="701" spans="1:16" ht="12" customHeight="1" x14ac:dyDescent="0.3">
      <c r="A701" s="32">
        <v>8</v>
      </c>
      <c r="B701" s="46"/>
      <c r="C701" s="46"/>
      <c r="I701" s="32">
        <v>1</v>
      </c>
      <c r="J701" s="32">
        <v>1</v>
      </c>
      <c r="M701" s="32">
        <f t="shared" si="104"/>
        <v>6</v>
      </c>
      <c r="N701" s="32" t="str">
        <f t="shared" si="129"/>
        <v>06</v>
      </c>
      <c r="P701" s="47"/>
    </row>
    <row r="702" spans="1:16" ht="12" customHeight="1" x14ac:dyDescent="0.3">
      <c r="A702" s="32">
        <v>9</v>
      </c>
      <c r="B702" s="46"/>
      <c r="C702" s="46"/>
      <c r="M702" s="32">
        <f t="shared" si="104"/>
        <v>0</v>
      </c>
      <c r="N702" s="32" t="str">
        <f t="shared" si="129"/>
        <v>00</v>
      </c>
      <c r="P702" s="47"/>
    </row>
    <row r="703" spans="1:16" ht="12" customHeight="1" x14ac:dyDescent="0.3">
      <c r="A703" s="32">
        <v>10</v>
      </c>
      <c r="B703" s="46"/>
      <c r="C703" s="46"/>
      <c r="M703" s="32">
        <f t="shared" si="104"/>
        <v>0</v>
      </c>
      <c r="N703" s="32" t="str">
        <f t="shared" si="129"/>
        <v>00</v>
      </c>
      <c r="P703" s="47"/>
    </row>
    <row r="704" spans="1:16" ht="12" customHeight="1" x14ac:dyDescent="0.3">
      <c r="A704" s="32">
        <v>1</v>
      </c>
      <c r="B704" s="46">
        <v>102</v>
      </c>
      <c r="C704" s="46" t="str">
        <f t="shared" ref="C704" si="130">CHAR(B704)</f>
        <v>f</v>
      </c>
      <c r="M704" s="32">
        <f t="shared" si="104"/>
        <v>0</v>
      </c>
      <c r="N704" s="32" t="str">
        <f t="shared" si="129"/>
        <v>00</v>
      </c>
      <c r="P704" s="47" t="str">
        <f t="shared" ref="P704" si="131">CONCATENATE("0x",N704,",0x",N705,",0x",N706,",0x",N707,",0x",N708,",0x",N709,",0x",N710,",0x",N711,",0x",N712,",0x",N713,", //",C704)</f>
        <v>0x00,0x03,0x02,0x07,0x02,0x02,0x02,0x02,0x00,0x00, //f</v>
      </c>
    </row>
    <row r="705" spans="1:16" ht="12" customHeight="1" x14ac:dyDescent="0.3">
      <c r="A705" s="32">
        <v>2</v>
      </c>
      <c r="B705" s="46"/>
      <c r="C705" s="46"/>
      <c r="J705" s="32">
        <v>1</v>
      </c>
      <c r="K705" s="32">
        <v>1</v>
      </c>
      <c r="M705" s="32">
        <f t="shared" ref="M705:M768" si="132">G705*G$2+H705*H$2+I705*I$2+J705*J$2+K705*K$2+F705*F$2+E705*E$2+D705*D$2</f>
        <v>3</v>
      </c>
      <c r="N705" s="32" t="str">
        <f t="shared" si="129"/>
        <v>03</v>
      </c>
      <c r="P705" s="47"/>
    </row>
    <row r="706" spans="1:16" ht="12" customHeight="1" x14ac:dyDescent="0.3">
      <c r="A706" s="32">
        <v>3</v>
      </c>
      <c r="B706" s="46"/>
      <c r="C706" s="46"/>
      <c r="J706" s="32">
        <v>1</v>
      </c>
      <c r="M706" s="32">
        <f t="shared" si="132"/>
        <v>2</v>
      </c>
      <c r="N706" s="32" t="str">
        <f t="shared" si="129"/>
        <v>02</v>
      </c>
      <c r="P706" s="47"/>
    </row>
    <row r="707" spans="1:16" ht="12" customHeight="1" x14ac:dyDescent="0.3">
      <c r="A707" s="32">
        <v>4</v>
      </c>
      <c r="B707" s="46"/>
      <c r="C707" s="46"/>
      <c r="I707" s="32">
        <v>1</v>
      </c>
      <c r="J707" s="32">
        <v>1</v>
      </c>
      <c r="K707" s="32">
        <v>1</v>
      </c>
      <c r="M707" s="32">
        <f t="shared" si="132"/>
        <v>7</v>
      </c>
      <c r="N707" s="32" t="str">
        <f t="shared" si="129"/>
        <v>07</v>
      </c>
      <c r="P707" s="47"/>
    </row>
    <row r="708" spans="1:16" ht="12" customHeight="1" x14ac:dyDescent="0.3">
      <c r="A708" s="32">
        <v>5</v>
      </c>
      <c r="B708" s="46"/>
      <c r="C708" s="46"/>
      <c r="J708" s="32">
        <v>1</v>
      </c>
      <c r="M708" s="32">
        <f t="shared" si="132"/>
        <v>2</v>
      </c>
      <c r="N708" s="32" t="str">
        <f t="shared" si="129"/>
        <v>02</v>
      </c>
      <c r="P708" s="47"/>
    </row>
    <row r="709" spans="1:16" ht="12" customHeight="1" x14ac:dyDescent="0.3">
      <c r="A709" s="32">
        <v>6</v>
      </c>
      <c r="B709" s="46"/>
      <c r="C709" s="46"/>
      <c r="J709" s="32">
        <v>1</v>
      </c>
      <c r="M709" s="32">
        <f t="shared" si="132"/>
        <v>2</v>
      </c>
      <c r="N709" s="32" t="str">
        <f t="shared" si="129"/>
        <v>02</v>
      </c>
      <c r="P709" s="47"/>
    </row>
    <row r="710" spans="1:16" ht="12" customHeight="1" x14ac:dyDescent="0.3">
      <c r="A710" s="32">
        <v>7</v>
      </c>
      <c r="B710" s="46"/>
      <c r="C710" s="46"/>
      <c r="J710" s="32">
        <v>1</v>
      </c>
      <c r="M710" s="32">
        <f t="shared" si="132"/>
        <v>2</v>
      </c>
      <c r="N710" s="32" t="str">
        <f t="shared" si="129"/>
        <v>02</v>
      </c>
      <c r="P710" s="47"/>
    </row>
    <row r="711" spans="1:16" ht="12" customHeight="1" x14ac:dyDescent="0.3">
      <c r="A711" s="32">
        <v>8</v>
      </c>
      <c r="B711" s="46"/>
      <c r="C711" s="46"/>
      <c r="J711" s="32">
        <v>1</v>
      </c>
      <c r="M711" s="32">
        <f t="shared" si="132"/>
        <v>2</v>
      </c>
      <c r="N711" s="32" t="str">
        <f t="shared" si="129"/>
        <v>02</v>
      </c>
      <c r="P711" s="47"/>
    </row>
    <row r="712" spans="1:16" ht="12" customHeight="1" x14ac:dyDescent="0.3">
      <c r="A712" s="32">
        <v>9</v>
      </c>
      <c r="B712" s="46"/>
      <c r="C712" s="46"/>
      <c r="M712" s="32">
        <f t="shared" si="132"/>
        <v>0</v>
      </c>
      <c r="N712" s="32" t="str">
        <f t="shared" si="129"/>
        <v>00</v>
      </c>
      <c r="P712" s="47"/>
    </row>
    <row r="713" spans="1:16" ht="12" customHeight="1" x14ac:dyDescent="0.3">
      <c r="A713" s="32">
        <v>10</v>
      </c>
      <c r="B713" s="46"/>
      <c r="C713" s="46"/>
      <c r="M713" s="32">
        <f t="shared" si="132"/>
        <v>0</v>
      </c>
      <c r="N713" s="32" t="str">
        <f t="shared" si="129"/>
        <v>00</v>
      </c>
      <c r="P713" s="47"/>
    </row>
    <row r="714" spans="1:16" ht="12" customHeight="1" x14ac:dyDescent="0.3">
      <c r="A714" s="32">
        <v>1</v>
      </c>
      <c r="B714" s="46">
        <v>103</v>
      </c>
      <c r="C714" s="46" t="str">
        <f t="shared" ref="C714:C774" si="133">CHAR(B714)</f>
        <v>g</v>
      </c>
      <c r="M714" s="32">
        <f t="shared" si="132"/>
        <v>0</v>
      </c>
      <c r="N714" s="32" t="str">
        <f t="shared" si="129"/>
        <v>00</v>
      </c>
      <c r="P714" s="47" t="str">
        <f t="shared" ref="P714" si="134">CONCATENATE("0x",N714,",0x",N715,",0x",N716,",0x",N717,",0x",N718,",0x",N719,",0x",N720,",0x",N721,",0x",N722,",0x",N723,", //",C714)</f>
        <v>0x00,0x00,0x00,0x06,0x09,0x09,0x09,0x07,0x01,0x07, //g</v>
      </c>
    </row>
    <row r="715" spans="1:16" ht="12" customHeight="1" x14ac:dyDescent="0.3">
      <c r="A715" s="32">
        <v>2</v>
      </c>
      <c r="B715" s="46"/>
      <c r="C715" s="46"/>
      <c r="M715" s="32">
        <f t="shared" si="132"/>
        <v>0</v>
      </c>
      <c r="N715" s="32" t="str">
        <f t="shared" si="129"/>
        <v>00</v>
      </c>
      <c r="P715" s="47"/>
    </row>
    <row r="716" spans="1:16" ht="12" customHeight="1" x14ac:dyDescent="0.3">
      <c r="A716" s="32">
        <v>3</v>
      </c>
      <c r="B716" s="46"/>
      <c r="C716" s="46"/>
      <c r="M716" s="32">
        <f t="shared" si="132"/>
        <v>0</v>
      </c>
      <c r="N716" s="32" t="str">
        <f t="shared" si="129"/>
        <v>00</v>
      </c>
      <c r="P716" s="47"/>
    </row>
    <row r="717" spans="1:16" ht="12" customHeight="1" x14ac:dyDescent="0.3">
      <c r="A717" s="32">
        <v>4</v>
      </c>
      <c r="B717" s="46"/>
      <c r="C717" s="46"/>
      <c r="I717" s="32">
        <v>1</v>
      </c>
      <c r="J717" s="32">
        <v>1</v>
      </c>
      <c r="M717" s="32">
        <f t="shared" si="132"/>
        <v>6</v>
      </c>
      <c r="N717" s="32" t="str">
        <f t="shared" si="129"/>
        <v>06</v>
      </c>
      <c r="P717" s="47"/>
    </row>
    <row r="718" spans="1:16" ht="12" customHeight="1" x14ac:dyDescent="0.3">
      <c r="A718" s="32">
        <v>5</v>
      </c>
      <c r="B718" s="46"/>
      <c r="C718" s="46"/>
      <c r="H718" s="32">
        <v>1</v>
      </c>
      <c r="K718" s="32">
        <v>1</v>
      </c>
      <c r="M718" s="32">
        <f t="shared" si="132"/>
        <v>9</v>
      </c>
      <c r="N718" s="32" t="str">
        <f t="shared" si="129"/>
        <v>09</v>
      </c>
      <c r="P718" s="47"/>
    </row>
    <row r="719" spans="1:16" ht="12" customHeight="1" x14ac:dyDescent="0.3">
      <c r="A719" s="32">
        <v>6</v>
      </c>
      <c r="B719" s="46"/>
      <c r="C719" s="46"/>
      <c r="H719" s="32">
        <v>1</v>
      </c>
      <c r="K719" s="32">
        <v>1</v>
      </c>
      <c r="M719" s="32">
        <f t="shared" si="132"/>
        <v>9</v>
      </c>
      <c r="N719" s="32" t="str">
        <f t="shared" si="129"/>
        <v>09</v>
      </c>
      <c r="P719" s="47"/>
    </row>
    <row r="720" spans="1:16" ht="12" customHeight="1" x14ac:dyDescent="0.3">
      <c r="A720" s="32">
        <v>7</v>
      </c>
      <c r="B720" s="46"/>
      <c r="C720" s="46"/>
      <c r="H720" s="32">
        <v>1</v>
      </c>
      <c r="K720" s="32">
        <v>1</v>
      </c>
      <c r="M720" s="32">
        <f t="shared" si="132"/>
        <v>9</v>
      </c>
      <c r="N720" s="32" t="str">
        <f t="shared" si="129"/>
        <v>09</v>
      </c>
      <c r="P720" s="47"/>
    </row>
    <row r="721" spans="1:16" ht="12" customHeight="1" x14ac:dyDescent="0.3">
      <c r="A721" s="32">
        <v>8</v>
      </c>
      <c r="B721" s="46"/>
      <c r="C721" s="46"/>
      <c r="I721" s="32">
        <v>1</v>
      </c>
      <c r="J721" s="32">
        <v>1</v>
      </c>
      <c r="K721" s="32">
        <v>1</v>
      </c>
      <c r="M721" s="32">
        <f t="shared" si="132"/>
        <v>7</v>
      </c>
      <c r="N721" s="32" t="str">
        <f t="shared" si="129"/>
        <v>07</v>
      </c>
      <c r="P721" s="47"/>
    </row>
    <row r="722" spans="1:16" ht="12" customHeight="1" x14ac:dyDescent="0.3">
      <c r="A722" s="32">
        <v>9</v>
      </c>
      <c r="B722" s="46"/>
      <c r="C722" s="46"/>
      <c r="K722" s="32">
        <v>1</v>
      </c>
      <c r="M722" s="32">
        <f t="shared" si="132"/>
        <v>1</v>
      </c>
      <c r="N722" s="32" t="str">
        <f t="shared" si="129"/>
        <v>01</v>
      </c>
      <c r="P722" s="47"/>
    </row>
    <row r="723" spans="1:16" ht="12" customHeight="1" x14ac:dyDescent="0.3">
      <c r="A723" s="32">
        <v>10</v>
      </c>
      <c r="B723" s="46"/>
      <c r="C723" s="46"/>
      <c r="I723" s="32">
        <v>1</v>
      </c>
      <c r="J723" s="32">
        <v>1</v>
      </c>
      <c r="K723" s="32">
        <v>1</v>
      </c>
      <c r="M723" s="32">
        <f t="shared" si="132"/>
        <v>7</v>
      </c>
      <c r="N723" s="32" t="str">
        <f t="shared" si="129"/>
        <v>07</v>
      </c>
      <c r="P723" s="47"/>
    </row>
    <row r="724" spans="1:16" ht="12" customHeight="1" x14ac:dyDescent="0.3">
      <c r="A724" s="32">
        <v>1</v>
      </c>
      <c r="B724" s="46">
        <v>104</v>
      </c>
      <c r="C724" s="46" t="str">
        <f t="shared" si="133"/>
        <v>h</v>
      </c>
      <c r="M724" s="32">
        <f t="shared" si="132"/>
        <v>0</v>
      </c>
      <c r="N724" s="32" t="str">
        <f t="shared" ref="N724" si="135">DEC2HEX(M724,2)</f>
        <v>00</v>
      </c>
      <c r="P724" s="47" t="str">
        <f t="shared" ref="P724" si="136">CONCATENATE("0x",N724,",0x",N725,",0x",N726,",0x",N727,",0x",N728,",0x",N729,",0x",N730,",0x",N731,",0x",N732,",0x",N733,", //",C724)</f>
        <v>0x00,0x08,0x08,0x0B,0x0D,0x09,0x09,0x09,0x00,0x00, //h</v>
      </c>
    </row>
    <row r="725" spans="1:16" ht="12" customHeight="1" x14ac:dyDescent="0.3">
      <c r="A725" s="32">
        <v>2</v>
      </c>
      <c r="B725" s="48"/>
      <c r="C725" s="46"/>
      <c r="H725" s="32">
        <v>1</v>
      </c>
      <c r="M725" s="32">
        <f t="shared" si="132"/>
        <v>8</v>
      </c>
      <c r="N725" s="32" t="str">
        <f t="shared" si="129"/>
        <v>08</v>
      </c>
      <c r="P725" s="47"/>
    </row>
    <row r="726" spans="1:16" ht="12" customHeight="1" x14ac:dyDescent="0.3">
      <c r="A726" s="32">
        <v>3</v>
      </c>
      <c r="B726" s="48"/>
      <c r="C726" s="46"/>
      <c r="H726" s="32">
        <v>1</v>
      </c>
      <c r="M726" s="32">
        <f t="shared" si="132"/>
        <v>8</v>
      </c>
      <c r="N726" s="32" t="str">
        <f t="shared" si="129"/>
        <v>08</v>
      </c>
      <c r="P726" s="47"/>
    </row>
    <row r="727" spans="1:16" ht="12" customHeight="1" x14ac:dyDescent="0.3">
      <c r="A727" s="32">
        <v>4</v>
      </c>
      <c r="B727" s="48"/>
      <c r="C727" s="46"/>
      <c r="H727" s="32">
        <v>1</v>
      </c>
      <c r="J727" s="32">
        <v>1</v>
      </c>
      <c r="K727" s="32">
        <v>1</v>
      </c>
      <c r="M727" s="32">
        <f t="shared" si="132"/>
        <v>11</v>
      </c>
      <c r="N727" s="32" t="str">
        <f t="shared" si="129"/>
        <v>0B</v>
      </c>
      <c r="P727" s="47"/>
    </row>
    <row r="728" spans="1:16" ht="12" customHeight="1" x14ac:dyDescent="0.3">
      <c r="A728" s="32">
        <v>5</v>
      </c>
      <c r="B728" s="48"/>
      <c r="C728" s="46"/>
      <c r="H728" s="32">
        <v>1</v>
      </c>
      <c r="I728" s="32">
        <v>1</v>
      </c>
      <c r="K728" s="32">
        <v>1</v>
      </c>
      <c r="M728" s="32">
        <f t="shared" si="132"/>
        <v>13</v>
      </c>
      <c r="N728" s="32" t="str">
        <f t="shared" si="129"/>
        <v>0D</v>
      </c>
      <c r="P728" s="47"/>
    </row>
    <row r="729" spans="1:16" ht="12" customHeight="1" x14ac:dyDescent="0.3">
      <c r="A729" s="32">
        <v>6</v>
      </c>
      <c r="B729" s="48"/>
      <c r="C729" s="46"/>
      <c r="H729" s="32">
        <v>1</v>
      </c>
      <c r="K729" s="32">
        <v>1</v>
      </c>
      <c r="M729" s="32">
        <f t="shared" si="132"/>
        <v>9</v>
      </c>
      <c r="N729" s="32" t="str">
        <f t="shared" si="129"/>
        <v>09</v>
      </c>
      <c r="P729" s="47"/>
    </row>
    <row r="730" spans="1:16" ht="12" customHeight="1" x14ac:dyDescent="0.3">
      <c r="A730" s="32">
        <v>7</v>
      </c>
      <c r="B730" s="48"/>
      <c r="C730" s="46"/>
      <c r="H730" s="32">
        <v>1</v>
      </c>
      <c r="K730" s="32">
        <v>1</v>
      </c>
      <c r="M730" s="32">
        <f t="shared" si="132"/>
        <v>9</v>
      </c>
      <c r="N730" s="32" t="str">
        <f t="shared" si="129"/>
        <v>09</v>
      </c>
      <c r="P730" s="47"/>
    </row>
    <row r="731" spans="1:16" ht="12" customHeight="1" x14ac:dyDescent="0.3">
      <c r="A731" s="32">
        <v>8</v>
      </c>
      <c r="B731" s="48"/>
      <c r="C731" s="46"/>
      <c r="H731" s="32">
        <v>1</v>
      </c>
      <c r="K731" s="32">
        <v>1</v>
      </c>
      <c r="M731" s="32">
        <f t="shared" si="132"/>
        <v>9</v>
      </c>
      <c r="N731" s="32" t="str">
        <f t="shared" ref="N731:N763" si="137">DEC2HEX(M731,2)</f>
        <v>09</v>
      </c>
      <c r="P731" s="47"/>
    </row>
    <row r="732" spans="1:16" ht="12" customHeight="1" x14ac:dyDescent="0.3">
      <c r="A732" s="32">
        <v>9</v>
      </c>
      <c r="B732" s="48"/>
      <c r="C732" s="46"/>
      <c r="M732" s="32">
        <f t="shared" si="132"/>
        <v>0</v>
      </c>
      <c r="N732" s="32" t="str">
        <f t="shared" si="137"/>
        <v>00</v>
      </c>
      <c r="P732" s="47"/>
    </row>
    <row r="733" spans="1:16" ht="12" customHeight="1" x14ac:dyDescent="0.3">
      <c r="A733" s="32">
        <v>10</v>
      </c>
      <c r="B733" s="48"/>
      <c r="C733" s="46"/>
      <c r="M733" s="32">
        <f t="shared" si="132"/>
        <v>0</v>
      </c>
      <c r="N733" s="32" t="str">
        <f t="shared" si="137"/>
        <v>00</v>
      </c>
      <c r="P733" s="47"/>
    </row>
    <row r="734" spans="1:16" ht="12" customHeight="1" x14ac:dyDescent="0.3">
      <c r="A734" s="32">
        <v>1</v>
      </c>
      <c r="B734" s="46">
        <v>105</v>
      </c>
      <c r="C734" s="46" t="str">
        <f t="shared" si="133"/>
        <v>i</v>
      </c>
      <c r="M734" s="32">
        <f t="shared" si="132"/>
        <v>0</v>
      </c>
      <c r="N734" s="32" t="str">
        <f t="shared" si="137"/>
        <v>00</v>
      </c>
      <c r="P734" s="47" t="str">
        <f t="shared" ref="P734" si="138">CONCATENATE("0x",N734,",0x",N735,",0x",N736,",0x",N737,",0x",N738,",0x",N739,",0x",N740,",0x",N741,",0x",N742,",0x",N743,", //",C734)</f>
        <v>0x00,0x01,0x00,0x01,0x01,0x01,0x01,0x01,0x00,0x00, //i</v>
      </c>
    </row>
    <row r="735" spans="1:16" ht="12" customHeight="1" x14ac:dyDescent="0.3">
      <c r="A735" s="32">
        <v>2</v>
      </c>
      <c r="B735" s="46"/>
      <c r="C735" s="46"/>
      <c r="K735" s="32">
        <v>1</v>
      </c>
      <c r="M735" s="32">
        <f t="shared" si="132"/>
        <v>1</v>
      </c>
      <c r="N735" s="32" t="str">
        <f t="shared" si="137"/>
        <v>01</v>
      </c>
      <c r="P735" s="47"/>
    </row>
    <row r="736" spans="1:16" ht="12" customHeight="1" x14ac:dyDescent="0.3">
      <c r="A736" s="32">
        <v>3</v>
      </c>
      <c r="B736" s="46"/>
      <c r="C736" s="46"/>
      <c r="M736" s="32">
        <f t="shared" si="132"/>
        <v>0</v>
      </c>
      <c r="N736" s="32" t="str">
        <f t="shared" si="137"/>
        <v>00</v>
      </c>
      <c r="P736" s="47"/>
    </row>
    <row r="737" spans="1:16" ht="12" customHeight="1" x14ac:dyDescent="0.3">
      <c r="A737" s="32">
        <v>4</v>
      </c>
      <c r="B737" s="46"/>
      <c r="C737" s="46"/>
      <c r="K737" s="32">
        <v>1</v>
      </c>
      <c r="M737" s="32">
        <f t="shared" si="132"/>
        <v>1</v>
      </c>
      <c r="N737" s="32" t="str">
        <f t="shared" si="137"/>
        <v>01</v>
      </c>
      <c r="P737" s="47"/>
    </row>
    <row r="738" spans="1:16" ht="12" customHeight="1" x14ac:dyDescent="0.3">
      <c r="A738" s="32">
        <v>5</v>
      </c>
      <c r="B738" s="46"/>
      <c r="C738" s="46"/>
      <c r="K738" s="32">
        <v>1</v>
      </c>
      <c r="M738" s="32">
        <f t="shared" si="132"/>
        <v>1</v>
      </c>
      <c r="N738" s="32" t="str">
        <f t="shared" si="137"/>
        <v>01</v>
      </c>
      <c r="P738" s="47"/>
    </row>
    <row r="739" spans="1:16" ht="12" customHeight="1" x14ac:dyDescent="0.3">
      <c r="A739" s="32">
        <v>6</v>
      </c>
      <c r="B739" s="46"/>
      <c r="C739" s="46"/>
      <c r="K739" s="32">
        <v>1</v>
      </c>
      <c r="M739" s="32">
        <f t="shared" si="132"/>
        <v>1</v>
      </c>
      <c r="N739" s="32" t="str">
        <f t="shared" si="137"/>
        <v>01</v>
      </c>
      <c r="P739" s="47"/>
    </row>
    <row r="740" spans="1:16" ht="12" customHeight="1" x14ac:dyDescent="0.3">
      <c r="A740" s="32">
        <v>7</v>
      </c>
      <c r="B740" s="46"/>
      <c r="C740" s="46"/>
      <c r="K740" s="32">
        <v>1</v>
      </c>
      <c r="M740" s="32">
        <f t="shared" si="132"/>
        <v>1</v>
      </c>
      <c r="N740" s="32" t="str">
        <f t="shared" si="137"/>
        <v>01</v>
      </c>
      <c r="P740" s="47"/>
    </row>
    <row r="741" spans="1:16" ht="12" customHeight="1" x14ac:dyDescent="0.3">
      <c r="A741" s="32">
        <v>8</v>
      </c>
      <c r="B741" s="46"/>
      <c r="C741" s="46"/>
      <c r="K741" s="32">
        <v>1</v>
      </c>
      <c r="M741" s="32">
        <f t="shared" si="132"/>
        <v>1</v>
      </c>
      <c r="N741" s="32" t="str">
        <f t="shared" si="137"/>
        <v>01</v>
      </c>
      <c r="P741" s="47"/>
    </row>
    <row r="742" spans="1:16" ht="12" customHeight="1" x14ac:dyDescent="0.3">
      <c r="A742" s="32">
        <v>9</v>
      </c>
      <c r="B742" s="46"/>
      <c r="C742" s="46"/>
      <c r="M742" s="32">
        <f t="shared" si="132"/>
        <v>0</v>
      </c>
      <c r="N742" s="32" t="str">
        <f t="shared" si="137"/>
        <v>00</v>
      </c>
      <c r="P742" s="47"/>
    </row>
    <row r="743" spans="1:16" ht="12" customHeight="1" x14ac:dyDescent="0.3">
      <c r="A743" s="32">
        <v>10</v>
      </c>
      <c r="B743" s="46"/>
      <c r="C743" s="46"/>
      <c r="M743" s="32">
        <f t="shared" si="132"/>
        <v>0</v>
      </c>
      <c r="N743" s="32" t="str">
        <f t="shared" si="137"/>
        <v>00</v>
      </c>
      <c r="P743" s="47"/>
    </row>
    <row r="744" spans="1:16" ht="12" customHeight="1" x14ac:dyDescent="0.3">
      <c r="A744" s="32">
        <v>1</v>
      </c>
      <c r="B744" s="46">
        <v>106</v>
      </c>
      <c r="C744" s="46" t="str">
        <f t="shared" si="133"/>
        <v>j</v>
      </c>
      <c r="M744" s="32">
        <f t="shared" si="132"/>
        <v>0</v>
      </c>
      <c r="N744" s="32" t="str">
        <f t="shared" si="137"/>
        <v>00</v>
      </c>
      <c r="P744" s="47" t="str">
        <f t="shared" ref="P744" si="139">CONCATENATE("0x",N744,",0x",N745,",0x",N746,",0x",N747,",0x",N748,",0x",N749,",0x",N750,",0x",N751,",0x",N752,",0x",N753,", //",C744)</f>
        <v>0x00,0x01,0x00,0x01,0x01,0x01,0x01,0x01,0x09,0x06, //j</v>
      </c>
    </row>
    <row r="745" spans="1:16" ht="12" customHeight="1" x14ac:dyDescent="0.3">
      <c r="A745" s="32">
        <v>2</v>
      </c>
      <c r="B745" s="46"/>
      <c r="C745" s="46"/>
      <c r="K745" s="32">
        <v>1</v>
      </c>
      <c r="M745" s="32">
        <f t="shared" si="132"/>
        <v>1</v>
      </c>
      <c r="N745" s="32" t="str">
        <f t="shared" si="137"/>
        <v>01</v>
      </c>
      <c r="P745" s="47"/>
    </row>
    <row r="746" spans="1:16" ht="12" customHeight="1" x14ac:dyDescent="0.3">
      <c r="A746" s="32">
        <v>3</v>
      </c>
      <c r="B746" s="46"/>
      <c r="C746" s="46"/>
      <c r="M746" s="32">
        <f t="shared" si="132"/>
        <v>0</v>
      </c>
      <c r="N746" s="32" t="str">
        <f t="shared" si="137"/>
        <v>00</v>
      </c>
      <c r="P746" s="47"/>
    </row>
    <row r="747" spans="1:16" ht="12" customHeight="1" x14ac:dyDescent="0.3">
      <c r="A747" s="32">
        <v>4</v>
      </c>
      <c r="B747" s="46"/>
      <c r="C747" s="46"/>
      <c r="K747" s="32">
        <v>1</v>
      </c>
      <c r="M747" s="32">
        <f t="shared" si="132"/>
        <v>1</v>
      </c>
      <c r="N747" s="32" t="str">
        <f t="shared" si="137"/>
        <v>01</v>
      </c>
      <c r="P747" s="47"/>
    </row>
    <row r="748" spans="1:16" ht="12" customHeight="1" x14ac:dyDescent="0.3">
      <c r="A748" s="32">
        <v>5</v>
      </c>
      <c r="B748" s="46"/>
      <c r="C748" s="46"/>
      <c r="K748" s="32">
        <v>1</v>
      </c>
      <c r="M748" s="32">
        <f t="shared" si="132"/>
        <v>1</v>
      </c>
      <c r="N748" s="32" t="str">
        <f t="shared" si="137"/>
        <v>01</v>
      </c>
      <c r="P748" s="47"/>
    </row>
    <row r="749" spans="1:16" ht="12" customHeight="1" x14ac:dyDescent="0.3">
      <c r="A749" s="32">
        <v>6</v>
      </c>
      <c r="B749" s="46"/>
      <c r="C749" s="46"/>
      <c r="K749" s="32">
        <v>1</v>
      </c>
      <c r="M749" s="32">
        <f t="shared" si="132"/>
        <v>1</v>
      </c>
      <c r="N749" s="32" t="str">
        <f t="shared" si="137"/>
        <v>01</v>
      </c>
      <c r="P749" s="47"/>
    </row>
    <row r="750" spans="1:16" ht="12" customHeight="1" x14ac:dyDescent="0.3">
      <c r="A750" s="32">
        <v>7</v>
      </c>
      <c r="B750" s="46"/>
      <c r="C750" s="46"/>
      <c r="K750" s="32">
        <v>1</v>
      </c>
      <c r="M750" s="32">
        <f t="shared" si="132"/>
        <v>1</v>
      </c>
      <c r="N750" s="32" t="str">
        <f t="shared" si="137"/>
        <v>01</v>
      </c>
      <c r="P750" s="47"/>
    </row>
    <row r="751" spans="1:16" ht="12" customHeight="1" x14ac:dyDescent="0.3">
      <c r="A751" s="32">
        <v>8</v>
      </c>
      <c r="B751" s="46"/>
      <c r="C751" s="46"/>
      <c r="K751" s="32">
        <v>1</v>
      </c>
      <c r="M751" s="32">
        <f t="shared" si="132"/>
        <v>1</v>
      </c>
      <c r="N751" s="32" t="str">
        <f t="shared" si="137"/>
        <v>01</v>
      </c>
      <c r="P751" s="47"/>
    </row>
    <row r="752" spans="1:16" ht="12" customHeight="1" x14ac:dyDescent="0.3">
      <c r="A752" s="32">
        <v>9</v>
      </c>
      <c r="B752" s="46"/>
      <c r="C752" s="46"/>
      <c r="H752" s="32">
        <v>1</v>
      </c>
      <c r="K752" s="32">
        <v>1</v>
      </c>
      <c r="M752" s="32">
        <f t="shared" si="132"/>
        <v>9</v>
      </c>
      <c r="N752" s="32" t="str">
        <f t="shared" si="137"/>
        <v>09</v>
      </c>
      <c r="P752" s="47"/>
    </row>
    <row r="753" spans="1:16" ht="12" customHeight="1" x14ac:dyDescent="0.3">
      <c r="A753" s="32">
        <v>10</v>
      </c>
      <c r="B753" s="46"/>
      <c r="C753" s="46"/>
      <c r="I753" s="32">
        <v>1</v>
      </c>
      <c r="J753" s="32">
        <v>1</v>
      </c>
      <c r="M753" s="32">
        <f t="shared" si="132"/>
        <v>6</v>
      </c>
      <c r="N753" s="32" t="str">
        <f t="shared" si="137"/>
        <v>06</v>
      </c>
      <c r="P753" s="47"/>
    </row>
    <row r="754" spans="1:16" ht="12" customHeight="1" x14ac:dyDescent="0.3">
      <c r="A754" s="32">
        <v>1</v>
      </c>
      <c r="B754" s="46">
        <v>107</v>
      </c>
      <c r="C754" s="46" t="str">
        <f t="shared" si="133"/>
        <v>k</v>
      </c>
      <c r="M754" s="32">
        <f t="shared" si="132"/>
        <v>0</v>
      </c>
      <c r="N754" s="32" t="str">
        <f t="shared" si="137"/>
        <v>00</v>
      </c>
      <c r="P754" s="47" t="str">
        <f t="shared" ref="P754" si="140">CONCATENATE("0x",N754,",0x",N755,",0x",N756,",0x",N757,",0x",N758,",0x",N759,",0x",N760,",0x",N761,",0x",N762,",0x",N763,", //",C754)</f>
        <v>0x00,0x08,0x08,0x09,0x0A,0x0C,0x0A,0x09,0x00,0x00, //k</v>
      </c>
    </row>
    <row r="755" spans="1:16" ht="12" customHeight="1" x14ac:dyDescent="0.3">
      <c r="A755" s="32">
        <v>2</v>
      </c>
      <c r="B755" s="46"/>
      <c r="C755" s="46"/>
      <c r="H755" s="32">
        <v>1</v>
      </c>
      <c r="M755" s="32">
        <f t="shared" si="132"/>
        <v>8</v>
      </c>
      <c r="N755" s="32" t="str">
        <f t="shared" si="137"/>
        <v>08</v>
      </c>
      <c r="P755" s="47"/>
    </row>
    <row r="756" spans="1:16" ht="12" customHeight="1" x14ac:dyDescent="0.3">
      <c r="A756" s="32">
        <v>3</v>
      </c>
      <c r="B756" s="46"/>
      <c r="C756" s="46"/>
      <c r="H756" s="32">
        <v>1</v>
      </c>
      <c r="M756" s="32">
        <f t="shared" si="132"/>
        <v>8</v>
      </c>
      <c r="N756" s="32" t="str">
        <f t="shared" si="137"/>
        <v>08</v>
      </c>
      <c r="P756" s="47"/>
    </row>
    <row r="757" spans="1:16" ht="12" customHeight="1" x14ac:dyDescent="0.3">
      <c r="A757" s="32">
        <v>4</v>
      </c>
      <c r="B757" s="46"/>
      <c r="C757" s="46"/>
      <c r="H757" s="32">
        <v>1</v>
      </c>
      <c r="K757" s="32">
        <v>1</v>
      </c>
      <c r="M757" s="32">
        <f t="shared" si="132"/>
        <v>9</v>
      </c>
      <c r="N757" s="32" t="str">
        <f t="shared" si="137"/>
        <v>09</v>
      </c>
      <c r="P757" s="47"/>
    </row>
    <row r="758" spans="1:16" ht="12" customHeight="1" x14ac:dyDescent="0.3">
      <c r="A758" s="32">
        <v>5</v>
      </c>
      <c r="B758" s="46"/>
      <c r="C758" s="46"/>
      <c r="H758" s="32">
        <v>1</v>
      </c>
      <c r="J758" s="32">
        <v>1</v>
      </c>
      <c r="M758" s="32">
        <f t="shared" si="132"/>
        <v>10</v>
      </c>
      <c r="N758" s="32" t="str">
        <f t="shared" si="137"/>
        <v>0A</v>
      </c>
      <c r="P758" s="47"/>
    </row>
    <row r="759" spans="1:16" ht="12" customHeight="1" x14ac:dyDescent="0.3">
      <c r="A759" s="32">
        <v>6</v>
      </c>
      <c r="B759" s="46"/>
      <c r="C759" s="46"/>
      <c r="H759" s="32">
        <v>1</v>
      </c>
      <c r="I759" s="32">
        <v>1</v>
      </c>
      <c r="M759" s="32">
        <f t="shared" si="132"/>
        <v>12</v>
      </c>
      <c r="N759" s="32" t="str">
        <f t="shared" si="137"/>
        <v>0C</v>
      </c>
      <c r="P759" s="47"/>
    </row>
    <row r="760" spans="1:16" ht="12" customHeight="1" x14ac:dyDescent="0.3">
      <c r="A760" s="32">
        <v>7</v>
      </c>
      <c r="B760" s="46"/>
      <c r="C760" s="46"/>
      <c r="H760" s="32">
        <v>1</v>
      </c>
      <c r="J760" s="32">
        <v>1</v>
      </c>
      <c r="M760" s="32">
        <f t="shared" si="132"/>
        <v>10</v>
      </c>
      <c r="N760" s="32" t="str">
        <f t="shared" si="137"/>
        <v>0A</v>
      </c>
      <c r="P760" s="47"/>
    </row>
    <row r="761" spans="1:16" ht="12" customHeight="1" x14ac:dyDescent="0.3">
      <c r="A761" s="32">
        <v>8</v>
      </c>
      <c r="B761" s="46"/>
      <c r="C761" s="46"/>
      <c r="H761" s="32">
        <v>1</v>
      </c>
      <c r="K761" s="32">
        <v>1</v>
      </c>
      <c r="M761" s="32">
        <f t="shared" si="132"/>
        <v>9</v>
      </c>
      <c r="N761" s="32" t="str">
        <f t="shared" si="137"/>
        <v>09</v>
      </c>
      <c r="P761" s="47"/>
    </row>
    <row r="762" spans="1:16" ht="12" customHeight="1" x14ac:dyDescent="0.3">
      <c r="A762" s="32">
        <v>9</v>
      </c>
      <c r="B762" s="46"/>
      <c r="C762" s="46"/>
      <c r="M762" s="32">
        <f t="shared" si="132"/>
        <v>0</v>
      </c>
      <c r="N762" s="32" t="str">
        <f t="shared" si="137"/>
        <v>00</v>
      </c>
      <c r="P762" s="47"/>
    </row>
    <row r="763" spans="1:16" ht="12" customHeight="1" x14ac:dyDescent="0.3">
      <c r="A763" s="32">
        <v>10</v>
      </c>
      <c r="B763" s="46"/>
      <c r="C763" s="46"/>
      <c r="M763" s="32">
        <f t="shared" si="132"/>
        <v>0</v>
      </c>
      <c r="N763" s="32" t="str">
        <f t="shared" si="137"/>
        <v>00</v>
      </c>
      <c r="P763" s="47"/>
    </row>
    <row r="764" spans="1:16" ht="12" customHeight="1" x14ac:dyDescent="0.3">
      <c r="A764" s="32">
        <v>1</v>
      </c>
      <c r="B764" s="46">
        <v>108</v>
      </c>
      <c r="C764" s="46" t="str">
        <f t="shared" si="133"/>
        <v>l</v>
      </c>
      <c r="M764" s="32">
        <f t="shared" si="132"/>
        <v>0</v>
      </c>
      <c r="N764" s="32" t="str">
        <f t="shared" ref="N764:N793" si="141">DEC2HEX(M764,2)</f>
        <v>00</v>
      </c>
      <c r="P764" s="47" t="str">
        <f t="shared" ref="P764" si="142">CONCATENATE("0x",N764,",0x",N765,",0x",N766,",0x",N767,",0x",N768,",0x",N769,",0x",N770,",0x",N771,",0x",N772,",0x",N773,", //",C764)</f>
        <v>0x00,0x01,0x01,0x01,0x01,0x01,0x01,0x01,0x00,0x00, //l</v>
      </c>
    </row>
    <row r="765" spans="1:16" ht="12" customHeight="1" x14ac:dyDescent="0.3">
      <c r="A765" s="32">
        <v>2</v>
      </c>
      <c r="B765" s="46"/>
      <c r="C765" s="46"/>
      <c r="K765" s="32">
        <v>1</v>
      </c>
      <c r="M765" s="32">
        <f t="shared" si="132"/>
        <v>1</v>
      </c>
      <c r="N765" s="32" t="str">
        <f t="shared" si="141"/>
        <v>01</v>
      </c>
      <c r="P765" s="47"/>
    </row>
    <row r="766" spans="1:16" ht="12" customHeight="1" x14ac:dyDescent="0.3">
      <c r="A766" s="32">
        <v>3</v>
      </c>
      <c r="B766" s="46"/>
      <c r="C766" s="46"/>
      <c r="K766" s="32">
        <v>1</v>
      </c>
      <c r="M766" s="32">
        <f t="shared" si="132"/>
        <v>1</v>
      </c>
      <c r="N766" s="32" t="str">
        <f t="shared" si="141"/>
        <v>01</v>
      </c>
      <c r="P766" s="47"/>
    </row>
    <row r="767" spans="1:16" ht="12" customHeight="1" x14ac:dyDescent="0.3">
      <c r="A767" s="32">
        <v>4</v>
      </c>
      <c r="B767" s="46"/>
      <c r="C767" s="46"/>
      <c r="K767" s="32">
        <v>1</v>
      </c>
      <c r="M767" s="32">
        <f t="shared" si="132"/>
        <v>1</v>
      </c>
      <c r="N767" s="32" t="str">
        <f t="shared" si="141"/>
        <v>01</v>
      </c>
      <c r="P767" s="47"/>
    </row>
    <row r="768" spans="1:16" ht="12" customHeight="1" x14ac:dyDescent="0.3">
      <c r="A768" s="32">
        <v>5</v>
      </c>
      <c r="B768" s="46"/>
      <c r="C768" s="46"/>
      <c r="K768" s="32">
        <v>1</v>
      </c>
      <c r="M768" s="32">
        <f t="shared" si="132"/>
        <v>1</v>
      </c>
      <c r="N768" s="32" t="str">
        <f t="shared" si="141"/>
        <v>01</v>
      </c>
      <c r="P768" s="47"/>
    </row>
    <row r="769" spans="1:16" ht="12" customHeight="1" x14ac:dyDescent="0.3">
      <c r="A769" s="32">
        <v>6</v>
      </c>
      <c r="B769" s="46"/>
      <c r="C769" s="46"/>
      <c r="K769" s="32">
        <v>1</v>
      </c>
      <c r="M769" s="32">
        <f t="shared" ref="M769:M832" si="143">G769*G$2+H769*H$2+I769*I$2+J769*J$2+K769*K$2+F769*F$2+E769*E$2+D769*D$2</f>
        <v>1</v>
      </c>
      <c r="N769" s="32" t="str">
        <f t="shared" si="141"/>
        <v>01</v>
      </c>
      <c r="P769" s="47"/>
    </row>
    <row r="770" spans="1:16" ht="12" customHeight="1" x14ac:dyDescent="0.3">
      <c r="A770" s="32">
        <v>7</v>
      </c>
      <c r="B770" s="46"/>
      <c r="C770" s="46"/>
      <c r="K770" s="32">
        <v>1</v>
      </c>
      <c r="M770" s="32">
        <f t="shared" si="143"/>
        <v>1</v>
      </c>
      <c r="N770" s="32" t="str">
        <f t="shared" si="141"/>
        <v>01</v>
      </c>
      <c r="P770" s="47"/>
    </row>
    <row r="771" spans="1:16" ht="12" customHeight="1" x14ac:dyDescent="0.3">
      <c r="A771" s="32">
        <v>8</v>
      </c>
      <c r="B771" s="46"/>
      <c r="C771" s="46"/>
      <c r="K771" s="32">
        <v>1</v>
      </c>
      <c r="M771" s="32">
        <f t="shared" si="143"/>
        <v>1</v>
      </c>
      <c r="N771" s="32" t="str">
        <f t="shared" si="141"/>
        <v>01</v>
      </c>
      <c r="P771" s="47"/>
    </row>
    <row r="772" spans="1:16" ht="12" customHeight="1" x14ac:dyDescent="0.3">
      <c r="A772" s="32">
        <v>9</v>
      </c>
      <c r="B772" s="46"/>
      <c r="C772" s="46"/>
      <c r="M772" s="32">
        <f t="shared" si="143"/>
        <v>0</v>
      </c>
      <c r="N772" s="32" t="str">
        <f t="shared" si="141"/>
        <v>00</v>
      </c>
      <c r="P772" s="47"/>
    </row>
    <row r="773" spans="1:16" ht="12" customHeight="1" x14ac:dyDescent="0.3">
      <c r="A773" s="32">
        <v>10</v>
      </c>
      <c r="B773" s="46"/>
      <c r="C773" s="46"/>
      <c r="M773" s="32">
        <f t="shared" si="143"/>
        <v>0</v>
      </c>
      <c r="N773" s="32" t="str">
        <f t="shared" si="141"/>
        <v>00</v>
      </c>
      <c r="P773" s="47"/>
    </row>
    <row r="774" spans="1:16" ht="12" customHeight="1" x14ac:dyDescent="0.3">
      <c r="A774" s="32">
        <v>1</v>
      </c>
      <c r="B774" s="46">
        <v>109</v>
      </c>
      <c r="C774" s="46" t="str">
        <f t="shared" si="133"/>
        <v>m</v>
      </c>
      <c r="M774" s="32">
        <f t="shared" si="143"/>
        <v>0</v>
      </c>
      <c r="N774" s="32" t="str">
        <f t="shared" si="141"/>
        <v>00</v>
      </c>
      <c r="P774" s="47" t="str">
        <f t="shared" ref="P774" si="144">CONCATENATE("0x",N774,",0x",N775,",0x",N776,",0x",N777,",0x",N778,",0x",N779,",0x",N780,",0x",N781,",0x",N782,",0x",N783,", //",C774)</f>
        <v>0x00,0x00,0x00,0x11,0x1B,0x15,0x15,0x15,0x00,0x00, //m</v>
      </c>
    </row>
    <row r="775" spans="1:16" ht="12" customHeight="1" x14ac:dyDescent="0.3">
      <c r="A775" s="32">
        <v>2</v>
      </c>
      <c r="B775" s="46"/>
      <c r="C775" s="46"/>
      <c r="M775" s="32">
        <f t="shared" si="143"/>
        <v>0</v>
      </c>
      <c r="N775" s="32" t="str">
        <f t="shared" si="141"/>
        <v>00</v>
      </c>
      <c r="P775" s="47"/>
    </row>
    <row r="776" spans="1:16" ht="12" customHeight="1" x14ac:dyDescent="0.3">
      <c r="A776" s="32">
        <v>3</v>
      </c>
      <c r="B776" s="46"/>
      <c r="C776" s="46"/>
      <c r="M776" s="32">
        <f t="shared" si="143"/>
        <v>0</v>
      </c>
      <c r="N776" s="32" t="str">
        <f t="shared" si="141"/>
        <v>00</v>
      </c>
      <c r="P776" s="47"/>
    </row>
    <row r="777" spans="1:16" ht="12" customHeight="1" x14ac:dyDescent="0.3">
      <c r="A777" s="32">
        <v>4</v>
      </c>
      <c r="B777" s="46"/>
      <c r="C777" s="46"/>
      <c r="G777" s="35">
        <v>1</v>
      </c>
      <c r="K777" s="32">
        <v>1</v>
      </c>
      <c r="M777" s="32">
        <f t="shared" si="143"/>
        <v>17</v>
      </c>
      <c r="N777" s="32" t="str">
        <f t="shared" si="141"/>
        <v>11</v>
      </c>
      <c r="P777" s="47"/>
    </row>
    <row r="778" spans="1:16" ht="12" customHeight="1" x14ac:dyDescent="0.3">
      <c r="A778" s="32">
        <v>5</v>
      </c>
      <c r="B778" s="46"/>
      <c r="C778" s="46"/>
      <c r="G778" s="35">
        <v>1</v>
      </c>
      <c r="H778" s="32">
        <v>1</v>
      </c>
      <c r="J778" s="32">
        <v>1</v>
      </c>
      <c r="K778" s="32">
        <v>1</v>
      </c>
      <c r="M778" s="32">
        <f t="shared" si="143"/>
        <v>27</v>
      </c>
      <c r="N778" s="32" t="str">
        <f t="shared" si="141"/>
        <v>1B</v>
      </c>
      <c r="P778" s="47"/>
    </row>
    <row r="779" spans="1:16" ht="12" customHeight="1" x14ac:dyDescent="0.3">
      <c r="A779" s="32">
        <v>6</v>
      </c>
      <c r="B779" s="46"/>
      <c r="C779" s="46"/>
      <c r="G779" s="35">
        <v>1</v>
      </c>
      <c r="I779" s="32">
        <v>1</v>
      </c>
      <c r="K779" s="32">
        <v>1</v>
      </c>
      <c r="M779" s="32">
        <f t="shared" si="143"/>
        <v>21</v>
      </c>
      <c r="N779" s="32" t="str">
        <f t="shared" si="141"/>
        <v>15</v>
      </c>
      <c r="P779" s="47"/>
    </row>
    <row r="780" spans="1:16" ht="12" customHeight="1" x14ac:dyDescent="0.3">
      <c r="A780" s="32">
        <v>7</v>
      </c>
      <c r="B780" s="46"/>
      <c r="C780" s="46"/>
      <c r="G780" s="35">
        <v>1</v>
      </c>
      <c r="I780" s="32">
        <v>1</v>
      </c>
      <c r="K780" s="32">
        <v>1</v>
      </c>
      <c r="M780" s="32">
        <f t="shared" si="143"/>
        <v>21</v>
      </c>
      <c r="N780" s="32" t="str">
        <f t="shared" si="141"/>
        <v>15</v>
      </c>
      <c r="P780" s="47"/>
    </row>
    <row r="781" spans="1:16" ht="12" customHeight="1" x14ac:dyDescent="0.3">
      <c r="A781" s="32">
        <v>8</v>
      </c>
      <c r="B781" s="46"/>
      <c r="C781" s="46"/>
      <c r="G781" s="35">
        <v>1</v>
      </c>
      <c r="I781" s="32">
        <v>1</v>
      </c>
      <c r="K781" s="32">
        <v>1</v>
      </c>
      <c r="M781" s="32">
        <f t="shared" si="143"/>
        <v>21</v>
      </c>
      <c r="N781" s="32" t="str">
        <f t="shared" si="141"/>
        <v>15</v>
      </c>
      <c r="P781" s="47"/>
    </row>
    <row r="782" spans="1:16" ht="12" customHeight="1" x14ac:dyDescent="0.3">
      <c r="A782" s="32">
        <v>9</v>
      </c>
      <c r="B782" s="46"/>
      <c r="C782" s="46"/>
      <c r="M782" s="32">
        <f t="shared" si="143"/>
        <v>0</v>
      </c>
      <c r="N782" s="32" t="str">
        <f t="shared" si="141"/>
        <v>00</v>
      </c>
      <c r="P782" s="47"/>
    </row>
    <row r="783" spans="1:16" ht="12" customHeight="1" x14ac:dyDescent="0.3">
      <c r="A783" s="32">
        <v>10</v>
      </c>
      <c r="B783" s="46"/>
      <c r="C783" s="46"/>
      <c r="M783" s="32">
        <f t="shared" si="143"/>
        <v>0</v>
      </c>
      <c r="N783" s="32" t="str">
        <f t="shared" si="141"/>
        <v>00</v>
      </c>
      <c r="P783" s="47"/>
    </row>
    <row r="784" spans="1:16" ht="12" customHeight="1" x14ac:dyDescent="0.3">
      <c r="A784" s="32">
        <v>1</v>
      </c>
      <c r="B784" s="46">
        <v>110</v>
      </c>
      <c r="C784" s="46" t="str">
        <f t="shared" ref="C784:C804" si="145">CHAR(B784)</f>
        <v>n</v>
      </c>
      <c r="M784" s="32">
        <f t="shared" si="143"/>
        <v>0</v>
      </c>
      <c r="N784" s="32" t="str">
        <f t="shared" si="141"/>
        <v>00</v>
      </c>
      <c r="P784" s="47" t="str">
        <f t="shared" ref="P784" si="146">CONCATENATE("0x",N784,",0x",N785,",0x",N786,",0x",N787,",0x",N788,",0x",N789,",0x",N790,",0x",N791,",0x",N792,",0x",N793,", //",C784)</f>
        <v>0x00,0x00,0x00,0x0B,0x0D,0x09,0x09,0x09,0x00,0x00, //n</v>
      </c>
    </row>
    <row r="785" spans="1:16" ht="12" customHeight="1" x14ac:dyDescent="0.3">
      <c r="A785" s="32">
        <v>2</v>
      </c>
      <c r="B785" s="46"/>
      <c r="C785" s="46"/>
      <c r="M785" s="32">
        <f t="shared" si="143"/>
        <v>0</v>
      </c>
      <c r="N785" s="32" t="str">
        <f t="shared" si="141"/>
        <v>00</v>
      </c>
      <c r="P785" s="47"/>
    </row>
    <row r="786" spans="1:16" ht="12" customHeight="1" x14ac:dyDescent="0.3">
      <c r="A786" s="32">
        <v>3</v>
      </c>
      <c r="B786" s="46"/>
      <c r="C786" s="46"/>
      <c r="M786" s="32">
        <f t="shared" si="143"/>
        <v>0</v>
      </c>
      <c r="N786" s="32" t="str">
        <f t="shared" si="141"/>
        <v>00</v>
      </c>
      <c r="P786" s="47"/>
    </row>
    <row r="787" spans="1:16" ht="12" customHeight="1" x14ac:dyDescent="0.3">
      <c r="A787" s="32">
        <v>4</v>
      </c>
      <c r="B787" s="46"/>
      <c r="C787" s="46"/>
      <c r="H787" s="32">
        <v>1</v>
      </c>
      <c r="J787" s="32">
        <v>1</v>
      </c>
      <c r="K787" s="32">
        <v>1</v>
      </c>
      <c r="M787" s="32">
        <f t="shared" si="143"/>
        <v>11</v>
      </c>
      <c r="N787" s="32" t="str">
        <f t="shared" si="141"/>
        <v>0B</v>
      </c>
      <c r="P787" s="47"/>
    </row>
    <row r="788" spans="1:16" ht="12" customHeight="1" x14ac:dyDescent="0.3">
      <c r="A788" s="32">
        <v>5</v>
      </c>
      <c r="B788" s="46"/>
      <c r="C788" s="46"/>
      <c r="H788" s="32">
        <v>1</v>
      </c>
      <c r="I788" s="32">
        <v>1</v>
      </c>
      <c r="K788" s="32">
        <v>1</v>
      </c>
      <c r="M788" s="32">
        <f t="shared" si="143"/>
        <v>13</v>
      </c>
      <c r="N788" s="32" t="str">
        <f t="shared" si="141"/>
        <v>0D</v>
      </c>
      <c r="P788" s="47"/>
    </row>
    <row r="789" spans="1:16" ht="12" customHeight="1" x14ac:dyDescent="0.3">
      <c r="A789" s="32">
        <v>6</v>
      </c>
      <c r="B789" s="46"/>
      <c r="C789" s="46"/>
      <c r="H789" s="32">
        <v>1</v>
      </c>
      <c r="K789" s="32">
        <v>1</v>
      </c>
      <c r="M789" s="32">
        <f t="shared" si="143"/>
        <v>9</v>
      </c>
      <c r="N789" s="32" t="str">
        <f t="shared" si="141"/>
        <v>09</v>
      </c>
      <c r="P789" s="47"/>
    </row>
    <row r="790" spans="1:16" ht="12" customHeight="1" x14ac:dyDescent="0.3">
      <c r="A790" s="32">
        <v>7</v>
      </c>
      <c r="B790" s="46"/>
      <c r="C790" s="46"/>
      <c r="H790" s="32">
        <v>1</v>
      </c>
      <c r="K790" s="32">
        <v>1</v>
      </c>
      <c r="M790" s="32">
        <f t="shared" si="143"/>
        <v>9</v>
      </c>
      <c r="N790" s="32" t="str">
        <f t="shared" si="141"/>
        <v>09</v>
      </c>
      <c r="P790" s="47"/>
    </row>
    <row r="791" spans="1:16" ht="12" customHeight="1" x14ac:dyDescent="0.3">
      <c r="A791" s="32">
        <v>8</v>
      </c>
      <c r="B791" s="46"/>
      <c r="C791" s="46"/>
      <c r="H791" s="32">
        <v>1</v>
      </c>
      <c r="K791" s="32">
        <v>1</v>
      </c>
      <c r="M791" s="32">
        <f t="shared" si="143"/>
        <v>9</v>
      </c>
      <c r="N791" s="32" t="str">
        <f t="shared" si="141"/>
        <v>09</v>
      </c>
      <c r="P791" s="47"/>
    </row>
    <row r="792" spans="1:16" ht="12" customHeight="1" x14ac:dyDescent="0.3">
      <c r="A792" s="32">
        <v>9</v>
      </c>
      <c r="B792" s="46"/>
      <c r="C792" s="46"/>
      <c r="M792" s="32">
        <f t="shared" si="143"/>
        <v>0</v>
      </c>
      <c r="N792" s="32" t="str">
        <f t="shared" si="141"/>
        <v>00</v>
      </c>
      <c r="P792" s="47"/>
    </row>
    <row r="793" spans="1:16" ht="12" customHeight="1" x14ac:dyDescent="0.3">
      <c r="A793" s="32">
        <v>10</v>
      </c>
      <c r="B793" s="46"/>
      <c r="C793" s="46"/>
      <c r="M793" s="32">
        <f t="shared" si="143"/>
        <v>0</v>
      </c>
      <c r="N793" s="32" t="str">
        <f t="shared" si="141"/>
        <v>00</v>
      </c>
      <c r="P793" s="47"/>
    </row>
    <row r="794" spans="1:16" ht="12" customHeight="1" x14ac:dyDescent="0.3">
      <c r="A794" s="32">
        <v>1</v>
      </c>
      <c r="B794" s="46">
        <v>111</v>
      </c>
      <c r="C794" s="46" t="str">
        <f t="shared" si="145"/>
        <v>o</v>
      </c>
      <c r="M794" s="32">
        <f t="shared" si="143"/>
        <v>0</v>
      </c>
      <c r="N794" s="32" t="str">
        <f t="shared" ref="N794:N823" si="147">DEC2HEX(M794,2)</f>
        <v>00</v>
      </c>
      <c r="P794" s="47" t="str">
        <f t="shared" ref="P794" si="148">CONCATENATE("0x",N794,",0x",N795,",0x",N796,",0x",N797,",0x",N798,",0x",N799,",0x",N800,",0x",N801,",0x",N802,",0x",N803,", //",C794)</f>
        <v>0x00,0x00,0x00,0x06,0x09,0x09,0x09,0x06,0x00,0x00, //o</v>
      </c>
    </row>
    <row r="795" spans="1:16" ht="12" customHeight="1" x14ac:dyDescent="0.3">
      <c r="A795" s="32">
        <v>2</v>
      </c>
      <c r="B795" s="46"/>
      <c r="C795" s="46"/>
      <c r="M795" s="32">
        <f t="shared" si="143"/>
        <v>0</v>
      </c>
      <c r="N795" s="32" t="str">
        <f t="shared" si="147"/>
        <v>00</v>
      </c>
      <c r="P795" s="47"/>
    </row>
    <row r="796" spans="1:16" ht="12" customHeight="1" x14ac:dyDescent="0.3">
      <c r="A796" s="32">
        <v>3</v>
      </c>
      <c r="B796" s="46"/>
      <c r="C796" s="46"/>
      <c r="M796" s="32">
        <f t="shared" si="143"/>
        <v>0</v>
      </c>
      <c r="N796" s="32" t="str">
        <f t="shared" si="147"/>
        <v>00</v>
      </c>
      <c r="P796" s="47"/>
    </row>
    <row r="797" spans="1:16" ht="12" customHeight="1" x14ac:dyDescent="0.3">
      <c r="A797" s="32">
        <v>4</v>
      </c>
      <c r="B797" s="46"/>
      <c r="C797" s="46"/>
      <c r="I797" s="32">
        <v>1</v>
      </c>
      <c r="J797" s="32">
        <v>1</v>
      </c>
      <c r="M797" s="32">
        <f t="shared" si="143"/>
        <v>6</v>
      </c>
      <c r="N797" s="32" t="str">
        <f t="shared" si="147"/>
        <v>06</v>
      </c>
      <c r="P797" s="47"/>
    </row>
    <row r="798" spans="1:16" ht="12" customHeight="1" x14ac:dyDescent="0.3">
      <c r="A798" s="32">
        <v>5</v>
      </c>
      <c r="B798" s="46"/>
      <c r="C798" s="46"/>
      <c r="H798" s="32">
        <v>1</v>
      </c>
      <c r="K798" s="32">
        <v>1</v>
      </c>
      <c r="M798" s="32">
        <f t="shared" si="143"/>
        <v>9</v>
      </c>
      <c r="N798" s="32" t="str">
        <f t="shared" si="147"/>
        <v>09</v>
      </c>
      <c r="P798" s="47"/>
    </row>
    <row r="799" spans="1:16" ht="12" customHeight="1" x14ac:dyDescent="0.3">
      <c r="A799" s="32">
        <v>6</v>
      </c>
      <c r="B799" s="46"/>
      <c r="C799" s="46"/>
      <c r="H799" s="32">
        <v>1</v>
      </c>
      <c r="K799" s="32">
        <v>1</v>
      </c>
      <c r="M799" s="32">
        <f t="shared" si="143"/>
        <v>9</v>
      </c>
      <c r="N799" s="32" t="str">
        <f t="shared" si="147"/>
        <v>09</v>
      </c>
      <c r="P799" s="47"/>
    </row>
    <row r="800" spans="1:16" ht="12" customHeight="1" x14ac:dyDescent="0.3">
      <c r="A800" s="32">
        <v>7</v>
      </c>
      <c r="B800" s="46"/>
      <c r="C800" s="46"/>
      <c r="H800" s="32">
        <v>1</v>
      </c>
      <c r="K800" s="32">
        <v>1</v>
      </c>
      <c r="M800" s="32">
        <f t="shared" si="143"/>
        <v>9</v>
      </c>
      <c r="N800" s="32" t="str">
        <f t="shared" si="147"/>
        <v>09</v>
      </c>
      <c r="P800" s="47"/>
    </row>
    <row r="801" spans="1:16" ht="12" customHeight="1" x14ac:dyDescent="0.3">
      <c r="A801" s="32">
        <v>8</v>
      </c>
      <c r="B801" s="46"/>
      <c r="C801" s="46"/>
      <c r="I801" s="32">
        <v>1</v>
      </c>
      <c r="J801" s="32">
        <v>1</v>
      </c>
      <c r="M801" s="32">
        <f t="shared" si="143"/>
        <v>6</v>
      </c>
      <c r="N801" s="32" t="str">
        <f t="shared" si="147"/>
        <v>06</v>
      </c>
      <c r="P801" s="47"/>
    </row>
    <row r="802" spans="1:16" ht="12" customHeight="1" x14ac:dyDescent="0.3">
      <c r="A802" s="32">
        <v>9</v>
      </c>
      <c r="B802" s="46"/>
      <c r="C802" s="46"/>
      <c r="M802" s="32">
        <f t="shared" si="143"/>
        <v>0</v>
      </c>
      <c r="N802" s="32" t="str">
        <f t="shared" si="147"/>
        <v>00</v>
      </c>
      <c r="P802" s="47"/>
    </row>
    <row r="803" spans="1:16" ht="12" customHeight="1" x14ac:dyDescent="0.3">
      <c r="A803" s="32">
        <v>10</v>
      </c>
      <c r="B803" s="46"/>
      <c r="C803" s="46"/>
      <c r="M803" s="32">
        <f t="shared" si="143"/>
        <v>0</v>
      </c>
      <c r="N803" s="32" t="str">
        <f t="shared" si="147"/>
        <v>00</v>
      </c>
      <c r="P803" s="47"/>
    </row>
    <row r="804" spans="1:16" ht="12" customHeight="1" x14ac:dyDescent="0.3">
      <c r="A804" s="32">
        <v>1</v>
      </c>
      <c r="B804" s="46">
        <v>112</v>
      </c>
      <c r="C804" s="46" t="str">
        <f t="shared" si="145"/>
        <v>p</v>
      </c>
      <c r="M804" s="32">
        <f t="shared" si="143"/>
        <v>0</v>
      </c>
      <c r="N804" s="32" t="str">
        <f t="shared" si="147"/>
        <v>00</v>
      </c>
      <c r="P804" s="47" t="str">
        <f t="shared" ref="P804" si="149">CONCATENATE("0x",N804,",0x",N805,",0x",N806,",0x",N807,",0x",N808,",0x",N809,",0x",N810,",0x",N811,",0x",N812,",0x",N813,", //",C804)</f>
        <v>0x00,0x00,0x00,0x0E,0x09,0x09,0x09,0x0E,0x08,0x08, //p</v>
      </c>
    </row>
    <row r="805" spans="1:16" ht="12" customHeight="1" x14ac:dyDescent="0.3">
      <c r="A805" s="32">
        <v>2</v>
      </c>
      <c r="B805" s="46"/>
      <c r="C805" s="46"/>
      <c r="M805" s="32">
        <f t="shared" si="143"/>
        <v>0</v>
      </c>
      <c r="N805" s="32" t="str">
        <f t="shared" si="147"/>
        <v>00</v>
      </c>
      <c r="P805" s="47"/>
    </row>
    <row r="806" spans="1:16" ht="12" customHeight="1" x14ac:dyDescent="0.3">
      <c r="A806" s="32">
        <v>3</v>
      </c>
      <c r="B806" s="46"/>
      <c r="C806" s="46"/>
      <c r="M806" s="32">
        <f t="shared" si="143"/>
        <v>0</v>
      </c>
      <c r="N806" s="32" t="str">
        <f t="shared" si="147"/>
        <v>00</v>
      </c>
      <c r="P806" s="47"/>
    </row>
    <row r="807" spans="1:16" ht="12" customHeight="1" x14ac:dyDescent="0.3">
      <c r="A807" s="32">
        <v>4</v>
      </c>
      <c r="B807" s="46"/>
      <c r="C807" s="46"/>
      <c r="H807" s="32">
        <v>1</v>
      </c>
      <c r="I807" s="32">
        <v>1</v>
      </c>
      <c r="J807" s="32">
        <v>1</v>
      </c>
      <c r="M807" s="32">
        <f t="shared" si="143"/>
        <v>14</v>
      </c>
      <c r="N807" s="32" t="str">
        <f t="shared" si="147"/>
        <v>0E</v>
      </c>
      <c r="P807" s="47"/>
    </row>
    <row r="808" spans="1:16" ht="12" customHeight="1" x14ac:dyDescent="0.3">
      <c r="A808" s="32">
        <v>5</v>
      </c>
      <c r="B808" s="46"/>
      <c r="C808" s="46"/>
      <c r="H808" s="32">
        <v>1</v>
      </c>
      <c r="K808" s="32">
        <v>1</v>
      </c>
      <c r="M808" s="32">
        <f t="shared" si="143"/>
        <v>9</v>
      </c>
      <c r="N808" s="32" t="str">
        <f t="shared" si="147"/>
        <v>09</v>
      </c>
      <c r="P808" s="47"/>
    </row>
    <row r="809" spans="1:16" ht="12" customHeight="1" x14ac:dyDescent="0.3">
      <c r="A809" s="32">
        <v>6</v>
      </c>
      <c r="B809" s="46"/>
      <c r="C809" s="46"/>
      <c r="H809" s="32">
        <v>1</v>
      </c>
      <c r="K809" s="32">
        <v>1</v>
      </c>
      <c r="M809" s="32">
        <f t="shared" si="143"/>
        <v>9</v>
      </c>
      <c r="N809" s="32" t="str">
        <f t="shared" si="147"/>
        <v>09</v>
      </c>
      <c r="P809" s="47"/>
    </row>
    <row r="810" spans="1:16" ht="12" customHeight="1" x14ac:dyDescent="0.3">
      <c r="A810" s="32">
        <v>7</v>
      </c>
      <c r="B810" s="46"/>
      <c r="C810" s="46"/>
      <c r="H810" s="32">
        <v>1</v>
      </c>
      <c r="K810" s="32">
        <v>1</v>
      </c>
      <c r="M810" s="32">
        <f t="shared" si="143"/>
        <v>9</v>
      </c>
      <c r="N810" s="32" t="str">
        <f t="shared" si="147"/>
        <v>09</v>
      </c>
      <c r="P810" s="47"/>
    </row>
    <row r="811" spans="1:16" ht="12" customHeight="1" x14ac:dyDescent="0.3">
      <c r="A811" s="32">
        <v>8</v>
      </c>
      <c r="B811" s="46"/>
      <c r="C811" s="46"/>
      <c r="H811" s="32">
        <v>1</v>
      </c>
      <c r="I811" s="32">
        <v>1</v>
      </c>
      <c r="J811" s="32">
        <v>1</v>
      </c>
      <c r="M811" s="32">
        <f t="shared" si="143"/>
        <v>14</v>
      </c>
      <c r="N811" s="32" t="str">
        <f t="shared" si="147"/>
        <v>0E</v>
      </c>
      <c r="P811" s="47"/>
    </row>
    <row r="812" spans="1:16" ht="12" customHeight="1" x14ac:dyDescent="0.3">
      <c r="A812" s="32">
        <v>9</v>
      </c>
      <c r="B812" s="46"/>
      <c r="C812" s="46"/>
      <c r="H812" s="32">
        <v>1</v>
      </c>
      <c r="M812" s="32">
        <f t="shared" si="143"/>
        <v>8</v>
      </c>
      <c r="N812" s="32" t="str">
        <f t="shared" si="147"/>
        <v>08</v>
      </c>
      <c r="P812" s="47"/>
    </row>
    <row r="813" spans="1:16" ht="12" customHeight="1" x14ac:dyDescent="0.3">
      <c r="A813" s="32">
        <v>10</v>
      </c>
      <c r="B813" s="46"/>
      <c r="C813" s="46"/>
      <c r="H813" s="32">
        <v>1</v>
      </c>
      <c r="M813" s="32">
        <f t="shared" si="143"/>
        <v>8</v>
      </c>
      <c r="N813" s="32" t="str">
        <f t="shared" si="147"/>
        <v>08</v>
      </c>
      <c r="P813" s="47"/>
    </row>
    <row r="814" spans="1:16" ht="12" customHeight="1" x14ac:dyDescent="0.3">
      <c r="A814" s="32">
        <v>1</v>
      </c>
      <c r="B814" s="46">
        <v>113</v>
      </c>
      <c r="C814" s="46" t="str">
        <f t="shared" ref="C814" si="150">CHAR(B814)</f>
        <v>q</v>
      </c>
      <c r="M814" s="32">
        <f t="shared" si="143"/>
        <v>0</v>
      </c>
      <c r="N814" s="32" t="str">
        <f t="shared" si="147"/>
        <v>00</v>
      </c>
      <c r="P814" s="47" t="str">
        <f t="shared" ref="P814" si="151">CONCATENATE("0x",N814,",0x",N815,",0x",N816,",0x",N817,",0x",N818,",0x",N819,",0x",N820,",0x",N821,",0x",N822,",0x",N823,", //",C814)</f>
        <v>0x00,0x00,0x00,0x06,0x09,0x09,0x09,0x07,0x01,0x01, //q</v>
      </c>
    </row>
    <row r="815" spans="1:16" ht="12" customHeight="1" x14ac:dyDescent="0.3">
      <c r="A815" s="32">
        <v>2</v>
      </c>
      <c r="B815" s="46"/>
      <c r="C815" s="46"/>
      <c r="M815" s="32">
        <f t="shared" si="143"/>
        <v>0</v>
      </c>
      <c r="N815" s="32" t="str">
        <f t="shared" si="147"/>
        <v>00</v>
      </c>
      <c r="P815" s="47"/>
    </row>
    <row r="816" spans="1:16" ht="12" customHeight="1" x14ac:dyDescent="0.3">
      <c r="A816" s="32">
        <v>3</v>
      </c>
      <c r="B816" s="46"/>
      <c r="C816" s="46"/>
      <c r="M816" s="32">
        <f t="shared" si="143"/>
        <v>0</v>
      </c>
      <c r="N816" s="32" t="str">
        <f t="shared" si="147"/>
        <v>00</v>
      </c>
      <c r="P816" s="47"/>
    </row>
    <row r="817" spans="1:16" ht="12" customHeight="1" x14ac:dyDescent="0.3">
      <c r="A817" s="32">
        <v>4</v>
      </c>
      <c r="B817" s="46"/>
      <c r="C817" s="46"/>
      <c r="I817" s="32">
        <v>1</v>
      </c>
      <c r="J817" s="32">
        <v>1</v>
      </c>
      <c r="M817" s="32">
        <f t="shared" si="143"/>
        <v>6</v>
      </c>
      <c r="N817" s="32" t="str">
        <f t="shared" si="147"/>
        <v>06</v>
      </c>
      <c r="P817" s="47"/>
    </row>
    <row r="818" spans="1:16" ht="12" customHeight="1" x14ac:dyDescent="0.3">
      <c r="A818" s="32">
        <v>5</v>
      </c>
      <c r="B818" s="46"/>
      <c r="C818" s="46"/>
      <c r="H818" s="32">
        <v>1</v>
      </c>
      <c r="K818" s="32">
        <v>1</v>
      </c>
      <c r="M818" s="32">
        <f t="shared" si="143"/>
        <v>9</v>
      </c>
      <c r="N818" s="32" t="str">
        <f t="shared" si="147"/>
        <v>09</v>
      </c>
      <c r="P818" s="47"/>
    </row>
    <row r="819" spans="1:16" ht="12" customHeight="1" x14ac:dyDescent="0.3">
      <c r="A819" s="32">
        <v>6</v>
      </c>
      <c r="B819" s="46"/>
      <c r="C819" s="46"/>
      <c r="H819" s="32">
        <v>1</v>
      </c>
      <c r="K819" s="32">
        <v>1</v>
      </c>
      <c r="M819" s="32">
        <f t="shared" si="143"/>
        <v>9</v>
      </c>
      <c r="N819" s="32" t="str">
        <f t="shared" si="147"/>
        <v>09</v>
      </c>
      <c r="P819" s="47"/>
    </row>
    <row r="820" spans="1:16" ht="12" customHeight="1" x14ac:dyDescent="0.3">
      <c r="A820" s="32">
        <v>7</v>
      </c>
      <c r="B820" s="46"/>
      <c r="C820" s="46"/>
      <c r="H820" s="32">
        <v>1</v>
      </c>
      <c r="K820" s="32">
        <v>1</v>
      </c>
      <c r="M820" s="32">
        <f t="shared" si="143"/>
        <v>9</v>
      </c>
      <c r="N820" s="32" t="str">
        <f t="shared" si="147"/>
        <v>09</v>
      </c>
      <c r="P820" s="47"/>
    </row>
    <row r="821" spans="1:16" ht="12" customHeight="1" x14ac:dyDescent="0.3">
      <c r="A821" s="32">
        <v>8</v>
      </c>
      <c r="B821" s="46"/>
      <c r="C821" s="46"/>
      <c r="I821" s="32">
        <v>1</v>
      </c>
      <c r="J821" s="32">
        <v>1</v>
      </c>
      <c r="K821" s="32">
        <v>1</v>
      </c>
      <c r="M821" s="32">
        <f t="shared" si="143"/>
        <v>7</v>
      </c>
      <c r="N821" s="32" t="str">
        <f t="shared" si="147"/>
        <v>07</v>
      </c>
      <c r="P821" s="47"/>
    </row>
    <row r="822" spans="1:16" ht="12" customHeight="1" x14ac:dyDescent="0.3">
      <c r="A822" s="32">
        <v>9</v>
      </c>
      <c r="B822" s="46"/>
      <c r="C822" s="46"/>
      <c r="K822" s="32">
        <v>1</v>
      </c>
      <c r="M822" s="32">
        <f t="shared" si="143"/>
        <v>1</v>
      </c>
      <c r="N822" s="32" t="str">
        <f t="shared" si="147"/>
        <v>01</v>
      </c>
      <c r="P822" s="47"/>
    </row>
    <row r="823" spans="1:16" ht="12" customHeight="1" x14ac:dyDescent="0.3">
      <c r="A823" s="32">
        <v>10</v>
      </c>
      <c r="B823" s="46"/>
      <c r="C823" s="46"/>
      <c r="K823" s="32">
        <v>1</v>
      </c>
      <c r="M823" s="32">
        <f t="shared" si="143"/>
        <v>1</v>
      </c>
      <c r="N823" s="32" t="str">
        <f t="shared" si="147"/>
        <v>01</v>
      </c>
      <c r="P823" s="47"/>
    </row>
    <row r="824" spans="1:16" ht="12" customHeight="1" x14ac:dyDescent="0.3">
      <c r="A824" s="32">
        <v>1</v>
      </c>
      <c r="B824" s="46">
        <v>114</v>
      </c>
      <c r="C824" s="46" t="str">
        <f t="shared" ref="C824:C854" si="152">CHAR(B824)</f>
        <v>r</v>
      </c>
      <c r="M824" s="32">
        <f t="shared" si="143"/>
        <v>0</v>
      </c>
      <c r="N824" s="32" t="str">
        <f t="shared" ref="N824:N856" si="153">DEC2HEX(M824,2)</f>
        <v>00</v>
      </c>
      <c r="P824" s="47" t="str">
        <f t="shared" ref="P824" si="154">CONCATENATE("0x",N824,",0x",N825,",0x",N826,",0x",N827,",0x",N828,",0x",N829,",0x",N830,",0x",N831,",0x",N832,",0x",N833,", //",C824)</f>
        <v>0x00,0x00,0x00,0x05,0x06,0x04,0x04,0x04,0x00,0x00, //r</v>
      </c>
    </row>
    <row r="825" spans="1:16" ht="12" customHeight="1" x14ac:dyDescent="0.3">
      <c r="A825" s="32">
        <v>2</v>
      </c>
      <c r="B825" s="46"/>
      <c r="C825" s="46"/>
      <c r="M825" s="32">
        <f t="shared" si="143"/>
        <v>0</v>
      </c>
      <c r="N825" s="32" t="str">
        <f t="shared" si="153"/>
        <v>00</v>
      </c>
      <c r="P825" s="47"/>
    </row>
    <row r="826" spans="1:16" ht="12" customHeight="1" x14ac:dyDescent="0.3">
      <c r="A826" s="32">
        <v>3</v>
      </c>
      <c r="B826" s="46"/>
      <c r="C826" s="46"/>
      <c r="M826" s="32">
        <f t="shared" si="143"/>
        <v>0</v>
      </c>
      <c r="N826" s="32" t="str">
        <f t="shared" si="153"/>
        <v>00</v>
      </c>
      <c r="P826" s="47"/>
    </row>
    <row r="827" spans="1:16" ht="12" customHeight="1" x14ac:dyDescent="0.3">
      <c r="A827" s="32">
        <v>4</v>
      </c>
      <c r="B827" s="46"/>
      <c r="C827" s="46"/>
      <c r="I827" s="32">
        <v>1</v>
      </c>
      <c r="K827" s="32">
        <v>1</v>
      </c>
      <c r="M827" s="32">
        <f t="shared" si="143"/>
        <v>5</v>
      </c>
      <c r="N827" s="32" t="str">
        <f t="shared" si="153"/>
        <v>05</v>
      </c>
      <c r="P827" s="47"/>
    </row>
    <row r="828" spans="1:16" ht="12" customHeight="1" x14ac:dyDescent="0.3">
      <c r="A828" s="32">
        <v>5</v>
      </c>
      <c r="B828" s="46"/>
      <c r="C828" s="46"/>
      <c r="I828" s="32">
        <v>1</v>
      </c>
      <c r="J828" s="32">
        <v>1</v>
      </c>
      <c r="M828" s="32">
        <f t="shared" si="143"/>
        <v>6</v>
      </c>
      <c r="N828" s="32" t="str">
        <f t="shared" si="153"/>
        <v>06</v>
      </c>
      <c r="P828" s="47"/>
    </row>
    <row r="829" spans="1:16" ht="12" customHeight="1" x14ac:dyDescent="0.3">
      <c r="A829" s="32">
        <v>6</v>
      </c>
      <c r="B829" s="46"/>
      <c r="C829" s="46"/>
      <c r="I829" s="32">
        <v>1</v>
      </c>
      <c r="M829" s="32">
        <f t="shared" si="143"/>
        <v>4</v>
      </c>
      <c r="N829" s="32" t="str">
        <f t="shared" si="153"/>
        <v>04</v>
      </c>
      <c r="P829" s="47"/>
    </row>
    <row r="830" spans="1:16" ht="12" customHeight="1" x14ac:dyDescent="0.3">
      <c r="A830" s="32">
        <v>7</v>
      </c>
      <c r="B830" s="46"/>
      <c r="C830" s="46"/>
      <c r="I830" s="32">
        <v>1</v>
      </c>
      <c r="M830" s="32">
        <f t="shared" si="143"/>
        <v>4</v>
      </c>
      <c r="N830" s="32" t="str">
        <f t="shared" si="153"/>
        <v>04</v>
      </c>
      <c r="P830" s="47"/>
    </row>
    <row r="831" spans="1:16" ht="12" customHeight="1" x14ac:dyDescent="0.3">
      <c r="A831" s="32">
        <v>8</v>
      </c>
      <c r="B831" s="46"/>
      <c r="C831" s="46"/>
      <c r="I831" s="32">
        <v>1</v>
      </c>
      <c r="M831" s="32">
        <f t="shared" si="143"/>
        <v>4</v>
      </c>
      <c r="N831" s="32" t="str">
        <f t="shared" si="153"/>
        <v>04</v>
      </c>
      <c r="P831" s="47"/>
    </row>
    <row r="832" spans="1:16" ht="12" customHeight="1" x14ac:dyDescent="0.3">
      <c r="A832" s="32">
        <v>9</v>
      </c>
      <c r="B832" s="46"/>
      <c r="C832" s="46"/>
      <c r="M832" s="32">
        <f t="shared" si="143"/>
        <v>0</v>
      </c>
      <c r="N832" s="32" t="str">
        <f t="shared" si="153"/>
        <v>00</v>
      </c>
      <c r="P832" s="47"/>
    </row>
    <row r="833" spans="1:16" ht="12" customHeight="1" x14ac:dyDescent="0.3">
      <c r="A833" s="32">
        <v>10</v>
      </c>
      <c r="B833" s="46"/>
      <c r="C833" s="46"/>
      <c r="M833" s="32">
        <f t="shared" ref="M833:M896" si="155">G833*G$2+H833*H$2+I833*I$2+J833*J$2+K833*K$2+F833*F$2+E833*E$2+D833*D$2</f>
        <v>0</v>
      </c>
      <c r="N833" s="32" t="str">
        <f t="shared" si="153"/>
        <v>00</v>
      </c>
      <c r="P833" s="47"/>
    </row>
    <row r="834" spans="1:16" ht="12" customHeight="1" x14ac:dyDescent="0.3">
      <c r="A834" s="32">
        <v>1</v>
      </c>
      <c r="B834" s="46">
        <v>115</v>
      </c>
      <c r="C834" s="46" t="str">
        <f t="shared" si="152"/>
        <v>s</v>
      </c>
      <c r="M834" s="32">
        <f t="shared" si="155"/>
        <v>0</v>
      </c>
      <c r="N834" s="32" t="str">
        <f t="shared" si="153"/>
        <v>00</v>
      </c>
      <c r="P834" s="47" t="str">
        <f t="shared" ref="P834" si="156">CONCATENATE("0x",N834,",0x",N835,",0x",N836,",0x",N837,",0x",N838,",0x",N839,",0x",N840,",0x",N841,",0x",N842,",0x",N843,", //",C834)</f>
        <v>0x00,0x00,0x00,0x07,0x08,0x06,0x01,0x0E,0x00,0x00, //s</v>
      </c>
    </row>
    <row r="835" spans="1:16" ht="12" customHeight="1" x14ac:dyDescent="0.3">
      <c r="A835" s="32">
        <v>2</v>
      </c>
      <c r="B835" s="46"/>
      <c r="C835" s="46"/>
      <c r="M835" s="32">
        <f t="shared" si="155"/>
        <v>0</v>
      </c>
      <c r="N835" s="32" t="str">
        <f t="shared" si="153"/>
        <v>00</v>
      </c>
      <c r="P835" s="47"/>
    </row>
    <row r="836" spans="1:16" ht="12" customHeight="1" x14ac:dyDescent="0.3">
      <c r="A836" s="32">
        <v>3</v>
      </c>
      <c r="B836" s="46"/>
      <c r="C836" s="46"/>
      <c r="M836" s="32">
        <f t="shared" si="155"/>
        <v>0</v>
      </c>
      <c r="N836" s="32" t="str">
        <f t="shared" si="153"/>
        <v>00</v>
      </c>
      <c r="P836" s="47"/>
    </row>
    <row r="837" spans="1:16" ht="12" customHeight="1" x14ac:dyDescent="0.3">
      <c r="A837" s="32">
        <v>4</v>
      </c>
      <c r="B837" s="46"/>
      <c r="C837" s="46"/>
      <c r="I837" s="32">
        <v>1</v>
      </c>
      <c r="J837" s="32">
        <v>1</v>
      </c>
      <c r="K837" s="32">
        <v>1</v>
      </c>
      <c r="M837" s="32">
        <f t="shared" si="155"/>
        <v>7</v>
      </c>
      <c r="N837" s="32" t="str">
        <f t="shared" si="153"/>
        <v>07</v>
      </c>
      <c r="P837" s="47"/>
    </row>
    <row r="838" spans="1:16" ht="12" customHeight="1" x14ac:dyDescent="0.3">
      <c r="A838" s="32">
        <v>5</v>
      </c>
      <c r="B838" s="46"/>
      <c r="C838" s="46"/>
      <c r="H838" s="32">
        <v>1</v>
      </c>
      <c r="M838" s="32">
        <f t="shared" si="155"/>
        <v>8</v>
      </c>
      <c r="N838" s="32" t="str">
        <f t="shared" si="153"/>
        <v>08</v>
      </c>
      <c r="P838" s="47"/>
    </row>
    <row r="839" spans="1:16" ht="12" customHeight="1" x14ac:dyDescent="0.3">
      <c r="A839" s="32">
        <v>6</v>
      </c>
      <c r="B839" s="46"/>
      <c r="C839" s="46"/>
      <c r="I839" s="32">
        <v>1</v>
      </c>
      <c r="J839" s="32">
        <v>1</v>
      </c>
      <c r="M839" s="32">
        <f t="shared" si="155"/>
        <v>6</v>
      </c>
      <c r="N839" s="32" t="str">
        <f t="shared" si="153"/>
        <v>06</v>
      </c>
      <c r="P839" s="47"/>
    </row>
    <row r="840" spans="1:16" ht="12" customHeight="1" x14ac:dyDescent="0.3">
      <c r="A840" s="32">
        <v>7</v>
      </c>
      <c r="B840" s="46"/>
      <c r="C840" s="46"/>
      <c r="K840" s="32">
        <v>1</v>
      </c>
      <c r="M840" s="32">
        <f t="shared" si="155"/>
        <v>1</v>
      </c>
      <c r="N840" s="32" t="str">
        <f t="shared" si="153"/>
        <v>01</v>
      </c>
      <c r="P840" s="47"/>
    </row>
    <row r="841" spans="1:16" ht="12" customHeight="1" x14ac:dyDescent="0.3">
      <c r="A841" s="32">
        <v>8</v>
      </c>
      <c r="B841" s="46"/>
      <c r="C841" s="46"/>
      <c r="H841" s="32">
        <v>1</v>
      </c>
      <c r="I841" s="32">
        <v>1</v>
      </c>
      <c r="J841" s="32">
        <v>1</v>
      </c>
      <c r="M841" s="32">
        <f t="shared" si="155"/>
        <v>14</v>
      </c>
      <c r="N841" s="32" t="str">
        <f t="shared" si="153"/>
        <v>0E</v>
      </c>
      <c r="P841" s="47"/>
    </row>
    <row r="842" spans="1:16" ht="12" customHeight="1" x14ac:dyDescent="0.3">
      <c r="A842" s="32">
        <v>9</v>
      </c>
      <c r="B842" s="46"/>
      <c r="C842" s="46"/>
      <c r="M842" s="32">
        <f t="shared" si="155"/>
        <v>0</v>
      </c>
      <c r="N842" s="32" t="str">
        <f t="shared" si="153"/>
        <v>00</v>
      </c>
      <c r="P842" s="47"/>
    </row>
    <row r="843" spans="1:16" ht="12" customHeight="1" x14ac:dyDescent="0.3">
      <c r="A843" s="32">
        <v>10</v>
      </c>
      <c r="B843" s="46"/>
      <c r="C843" s="46"/>
      <c r="M843" s="32">
        <f t="shared" si="155"/>
        <v>0</v>
      </c>
      <c r="N843" s="32" t="str">
        <f t="shared" si="153"/>
        <v>00</v>
      </c>
      <c r="P843" s="47"/>
    </row>
    <row r="844" spans="1:16" ht="12" customHeight="1" x14ac:dyDescent="0.3">
      <c r="A844" s="32">
        <v>1</v>
      </c>
      <c r="B844" s="46">
        <v>116</v>
      </c>
      <c r="C844" s="46" t="str">
        <f t="shared" si="152"/>
        <v>t</v>
      </c>
      <c r="M844" s="32">
        <f t="shared" si="155"/>
        <v>0</v>
      </c>
      <c r="N844" s="32" t="str">
        <f t="shared" si="153"/>
        <v>00</v>
      </c>
      <c r="P844" s="47" t="str">
        <f t="shared" ref="P844" si="157">CONCATENATE("0x",N844,",0x",N845,",0x",N846,",0x",N847,",0x",N848,",0x",N849,",0x",N850,",0x",N851,",0x",N852,",0x",N853,", //",C844)</f>
        <v>0x00,0x02,0x02,0x07,0x02,0x02,0x02,0x03,0x00,0x00, //t</v>
      </c>
    </row>
    <row r="845" spans="1:16" ht="12" customHeight="1" x14ac:dyDescent="0.3">
      <c r="A845" s="32">
        <v>2</v>
      </c>
      <c r="B845" s="46"/>
      <c r="C845" s="46"/>
      <c r="J845" s="32">
        <v>1</v>
      </c>
      <c r="M845" s="32">
        <f t="shared" si="155"/>
        <v>2</v>
      </c>
      <c r="N845" s="32" t="str">
        <f t="shared" si="153"/>
        <v>02</v>
      </c>
      <c r="P845" s="47"/>
    </row>
    <row r="846" spans="1:16" ht="12" customHeight="1" x14ac:dyDescent="0.3">
      <c r="A846" s="32">
        <v>3</v>
      </c>
      <c r="B846" s="46"/>
      <c r="C846" s="46"/>
      <c r="J846" s="32">
        <v>1</v>
      </c>
      <c r="M846" s="32">
        <f t="shared" si="155"/>
        <v>2</v>
      </c>
      <c r="N846" s="32" t="str">
        <f t="shared" si="153"/>
        <v>02</v>
      </c>
      <c r="P846" s="47"/>
    </row>
    <row r="847" spans="1:16" ht="12" customHeight="1" x14ac:dyDescent="0.3">
      <c r="A847" s="32">
        <v>4</v>
      </c>
      <c r="B847" s="46"/>
      <c r="C847" s="46"/>
      <c r="I847" s="32">
        <v>1</v>
      </c>
      <c r="J847" s="32">
        <v>1</v>
      </c>
      <c r="K847" s="32">
        <v>1</v>
      </c>
      <c r="M847" s="32">
        <f t="shared" si="155"/>
        <v>7</v>
      </c>
      <c r="N847" s="32" t="str">
        <f t="shared" si="153"/>
        <v>07</v>
      </c>
      <c r="P847" s="47"/>
    </row>
    <row r="848" spans="1:16" ht="12" customHeight="1" x14ac:dyDescent="0.3">
      <c r="A848" s="32">
        <v>5</v>
      </c>
      <c r="B848" s="46"/>
      <c r="C848" s="46"/>
      <c r="J848" s="32">
        <v>1</v>
      </c>
      <c r="M848" s="32">
        <f t="shared" si="155"/>
        <v>2</v>
      </c>
      <c r="N848" s="32" t="str">
        <f t="shared" si="153"/>
        <v>02</v>
      </c>
      <c r="P848" s="47"/>
    </row>
    <row r="849" spans="1:16" ht="12" customHeight="1" x14ac:dyDescent="0.3">
      <c r="A849" s="32">
        <v>6</v>
      </c>
      <c r="B849" s="46"/>
      <c r="C849" s="46"/>
      <c r="J849" s="32">
        <v>1</v>
      </c>
      <c r="M849" s="32">
        <f t="shared" si="155"/>
        <v>2</v>
      </c>
      <c r="N849" s="32" t="str">
        <f t="shared" si="153"/>
        <v>02</v>
      </c>
      <c r="P849" s="47"/>
    </row>
    <row r="850" spans="1:16" ht="12" customHeight="1" x14ac:dyDescent="0.3">
      <c r="A850" s="32">
        <v>7</v>
      </c>
      <c r="B850" s="46"/>
      <c r="C850" s="46"/>
      <c r="J850" s="32">
        <v>1</v>
      </c>
      <c r="M850" s="32">
        <f t="shared" si="155"/>
        <v>2</v>
      </c>
      <c r="N850" s="32" t="str">
        <f t="shared" si="153"/>
        <v>02</v>
      </c>
      <c r="P850" s="47"/>
    </row>
    <row r="851" spans="1:16" ht="12" customHeight="1" x14ac:dyDescent="0.3">
      <c r="A851" s="32">
        <v>8</v>
      </c>
      <c r="B851" s="46"/>
      <c r="C851" s="46"/>
      <c r="J851" s="32">
        <v>1</v>
      </c>
      <c r="K851" s="32">
        <v>1</v>
      </c>
      <c r="M851" s="32">
        <f t="shared" si="155"/>
        <v>3</v>
      </c>
      <c r="N851" s="32" t="str">
        <f t="shared" si="153"/>
        <v>03</v>
      </c>
      <c r="P851" s="47"/>
    </row>
    <row r="852" spans="1:16" ht="12" customHeight="1" x14ac:dyDescent="0.3">
      <c r="A852" s="32">
        <v>9</v>
      </c>
      <c r="B852" s="46"/>
      <c r="C852" s="46"/>
      <c r="M852" s="32">
        <f t="shared" si="155"/>
        <v>0</v>
      </c>
      <c r="N852" s="32" t="str">
        <f t="shared" si="153"/>
        <v>00</v>
      </c>
      <c r="P852" s="47"/>
    </row>
    <row r="853" spans="1:16" ht="12" customHeight="1" x14ac:dyDescent="0.3">
      <c r="A853" s="32">
        <v>10</v>
      </c>
      <c r="B853" s="46"/>
      <c r="C853" s="46"/>
      <c r="M853" s="32">
        <f t="shared" si="155"/>
        <v>0</v>
      </c>
      <c r="N853" s="32" t="str">
        <f t="shared" si="153"/>
        <v>00</v>
      </c>
      <c r="P853" s="47"/>
    </row>
    <row r="854" spans="1:16" ht="12" customHeight="1" x14ac:dyDescent="0.3">
      <c r="A854" s="32">
        <v>1</v>
      </c>
      <c r="B854" s="46">
        <v>117</v>
      </c>
      <c r="C854" s="46" t="str">
        <f t="shared" si="152"/>
        <v>u</v>
      </c>
      <c r="M854" s="32">
        <f t="shared" si="155"/>
        <v>0</v>
      </c>
      <c r="N854" s="32" t="str">
        <f t="shared" si="153"/>
        <v>00</v>
      </c>
      <c r="P854" s="47" t="str">
        <f t="shared" ref="P854" si="158">CONCATENATE("0x",N854,",0x",N855,",0x",N856,",0x",N857,",0x",N858,",0x",N859,",0x",N860,",0x",N861,",0x",N862,",0x",N863,", //",C854)</f>
        <v>0x00,0x00,0x00,0x09,0x09,0x09,0x09,0x06,0x00,0x00, //u</v>
      </c>
    </row>
    <row r="855" spans="1:16" ht="12" customHeight="1" x14ac:dyDescent="0.3">
      <c r="A855" s="32">
        <v>2</v>
      </c>
      <c r="B855" s="46"/>
      <c r="C855" s="46"/>
      <c r="M855" s="32">
        <f t="shared" si="155"/>
        <v>0</v>
      </c>
      <c r="N855" s="32" t="str">
        <f t="shared" si="153"/>
        <v>00</v>
      </c>
      <c r="P855" s="47"/>
    </row>
    <row r="856" spans="1:16" ht="12" customHeight="1" x14ac:dyDescent="0.3">
      <c r="A856" s="32">
        <v>3</v>
      </c>
      <c r="B856" s="46"/>
      <c r="C856" s="46"/>
      <c r="M856" s="32">
        <f t="shared" si="155"/>
        <v>0</v>
      </c>
      <c r="N856" s="32" t="str">
        <f t="shared" si="153"/>
        <v>00</v>
      </c>
      <c r="P856" s="47"/>
    </row>
    <row r="857" spans="1:16" ht="12" customHeight="1" x14ac:dyDescent="0.3">
      <c r="A857" s="32">
        <v>4</v>
      </c>
      <c r="B857" s="46"/>
      <c r="C857" s="46"/>
      <c r="H857" s="32">
        <v>1</v>
      </c>
      <c r="K857" s="32">
        <v>1</v>
      </c>
      <c r="M857" s="32">
        <f t="shared" si="155"/>
        <v>9</v>
      </c>
      <c r="N857" s="32" t="str">
        <f t="shared" ref="N857:N890" si="159">DEC2HEX(M857,2)</f>
        <v>09</v>
      </c>
      <c r="P857" s="47"/>
    </row>
    <row r="858" spans="1:16" ht="12" customHeight="1" x14ac:dyDescent="0.3">
      <c r="A858" s="32">
        <v>5</v>
      </c>
      <c r="B858" s="46"/>
      <c r="C858" s="46"/>
      <c r="H858" s="32">
        <v>1</v>
      </c>
      <c r="K858" s="32">
        <v>1</v>
      </c>
      <c r="M858" s="32">
        <f t="shared" si="155"/>
        <v>9</v>
      </c>
      <c r="N858" s="32" t="str">
        <f t="shared" si="159"/>
        <v>09</v>
      </c>
      <c r="P858" s="47"/>
    </row>
    <row r="859" spans="1:16" ht="12" customHeight="1" x14ac:dyDescent="0.3">
      <c r="A859" s="32">
        <v>6</v>
      </c>
      <c r="B859" s="46"/>
      <c r="C859" s="46"/>
      <c r="H859" s="32">
        <v>1</v>
      </c>
      <c r="K859" s="32">
        <v>1</v>
      </c>
      <c r="M859" s="32">
        <f t="shared" si="155"/>
        <v>9</v>
      </c>
      <c r="N859" s="32" t="str">
        <f t="shared" si="159"/>
        <v>09</v>
      </c>
      <c r="P859" s="47"/>
    </row>
    <row r="860" spans="1:16" ht="12" customHeight="1" x14ac:dyDescent="0.3">
      <c r="A860" s="32">
        <v>7</v>
      </c>
      <c r="B860" s="46"/>
      <c r="C860" s="46"/>
      <c r="H860" s="32">
        <v>1</v>
      </c>
      <c r="K860" s="32">
        <v>1</v>
      </c>
      <c r="M860" s="32">
        <f t="shared" si="155"/>
        <v>9</v>
      </c>
      <c r="N860" s="32" t="str">
        <f t="shared" si="159"/>
        <v>09</v>
      </c>
      <c r="P860" s="47"/>
    </row>
    <row r="861" spans="1:16" ht="12" customHeight="1" x14ac:dyDescent="0.3">
      <c r="A861" s="32">
        <v>8</v>
      </c>
      <c r="B861" s="46"/>
      <c r="C861" s="46"/>
      <c r="I861" s="32">
        <v>1</v>
      </c>
      <c r="J861" s="32">
        <v>1</v>
      </c>
      <c r="M861" s="32">
        <f t="shared" si="155"/>
        <v>6</v>
      </c>
      <c r="N861" s="32" t="str">
        <f t="shared" si="159"/>
        <v>06</v>
      </c>
      <c r="P861" s="47"/>
    </row>
    <row r="862" spans="1:16" ht="12" customHeight="1" x14ac:dyDescent="0.3">
      <c r="A862" s="32">
        <v>9</v>
      </c>
      <c r="B862" s="46"/>
      <c r="C862" s="46"/>
      <c r="M862" s="32">
        <f t="shared" si="155"/>
        <v>0</v>
      </c>
      <c r="N862" s="32" t="str">
        <f t="shared" si="159"/>
        <v>00</v>
      </c>
      <c r="P862" s="47"/>
    </row>
    <row r="863" spans="1:16" ht="12" customHeight="1" x14ac:dyDescent="0.3">
      <c r="A863" s="32">
        <v>10</v>
      </c>
      <c r="B863" s="46"/>
      <c r="C863" s="46"/>
      <c r="M863" s="32">
        <f t="shared" si="155"/>
        <v>0</v>
      </c>
      <c r="N863" s="32" t="str">
        <f t="shared" si="159"/>
        <v>00</v>
      </c>
      <c r="P863" s="47"/>
    </row>
    <row r="864" spans="1:16" ht="12" customHeight="1" x14ac:dyDescent="0.3">
      <c r="A864" s="32">
        <v>1</v>
      </c>
      <c r="B864" s="46">
        <v>118</v>
      </c>
      <c r="C864" s="46" t="str">
        <f t="shared" ref="C864" si="160">CHAR(B864)</f>
        <v>v</v>
      </c>
      <c r="M864" s="32">
        <f t="shared" si="155"/>
        <v>0</v>
      </c>
      <c r="N864" s="32" t="str">
        <f t="shared" si="159"/>
        <v>00</v>
      </c>
      <c r="P864" s="47" t="str">
        <f t="shared" ref="P864" si="161">CONCATENATE("0x",N864,",0x",N865,",0x",N866,",0x",N867,",0x",N868,",0x",N869,",0x",N870,",0x",N871,",0x",N872,",0x",N873,", //",C864)</f>
        <v>0x00,0x00,0x00,0x11,0x11,0x0A,0x0A,0x04,0x00,0x00, //v</v>
      </c>
    </row>
    <row r="865" spans="1:16" ht="12" customHeight="1" x14ac:dyDescent="0.3">
      <c r="A865" s="32">
        <v>2</v>
      </c>
      <c r="B865" s="46"/>
      <c r="C865" s="46"/>
      <c r="M865" s="32">
        <f t="shared" si="155"/>
        <v>0</v>
      </c>
      <c r="N865" s="32" t="str">
        <f t="shared" si="159"/>
        <v>00</v>
      </c>
      <c r="P865" s="47"/>
    </row>
    <row r="866" spans="1:16" ht="12" customHeight="1" x14ac:dyDescent="0.3">
      <c r="A866" s="32">
        <v>3</v>
      </c>
      <c r="B866" s="46"/>
      <c r="C866" s="46"/>
      <c r="M866" s="32">
        <f t="shared" si="155"/>
        <v>0</v>
      </c>
      <c r="N866" s="32" t="str">
        <f t="shared" si="159"/>
        <v>00</v>
      </c>
      <c r="P866" s="47"/>
    </row>
    <row r="867" spans="1:16" ht="12" customHeight="1" x14ac:dyDescent="0.3">
      <c r="A867" s="32">
        <v>4</v>
      </c>
      <c r="B867" s="46"/>
      <c r="C867" s="46"/>
      <c r="G867" s="35">
        <v>1</v>
      </c>
      <c r="K867" s="32">
        <v>1</v>
      </c>
      <c r="M867" s="32">
        <f t="shared" si="155"/>
        <v>17</v>
      </c>
      <c r="N867" s="32" t="str">
        <f t="shared" si="159"/>
        <v>11</v>
      </c>
      <c r="P867" s="47"/>
    </row>
    <row r="868" spans="1:16" ht="12" customHeight="1" x14ac:dyDescent="0.3">
      <c r="A868" s="32">
        <v>5</v>
      </c>
      <c r="B868" s="46"/>
      <c r="C868" s="46"/>
      <c r="G868" s="35">
        <v>1</v>
      </c>
      <c r="K868" s="32">
        <v>1</v>
      </c>
      <c r="M868" s="32">
        <f t="shared" si="155"/>
        <v>17</v>
      </c>
      <c r="N868" s="32" t="str">
        <f t="shared" si="159"/>
        <v>11</v>
      </c>
      <c r="P868" s="47"/>
    </row>
    <row r="869" spans="1:16" ht="12" customHeight="1" x14ac:dyDescent="0.3">
      <c r="A869" s="32">
        <v>6</v>
      </c>
      <c r="B869" s="46"/>
      <c r="C869" s="46"/>
      <c r="H869" s="32">
        <v>1</v>
      </c>
      <c r="J869" s="32">
        <v>1</v>
      </c>
      <c r="M869" s="32">
        <f t="shared" si="155"/>
        <v>10</v>
      </c>
      <c r="N869" s="32" t="str">
        <f t="shared" si="159"/>
        <v>0A</v>
      </c>
      <c r="P869" s="47"/>
    </row>
    <row r="870" spans="1:16" ht="12" customHeight="1" x14ac:dyDescent="0.3">
      <c r="A870" s="32">
        <v>7</v>
      </c>
      <c r="B870" s="46"/>
      <c r="C870" s="46"/>
      <c r="H870" s="32">
        <v>1</v>
      </c>
      <c r="J870" s="32">
        <v>1</v>
      </c>
      <c r="M870" s="32">
        <f t="shared" si="155"/>
        <v>10</v>
      </c>
      <c r="N870" s="32" t="str">
        <f t="shared" si="159"/>
        <v>0A</v>
      </c>
      <c r="P870" s="47"/>
    </row>
    <row r="871" spans="1:16" ht="12" customHeight="1" x14ac:dyDescent="0.3">
      <c r="A871" s="32">
        <v>8</v>
      </c>
      <c r="B871" s="46"/>
      <c r="C871" s="46"/>
      <c r="I871" s="32">
        <v>1</v>
      </c>
      <c r="M871" s="32">
        <f t="shared" si="155"/>
        <v>4</v>
      </c>
      <c r="N871" s="32" t="str">
        <f t="shared" si="159"/>
        <v>04</v>
      </c>
      <c r="P871" s="47"/>
    </row>
    <row r="872" spans="1:16" ht="12" customHeight="1" x14ac:dyDescent="0.3">
      <c r="A872" s="32">
        <v>9</v>
      </c>
      <c r="B872" s="46"/>
      <c r="C872" s="46"/>
      <c r="M872" s="32">
        <f t="shared" si="155"/>
        <v>0</v>
      </c>
      <c r="N872" s="32" t="str">
        <f t="shared" si="159"/>
        <v>00</v>
      </c>
      <c r="P872" s="47"/>
    </row>
    <row r="873" spans="1:16" ht="12" customHeight="1" x14ac:dyDescent="0.3">
      <c r="A873" s="32">
        <v>10</v>
      </c>
      <c r="B873" s="46"/>
      <c r="C873" s="46"/>
      <c r="M873" s="32">
        <f t="shared" si="155"/>
        <v>0</v>
      </c>
      <c r="N873" s="32" t="str">
        <f t="shared" si="159"/>
        <v>00</v>
      </c>
      <c r="P873" s="47"/>
    </row>
    <row r="874" spans="1:16" ht="12" customHeight="1" x14ac:dyDescent="0.3">
      <c r="A874" s="32">
        <v>1</v>
      </c>
      <c r="B874" s="46">
        <v>119</v>
      </c>
      <c r="C874" s="46" t="str">
        <f t="shared" ref="C874" si="162">CHAR(B874)</f>
        <v>w</v>
      </c>
      <c r="M874" s="32">
        <f t="shared" si="155"/>
        <v>0</v>
      </c>
      <c r="N874" s="32" t="str">
        <f t="shared" si="159"/>
        <v>00</v>
      </c>
      <c r="P874" s="47" t="str">
        <f t="shared" ref="P874" si="163">CONCATENATE("0x",N874,",0x",N875,",0x",N876,",0x",N877,",0x",N878,",0x",N879,",0x",N880,",0x",N881,",0x",N882,",0x",N883,", //",C874)</f>
        <v>0x00,0x00,0x00,0x11,0x11,0x15,0x15,0x0A,0x00,0x00, //w</v>
      </c>
    </row>
    <row r="875" spans="1:16" ht="12" customHeight="1" x14ac:dyDescent="0.3">
      <c r="A875" s="32">
        <v>2</v>
      </c>
      <c r="B875" s="46"/>
      <c r="C875" s="46"/>
      <c r="M875" s="32">
        <f t="shared" si="155"/>
        <v>0</v>
      </c>
      <c r="N875" s="32" t="str">
        <f t="shared" si="159"/>
        <v>00</v>
      </c>
      <c r="P875" s="47"/>
    </row>
    <row r="876" spans="1:16" ht="12" customHeight="1" x14ac:dyDescent="0.3">
      <c r="A876" s="32">
        <v>3</v>
      </c>
      <c r="B876" s="46"/>
      <c r="C876" s="46"/>
      <c r="M876" s="32">
        <f t="shared" si="155"/>
        <v>0</v>
      </c>
      <c r="N876" s="32" t="str">
        <f t="shared" si="159"/>
        <v>00</v>
      </c>
      <c r="P876" s="47"/>
    </row>
    <row r="877" spans="1:16" ht="12" customHeight="1" x14ac:dyDescent="0.3">
      <c r="A877" s="32">
        <v>4</v>
      </c>
      <c r="B877" s="46"/>
      <c r="C877" s="46"/>
      <c r="G877" s="35">
        <v>1</v>
      </c>
      <c r="K877" s="32">
        <v>1</v>
      </c>
      <c r="M877" s="32">
        <f t="shared" si="155"/>
        <v>17</v>
      </c>
      <c r="N877" s="32" t="str">
        <f t="shared" si="159"/>
        <v>11</v>
      </c>
      <c r="P877" s="47"/>
    </row>
    <row r="878" spans="1:16" ht="12" customHeight="1" x14ac:dyDescent="0.3">
      <c r="A878" s="32">
        <v>5</v>
      </c>
      <c r="B878" s="46"/>
      <c r="C878" s="46"/>
      <c r="G878" s="35">
        <v>1</v>
      </c>
      <c r="K878" s="32">
        <v>1</v>
      </c>
      <c r="M878" s="32">
        <f t="shared" si="155"/>
        <v>17</v>
      </c>
      <c r="N878" s="32" t="str">
        <f t="shared" si="159"/>
        <v>11</v>
      </c>
      <c r="P878" s="47"/>
    </row>
    <row r="879" spans="1:16" ht="12" customHeight="1" x14ac:dyDescent="0.3">
      <c r="A879" s="32">
        <v>6</v>
      </c>
      <c r="B879" s="46"/>
      <c r="C879" s="46"/>
      <c r="G879" s="35">
        <v>1</v>
      </c>
      <c r="I879" s="32">
        <v>1</v>
      </c>
      <c r="K879" s="32">
        <v>1</v>
      </c>
      <c r="M879" s="32">
        <f t="shared" si="155"/>
        <v>21</v>
      </c>
      <c r="N879" s="32" t="str">
        <f t="shared" si="159"/>
        <v>15</v>
      </c>
      <c r="P879" s="47"/>
    </row>
    <row r="880" spans="1:16" ht="12" customHeight="1" x14ac:dyDescent="0.3">
      <c r="A880" s="32">
        <v>7</v>
      </c>
      <c r="B880" s="46"/>
      <c r="C880" s="46"/>
      <c r="G880" s="35">
        <v>1</v>
      </c>
      <c r="I880" s="32">
        <v>1</v>
      </c>
      <c r="K880" s="32">
        <v>1</v>
      </c>
      <c r="M880" s="32">
        <f t="shared" si="155"/>
        <v>21</v>
      </c>
      <c r="N880" s="32" t="str">
        <f t="shared" si="159"/>
        <v>15</v>
      </c>
      <c r="P880" s="47"/>
    </row>
    <row r="881" spans="1:16" ht="12" customHeight="1" x14ac:dyDescent="0.3">
      <c r="A881" s="32">
        <v>8</v>
      </c>
      <c r="B881" s="46"/>
      <c r="C881" s="46"/>
      <c r="H881" s="32">
        <v>1</v>
      </c>
      <c r="J881" s="32">
        <v>1</v>
      </c>
      <c r="M881" s="32">
        <f t="shared" si="155"/>
        <v>10</v>
      </c>
      <c r="N881" s="32" t="str">
        <f t="shared" si="159"/>
        <v>0A</v>
      </c>
      <c r="P881" s="47"/>
    </row>
    <row r="882" spans="1:16" ht="12" customHeight="1" x14ac:dyDescent="0.3">
      <c r="A882" s="32">
        <v>9</v>
      </c>
      <c r="B882" s="46"/>
      <c r="C882" s="46"/>
      <c r="M882" s="32">
        <f t="shared" si="155"/>
        <v>0</v>
      </c>
      <c r="N882" s="32" t="str">
        <f t="shared" si="159"/>
        <v>00</v>
      </c>
      <c r="P882" s="47"/>
    </row>
    <row r="883" spans="1:16" ht="12" customHeight="1" x14ac:dyDescent="0.3">
      <c r="A883" s="32">
        <v>10</v>
      </c>
      <c r="B883" s="46"/>
      <c r="C883" s="46"/>
      <c r="M883" s="32">
        <f t="shared" si="155"/>
        <v>0</v>
      </c>
      <c r="N883" s="32" t="str">
        <f t="shared" si="159"/>
        <v>00</v>
      </c>
      <c r="P883" s="47"/>
    </row>
    <row r="884" spans="1:16" ht="12" customHeight="1" x14ac:dyDescent="0.3">
      <c r="A884" s="32">
        <v>1</v>
      </c>
      <c r="B884" s="46">
        <v>120</v>
      </c>
      <c r="C884" s="46" t="str">
        <f t="shared" ref="C884" si="164">CHAR(B884)</f>
        <v>x</v>
      </c>
      <c r="M884" s="32">
        <f t="shared" si="155"/>
        <v>0</v>
      </c>
      <c r="N884" s="32" t="str">
        <f t="shared" si="159"/>
        <v>00</v>
      </c>
      <c r="P884" s="47" t="str">
        <f t="shared" ref="P884" si="165">CONCATENATE("0x",N884,",0x",N885,",0x",N886,",0x",N887,",0x",N888,",0x",N889,",0x",N890,",0x",N891,",0x",N892,",0x",N893,", //",C884)</f>
        <v>0x00,0x00,0x00,0x11,0x0A,0x04,0x0A,0x11,0x00,0x00, //x</v>
      </c>
    </row>
    <row r="885" spans="1:16" ht="12" customHeight="1" x14ac:dyDescent="0.3">
      <c r="A885" s="32">
        <v>2</v>
      </c>
      <c r="B885" s="46"/>
      <c r="C885" s="46"/>
      <c r="M885" s="32">
        <f t="shared" si="155"/>
        <v>0</v>
      </c>
      <c r="N885" s="32" t="str">
        <f t="shared" si="159"/>
        <v>00</v>
      </c>
      <c r="P885" s="47"/>
    </row>
    <row r="886" spans="1:16" ht="12" customHeight="1" x14ac:dyDescent="0.3">
      <c r="A886" s="32">
        <v>3</v>
      </c>
      <c r="B886" s="46"/>
      <c r="C886" s="46"/>
      <c r="M886" s="32">
        <f t="shared" si="155"/>
        <v>0</v>
      </c>
      <c r="N886" s="32" t="str">
        <f t="shared" si="159"/>
        <v>00</v>
      </c>
      <c r="P886" s="47"/>
    </row>
    <row r="887" spans="1:16" ht="12" customHeight="1" x14ac:dyDescent="0.3">
      <c r="A887" s="32">
        <v>4</v>
      </c>
      <c r="B887" s="46"/>
      <c r="C887" s="46"/>
      <c r="G887" s="35">
        <v>1</v>
      </c>
      <c r="K887" s="32">
        <v>1</v>
      </c>
      <c r="M887" s="32">
        <f t="shared" si="155"/>
        <v>17</v>
      </c>
      <c r="N887" s="32" t="str">
        <f t="shared" si="159"/>
        <v>11</v>
      </c>
      <c r="P887" s="47"/>
    </row>
    <row r="888" spans="1:16" ht="12" customHeight="1" x14ac:dyDescent="0.3">
      <c r="A888" s="32">
        <v>5</v>
      </c>
      <c r="B888" s="46"/>
      <c r="C888" s="46"/>
      <c r="H888" s="32">
        <v>1</v>
      </c>
      <c r="J888" s="32">
        <v>1</v>
      </c>
      <c r="M888" s="32">
        <f t="shared" si="155"/>
        <v>10</v>
      </c>
      <c r="N888" s="32" t="str">
        <f t="shared" si="159"/>
        <v>0A</v>
      </c>
      <c r="P888" s="47"/>
    </row>
    <row r="889" spans="1:16" ht="12" customHeight="1" x14ac:dyDescent="0.3">
      <c r="A889" s="32">
        <v>6</v>
      </c>
      <c r="B889" s="46"/>
      <c r="C889" s="46"/>
      <c r="I889" s="32">
        <v>1</v>
      </c>
      <c r="M889" s="32">
        <f t="shared" si="155"/>
        <v>4</v>
      </c>
      <c r="N889" s="32" t="str">
        <f t="shared" si="159"/>
        <v>04</v>
      </c>
      <c r="P889" s="47"/>
    </row>
    <row r="890" spans="1:16" ht="12" customHeight="1" x14ac:dyDescent="0.3">
      <c r="A890" s="32">
        <v>7</v>
      </c>
      <c r="B890" s="46"/>
      <c r="C890" s="46"/>
      <c r="H890" s="32">
        <v>1</v>
      </c>
      <c r="J890" s="32">
        <v>1</v>
      </c>
      <c r="M890" s="32">
        <f t="shared" si="155"/>
        <v>10</v>
      </c>
      <c r="N890" s="32" t="str">
        <f t="shared" si="159"/>
        <v>0A</v>
      </c>
      <c r="P890" s="47"/>
    </row>
    <row r="891" spans="1:16" ht="12" customHeight="1" x14ac:dyDescent="0.3">
      <c r="A891" s="32">
        <v>8</v>
      </c>
      <c r="B891" s="46"/>
      <c r="C891" s="46"/>
      <c r="G891" s="35">
        <v>1</v>
      </c>
      <c r="K891" s="32">
        <v>1</v>
      </c>
      <c r="M891" s="32">
        <f t="shared" si="155"/>
        <v>17</v>
      </c>
      <c r="N891" s="32" t="str">
        <f t="shared" ref="N891:N913" si="166">DEC2HEX(M891,2)</f>
        <v>11</v>
      </c>
      <c r="P891" s="47"/>
    </row>
    <row r="892" spans="1:16" ht="12" customHeight="1" x14ac:dyDescent="0.3">
      <c r="A892" s="32">
        <v>9</v>
      </c>
      <c r="B892" s="46"/>
      <c r="C892" s="46"/>
      <c r="M892" s="32">
        <f t="shared" si="155"/>
        <v>0</v>
      </c>
      <c r="N892" s="32" t="str">
        <f t="shared" si="166"/>
        <v>00</v>
      </c>
      <c r="P892" s="47"/>
    </row>
    <row r="893" spans="1:16" ht="12" customHeight="1" x14ac:dyDescent="0.3">
      <c r="A893" s="32">
        <v>10</v>
      </c>
      <c r="B893" s="46"/>
      <c r="C893" s="46"/>
      <c r="M893" s="32">
        <f t="shared" si="155"/>
        <v>0</v>
      </c>
      <c r="N893" s="32" t="str">
        <f t="shared" si="166"/>
        <v>00</v>
      </c>
      <c r="P893" s="47"/>
    </row>
    <row r="894" spans="1:16" ht="12" customHeight="1" x14ac:dyDescent="0.3">
      <c r="A894" s="32">
        <v>1</v>
      </c>
      <c r="B894" s="46">
        <v>121</v>
      </c>
      <c r="C894" s="46" t="str">
        <f t="shared" ref="C894:C904" si="167">CHAR(B894)</f>
        <v>y</v>
      </c>
      <c r="M894" s="32">
        <f t="shared" si="155"/>
        <v>0</v>
      </c>
      <c r="N894" s="32" t="str">
        <f t="shared" si="166"/>
        <v>00</v>
      </c>
      <c r="P894" s="47" t="str">
        <f t="shared" ref="P894" si="168">CONCATENATE("0x",N894,",0x",N895,",0x",N896,",0x",N897,",0x",N898,",0x",N899,",0x",N900,",0x",N901,",0x",N902,",0x",N903,", //",C894)</f>
        <v>0x00,0x00,0x00,0x11,0x11,0x0A,0x04,0x04,0x08,0x10, //y</v>
      </c>
    </row>
    <row r="895" spans="1:16" ht="12" customHeight="1" x14ac:dyDescent="0.3">
      <c r="A895" s="32">
        <v>2</v>
      </c>
      <c r="B895" s="46"/>
      <c r="C895" s="46"/>
      <c r="M895" s="32">
        <f t="shared" si="155"/>
        <v>0</v>
      </c>
      <c r="N895" s="32" t="str">
        <f t="shared" si="166"/>
        <v>00</v>
      </c>
      <c r="P895" s="47"/>
    </row>
    <row r="896" spans="1:16" ht="12" customHeight="1" x14ac:dyDescent="0.3">
      <c r="A896" s="32">
        <v>3</v>
      </c>
      <c r="B896" s="46"/>
      <c r="C896" s="46"/>
      <c r="M896" s="32">
        <f t="shared" si="155"/>
        <v>0</v>
      </c>
      <c r="N896" s="32" t="str">
        <f t="shared" si="166"/>
        <v>00</v>
      </c>
      <c r="P896" s="47"/>
    </row>
    <row r="897" spans="1:16" ht="12" customHeight="1" x14ac:dyDescent="0.3">
      <c r="A897" s="32">
        <v>4</v>
      </c>
      <c r="B897" s="46"/>
      <c r="C897" s="46"/>
      <c r="G897" s="35">
        <v>1</v>
      </c>
      <c r="K897" s="32">
        <v>1</v>
      </c>
      <c r="M897" s="32">
        <f t="shared" ref="M897:M913" si="169">G897*G$2+H897*H$2+I897*I$2+J897*J$2+K897*K$2+F897*F$2+E897*E$2+D897*D$2</f>
        <v>17</v>
      </c>
      <c r="N897" s="32" t="str">
        <f t="shared" si="166"/>
        <v>11</v>
      </c>
      <c r="P897" s="47"/>
    </row>
    <row r="898" spans="1:16" ht="12" customHeight="1" x14ac:dyDescent="0.3">
      <c r="A898" s="32">
        <v>5</v>
      </c>
      <c r="B898" s="46"/>
      <c r="C898" s="46"/>
      <c r="G898" s="35">
        <v>1</v>
      </c>
      <c r="K898" s="32">
        <v>1</v>
      </c>
      <c r="M898" s="32">
        <f t="shared" si="169"/>
        <v>17</v>
      </c>
      <c r="N898" s="32" t="str">
        <f t="shared" si="166"/>
        <v>11</v>
      </c>
      <c r="P898" s="47"/>
    </row>
    <row r="899" spans="1:16" ht="12" customHeight="1" x14ac:dyDescent="0.3">
      <c r="A899" s="32">
        <v>6</v>
      </c>
      <c r="B899" s="46"/>
      <c r="C899" s="46"/>
      <c r="H899" s="32">
        <v>1</v>
      </c>
      <c r="J899" s="32">
        <v>1</v>
      </c>
      <c r="M899" s="32">
        <f t="shared" si="169"/>
        <v>10</v>
      </c>
      <c r="N899" s="32" t="str">
        <f t="shared" si="166"/>
        <v>0A</v>
      </c>
      <c r="P899" s="47"/>
    </row>
    <row r="900" spans="1:16" ht="12" customHeight="1" x14ac:dyDescent="0.3">
      <c r="A900" s="32">
        <v>7</v>
      </c>
      <c r="B900" s="46"/>
      <c r="C900" s="46"/>
      <c r="I900" s="32">
        <v>1</v>
      </c>
      <c r="M900" s="32">
        <f t="shared" si="169"/>
        <v>4</v>
      </c>
      <c r="N900" s="32" t="str">
        <f t="shared" si="166"/>
        <v>04</v>
      </c>
      <c r="P900" s="47"/>
    </row>
    <row r="901" spans="1:16" ht="12" customHeight="1" x14ac:dyDescent="0.3">
      <c r="A901" s="32">
        <v>8</v>
      </c>
      <c r="B901" s="46"/>
      <c r="C901" s="46"/>
      <c r="I901" s="32">
        <v>1</v>
      </c>
      <c r="M901" s="32">
        <f t="shared" si="169"/>
        <v>4</v>
      </c>
      <c r="N901" s="32" t="str">
        <f t="shared" si="166"/>
        <v>04</v>
      </c>
      <c r="P901" s="47"/>
    </row>
    <row r="902" spans="1:16" ht="12" customHeight="1" x14ac:dyDescent="0.3">
      <c r="A902" s="32">
        <v>9</v>
      </c>
      <c r="B902" s="46"/>
      <c r="C902" s="46"/>
      <c r="H902" s="32">
        <v>1</v>
      </c>
      <c r="M902" s="32">
        <f t="shared" si="169"/>
        <v>8</v>
      </c>
      <c r="N902" s="32" t="str">
        <f t="shared" si="166"/>
        <v>08</v>
      </c>
      <c r="P902" s="47"/>
    </row>
    <row r="903" spans="1:16" ht="12" customHeight="1" x14ac:dyDescent="0.3">
      <c r="A903" s="32">
        <v>10</v>
      </c>
      <c r="B903" s="46"/>
      <c r="C903" s="46"/>
      <c r="G903" s="35">
        <v>1</v>
      </c>
      <c r="M903" s="32">
        <f t="shared" si="169"/>
        <v>16</v>
      </c>
      <c r="N903" s="32" t="str">
        <f t="shared" si="166"/>
        <v>10</v>
      </c>
      <c r="P903" s="47"/>
    </row>
    <row r="904" spans="1:16" ht="12" customHeight="1" x14ac:dyDescent="0.3">
      <c r="A904" s="32">
        <v>1</v>
      </c>
      <c r="B904" s="46">
        <v>122</v>
      </c>
      <c r="C904" s="46" t="str">
        <f t="shared" si="167"/>
        <v>z</v>
      </c>
      <c r="M904" s="32">
        <f t="shared" si="169"/>
        <v>0</v>
      </c>
      <c r="N904" s="32" t="str">
        <f t="shared" si="166"/>
        <v>00</v>
      </c>
      <c r="P904" s="47" t="str">
        <f t="shared" ref="P904" si="170">CONCATENATE("0x",N904,",0x",N905,",0x",N906,",0x",N907,",0x",N908,",0x",N909,",0x",N910,",0x",N911,",0x",N912,",0x",N913,", //",C904)</f>
        <v>0x00,0x00,0x00,0x07,0x01,0x02,0x04,0x07,0x00,0x00, //z</v>
      </c>
    </row>
    <row r="905" spans="1:16" ht="12" customHeight="1" x14ac:dyDescent="0.3">
      <c r="A905" s="32">
        <v>2</v>
      </c>
      <c r="B905" s="46"/>
      <c r="C905" s="46"/>
      <c r="M905" s="32">
        <f t="shared" si="169"/>
        <v>0</v>
      </c>
      <c r="N905" s="32" t="str">
        <f t="shared" si="166"/>
        <v>00</v>
      </c>
      <c r="P905" s="47"/>
    </row>
    <row r="906" spans="1:16" ht="12" customHeight="1" x14ac:dyDescent="0.3">
      <c r="A906" s="32">
        <v>3</v>
      </c>
      <c r="B906" s="46"/>
      <c r="C906" s="46"/>
      <c r="M906" s="32">
        <f t="shared" si="169"/>
        <v>0</v>
      </c>
      <c r="N906" s="32" t="str">
        <f t="shared" si="166"/>
        <v>00</v>
      </c>
      <c r="P906" s="47"/>
    </row>
    <row r="907" spans="1:16" ht="12" customHeight="1" x14ac:dyDescent="0.3">
      <c r="A907" s="32">
        <v>4</v>
      </c>
      <c r="B907" s="46"/>
      <c r="C907" s="46"/>
      <c r="I907" s="32">
        <v>1</v>
      </c>
      <c r="J907" s="32">
        <v>1</v>
      </c>
      <c r="K907" s="32">
        <v>1</v>
      </c>
      <c r="M907" s="32">
        <f t="shared" si="169"/>
        <v>7</v>
      </c>
      <c r="N907" s="32" t="str">
        <f t="shared" si="166"/>
        <v>07</v>
      </c>
      <c r="P907" s="47"/>
    </row>
    <row r="908" spans="1:16" ht="12" customHeight="1" x14ac:dyDescent="0.3">
      <c r="A908" s="32">
        <v>5</v>
      </c>
      <c r="B908" s="46"/>
      <c r="C908" s="46"/>
      <c r="K908" s="32">
        <v>1</v>
      </c>
      <c r="M908" s="32">
        <f t="shared" si="169"/>
        <v>1</v>
      </c>
      <c r="N908" s="32" t="str">
        <f t="shared" si="166"/>
        <v>01</v>
      </c>
      <c r="P908" s="47"/>
    </row>
    <row r="909" spans="1:16" ht="12" customHeight="1" x14ac:dyDescent="0.3">
      <c r="A909" s="32">
        <v>6</v>
      </c>
      <c r="B909" s="46"/>
      <c r="C909" s="46"/>
      <c r="J909" s="32">
        <v>1</v>
      </c>
      <c r="M909" s="32">
        <f t="shared" si="169"/>
        <v>2</v>
      </c>
      <c r="N909" s="32" t="str">
        <f t="shared" si="166"/>
        <v>02</v>
      </c>
      <c r="P909" s="47"/>
    </row>
    <row r="910" spans="1:16" ht="12" customHeight="1" x14ac:dyDescent="0.3">
      <c r="A910" s="32">
        <v>7</v>
      </c>
      <c r="B910" s="46"/>
      <c r="C910" s="46"/>
      <c r="I910" s="32">
        <v>1</v>
      </c>
      <c r="M910" s="32">
        <f t="shared" si="169"/>
        <v>4</v>
      </c>
      <c r="N910" s="32" t="str">
        <f t="shared" si="166"/>
        <v>04</v>
      </c>
      <c r="P910" s="47"/>
    </row>
    <row r="911" spans="1:16" ht="12" customHeight="1" x14ac:dyDescent="0.3">
      <c r="A911" s="32">
        <v>8</v>
      </c>
      <c r="B911" s="46"/>
      <c r="C911" s="46"/>
      <c r="I911" s="32">
        <v>1</v>
      </c>
      <c r="J911" s="32">
        <v>1</v>
      </c>
      <c r="K911" s="32">
        <v>1</v>
      </c>
      <c r="M911" s="32">
        <f t="shared" si="169"/>
        <v>7</v>
      </c>
      <c r="N911" s="32" t="str">
        <f t="shared" si="166"/>
        <v>07</v>
      </c>
      <c r="P911" s="47"/>
    </row>
    <row r="912" spans="1:16" ht="12" customHeight="1" x14ac:dyDescent="0.3">
      <c r="A912" s="32">
        <v>9</v>
      </c>
      <c r="B912" s="46"/>
      <c r="C912" s="46"/>
      <c r="M912" s="32">
        <f t="shared" si="169"/>
        <v>0</v>
      </c>
      <c r="N912" s="32" t="str">
        <f t="shared" si="166"/>
        <v>00</v>
      </c>
      <c r="P912" s="47"/>
    </row>
    <row r="913" spans="1:16" ht="12" customHeight="1" x14ac:dyDescent="0.3">
      <c r="A913" s="32">
        <v>10</v>
      </c>
      <c r="B913" s="46"/>
      <c r="C913" s="46"/>
      <c r="M913" s="32">
        <f t="shared" si="169"/>
        <v>0</v>
      </c>
      <c r="N913" s="32" t="str">
        <f t="shared" si="166"/>
        <v>00</v>
      </c>
      <c r="P913" s="47"/>
    </row>
    <row r="961" spans="24:24" x14ac:dyDescent="0.3">
      <c r="X961" s="38"/>
    </row>
    <row r="962" spans="24:24" x14ac:dyDescent="0.3">
      <c r="X962" s="38"/>
    </row>
    <row r="963" spans="24:24" x14ac:dyDescent="0.3">
      <c r="X963" s="38"/>
    </row>
    <row r="964" spans="24:24" x14ac:dyDescent="0.3">
      <c r="X964" s="38"/>
    </row>
    <row r="965" spans="24:24" x14ac:dyDescent="0.3">
      <c r="X965" s="38"/>
    </row>
    <row r="966" spans="24:24" x14ac:dyDescent="0.3">
      <c r="X966" s="38"/>
    </row>
    <row r="967" spans="24:24" x14ac:dyDescent="0.3">
      <c r="X967" s="38"/>
    </row>
    <row r="968" spans="24:24" x14ac:dyDescent="0.3">
      <c r="X968" s="38"/>
    </row>
    <row r="969" spans="24:24" x14ac:dyDescent="0.3">
      <c r="X969" s="38"/>
    </row>
    <row r="970" spans="24:24" x14ac:dyDescent="0.3">
      <c r="X970" s="38"/>
    </row>
    <row r="971" spans="24:24" x14ac:dyDescent="0.3">
      <c r="X971" s="38"/>
    </row>
    <row r="972" spans="24:24" x14ac:dyDescent="0.3">
      <c r="X972" s="38"/>
    </row>
    <row r="973" spans="24:24" x14ac:dyDescent="0.3">
      <c r="X973" s="38"/>
    </row>
    <row r="974" spans="24:24" x14ac:dyDescent="0.3">
      <c r="X974" s="38"/>
    </row>
    <row r="975" spans="24:24" x14ac:dyDescent="0.3">
      <c r="X975" s="38"/>
    </row>
    <row r="976" spans="24:24" x14ac:dyDescent="0.3">
      <c r="X976" s="38"/>
    </row>
    <row r="977" spans="24:24" x14ac:dyDescent="0.3">
      <c r="X977" s="38"/>
    </row>
    <row r="978" spans="24:24" x14ac:dyDescent="0.3">
      <c r="X978" s="38"/>
    </row>
    <row r="979" spans="24:24" x14ac:dyDescent="0.3">
      <c r="X979" s="38"/>
    </row>
    <row r="980" spans="24:24" x14ac:dyDescent="0.3">
      <c r="X980" s="38"/>
    </row>
    <row r="981" spans="24:24" x14ac:dyDescent="0.3">
      <c r="X981" s="38"/>
    </row>
    <row r="982" spans="24:24" x14ac:dyDescent="0.3">
      <c r="X982" s="38"/>
    </row>
    <row r="983" spans="24:24" x14ac:dyDescent="0.3">
      <c r="X983" s="38"/>
    </row>
    <row r="984" spans="24:24" x14ac:dyDescent="0.3">
      <c r="X984" s="38"/>
    </row>
    <row r="985" spans="24:24" x14ac:dyDescent="0.3">
      <c r="X985" s="38"/>
    </row>
    <row r="986" spans="24:24" x14ac:dyDescent="0.3">
      <c r="X986" s="38"/>
    </row>
    <row r="987" spans="24:24" x14ac:dyDescent="0.3">
      <c r="X987" s="38"/>
    </row>
    <row r="988" spans="24:24" x14ac:dyDescent="0.3">
      <c r="X988" s="38"/>
    </row>
    <row r="989" spans="24:24" x14ac:dyDescent="0.3">
      <c r="X989" s="38"/>
    </row>
    <row r="990" spans="24:24" x14ac:dyDescent="0.3">
      <c r="X990" s="38"/>
    </row>
    <row r="991" spans="24:24" x14ac:dyDescent="0.3">
      <c r="X991" s="38"/>
    </row>
    <row r="992" spans="24:24" x14ac:dyDescent="0.3">
      <c r="X992" s="38"/>
    </row>
    <row r="993" spans="24:24" x14ac:dyDescent="0.3">
      <c r="X993" s="38"/>
    </row>
    <row r="994" spans="24:24" x14ac:dyDescent="0.3">
      <c r="X994" s="38"/>
    </row>
    <row r="995" spans="24:24" x14ac:dyDescent="0.3">
      <c r="X995" s="38"/>
    </row>
    <row r="996" spans="24:24" x14ac:dyDescent="0.3">
      <c r="X996" s="38"/>
    </row>
    <row r="997" spans="24:24" x14ac:dyDescent="0.3">
      <c r="X997" s="38"/>
    </row>
    <row r="998" spans="24:24" x14ac:dyDescent="0.3">
      <c r="X998" s="38"/>
    </row>
    <row r="999" spans="24:24" x14ac:dyDescent="0.3">
      <c r="X999" s="38"/>
    </row>
    <row r="1000" spans="24:24" x14ac:dyDescent="0.3">
      <c r="X1000" s="38"/>
    </row>
    <row r="1001" spans="24:24" x14ac:dyDescent="0.3">
      <c r="X1001" s="38"/>
    </row>
    <row r="1002" spans="24:24" x14ac:dyDescent="0.3">
      <c r="X1002" s="38"/>
    </row>
    <row r="1003" spans="24:24" x14ac:dyDescent="0.3">
      <c r="X1003" s="38"/>
    </row>
    <row r="1004" spans="24:24" x14ac:dyDescent="0.3">
      <c r="X1004" s="38"/>
    </row>
    <row r="1005" spans="24:24" x14ac:dyDescent="0.3">
      <c r="X1005" s="38"/>
    </row>
    <row r="1006" spans="24:24" x14ac:dyDescent="0.3">
      <c r="X1006" s="38"/>
    </row>
    <row r="1007" spans="24:24" x14ac:dyDescent="0.3">
      <c r="X1007" s="38"/>
    </row>
    <row r="1008" spans="24:24" x14ac:dyDescent="0.3">
      <c r="X1008" s="38"/>
    </row>
    <row r="1009" spans="24:24" x14ac:dyDescent="0.3">
      <c r="X1009" s="38"/>
    </row>
    <row r="1010" spans="24:24" x14ac:dyDescent="0.3">
      <c r="X1010" s="38"/>
    </row>
    <row r="1011" spans="24:24" x14ac:dyDescent="0.3">
      <c r="X1011" s="38"/>
    </row>
    <row r="1012" spans="24:24" x14ac:dyDescent="0.3">
      <c r="X1012" s="38"/>
    </row>
    <row r="1013" spans="24:24" x14ac:dyDescent="0.3">
      <c r="X1013" s="38"/>
    </row>
    <row r="1014" spans="24:24" x14ac:dyDescent="0.3">
      <c r="X1014" s="38"/>
    </row>
    <row r="1015" spans="24:24" x14ac:dyDescent="0.3">
      <c r="X1015" s="38"/>
    </row>
    <row r="1016" spans="24:24" x14ac:dyDescent="0.3">
      <c r="X1016" s="38"/>
    </row>
    <row r="1017" spans="24:24" x14ac:dyDescent="0.3">
      <c r="X1017" s="38"/>
    </row>
    <row r="1018" spans="24:24" x14ac:dyDescent="0.3">
      <c r="X1018" s="38"/>
    </row>
    <row r="1019" spans="24:24" x14ac:dyDescent="0.3">
      <c r="X1019" s="38"/>
    </row>
    <row r="1020" spans="24:24" x14ac:dyDescent="0.3">
      <c r="X1020" s="38"/>
    </row>
    <row r="1021" spans="24:24" x14ac:dyDescent="0.3">
      <c r="X1021" s="38"/>
    </row>
    <row r="1022" spans="24:24" x14ac:dyDescent="0.3">
      <c r="X1022" s="38"/>
    </row>
    <row r="1023" spans="24:24" x14ac:dyDescent="0.3">
      <c r="X1023" s="38"/>
    </row>
    <row r="1024" spans="24:24" x14ac:dyDescent="0.3">
      <c r="X1024" s="38"/>
    </row>
    <row r="1025" spans="24:24" x14ac:dyDescent="0.3">
      <c r="X1025" s="38"/>
    </row>
    <row r="1026" spans="24:24" x14ac:dyDescent="0.3">
      <c r="X1026" s="38"/>
    </row>
    <row r="1027" spans="24:24" x14ac:dyDescent="0.3">
      <c r="X1027" s="38"/>
    </row>
    <row r="1028" spans="24:24" x14ac:dyDescent="0.3">
      <c r="X1028" s="38"/>
    </row>
    <row r="1029" spans="24:24" x14ac:dyDescent="0.3">
      <c r="X1029" s="38"/>
    </row>
    <row r="1030" spans="24:24" x14ac:dyDescent="0.3">
      <c r="X1030" s="38"/>
    </row>
    <row r="1031" spans="24:24" x14ac:dyDescent="0.3">
      <c r="X1031" s="38"/>
    </row>
    <row r="1032" spans="24:24" x14ac:dyDescent="0.3">
      <c r="X1032" s="38"/>
    </row>
    <row r="1033" spans="24:24" x14ac:dyDescent="0.3">
      <c r="X1033" s="38"/>
    </row>
    <row r="1034" spans="24:24" x14ac:dyDescent="0.3">
      <c r="X1034" s="38"/>
    </row>
    <row r="1035" spans="24:24" x14ac:dyDescent="0.3">
      <c r="X1035" s="38"/>
    </row>
    <row r="1036" spans="24:24" x14ac:dyDescent="0.3">
      <c r="X1036" s="38"/>
    </row>
    <row r="1037" spans="24:24" x14ac:dyDescent="0.3">
      <c r="X1037" s="38"/>
    </row>
    <row r="1038" spans="24:24" x14ac:dyDescent="0.3">
      <c r="X1038" s="38"/>
    </row>
    <row r="1039" spans="24:24" x14ac:dyDescent="0.3">
      <c r="X1039" s="38"/>
    </row>
    <row r="1040" spans="24:24" x14ac:dyDescent="0.3">
      <c r="X1040" s="38"/>
    </row>
    <row r="1041" spans="24:24" x14ac:dyDescent="0.3">
      <c r="X1041" s="38"/>
    </row>
    <row r="1042" spans="24:24" x14ac:dyDescent="0.3">
      <c r="X1042" s="38"/>
    </row>
    <row r="1043" spans="24:24" x14ac:dyDescent="0.3">
      <c r="X1043" s="38"/>
    </row>
    <row r="1044" spans="24:24" x14ac:dyDescent="0.3">
      <c r="X1044" s="38"/>
    </row>
    <row r="1045" spans="24:24" x14ac:dyDescent="0.3">
      <c r="X1045" s="38"/>
    </row>
    <row r="1046" spans="24:24" x14ac:dyDescent="0.3">
      <c r="X1046" s="38"/>
    </row>
    <row r="1047" spans="24:24" x14ac:dyDescent="0.3">
      <c r="X1047" s="38"/>
    </row>
    <row r="1048" spans="24:24" x14ac:dyDescent="0.3">
      <c r="X1048" s="38"/>
    </row>
    <row r="1049" spans="24:24" x14ac:dyDescent="0.3">
      <c r="X1049" s="38"/>
    </row>
    <row r="1050" spans="24:24" x14ac:dyDescent="0.3">
      <c r="X1050" s="38"/>
    </row>
    <row r="1051" spans="24:24" x14ac:dyDescent="0.3">
      <c r="X1051" s="38"/>
    </row>
    <row r="1052" spans="24:24" x14ac:dyDescent="0.3">
      <c r="X1052" s="38"/>
    </row>
    <row r="1053" spans="24:24" x14ac:dyDescent="0.3">
      <c r="X1053" s="38"/>
    </row>
    <row r="1054" spans="24:24" x14ac:dyDescent="0.3">
      <c r="X1054" s="38"/>
    </row>
    <row r="1055" spans="24:24" x14ac:dyDescent="0.3">
      <c r="X1055" s="38"/>
    </row>
    <row r="1056" spans="24:24" x14ac:dyDescent="0.3">
      <c r="X1056" s="38"/>
    </row>
    <row r="1057" spans="24:24" x14ac:dyDescent="0.3">
      <c r="X1057" s="38"/>
    </row>
    <row r="1058" spans="24:24" x14ac:dyDescent="0.3">
      <c r="X1058" s="38"/>
    </row>
    <row r="1059" spans="24:24" x14ac:dyDescent="0.3">
      <c r="X1059" s="38"/>
    </row>
    <row r="1060" spans="24:24" x14ac:dyDescent="0.3">
      <c r="X1060" s="38"/>
    </row>
    <row r="1061" spans="24:24" x14ac:dyDescent="0.3">
      <c r="X1061" s="38"/>
    </row>
    <row r="1062" spans="24:24" x14ac:dyDescent="0.3">
      <c r="X1062" s="38"/>
    </row>
    <row r="1063" spans="24:24" x14ac:dyDescent="0.3">
      <c r="X1063" s="38"/>
    </row>
    <row r="1064" spans="24:24" x14ac:dyDescent="0.3">
      <c r="X1064" s="38"/>
    </row>
    <row r="1065" spans="24:24" x14ac:dyDescent="0.3">
      <c r="X1065" s="38"/>
    </row>
    <row r="1066" spans="24:24" x14ac:dyDescent="0.3">
      <c r="X1066" s="38"/>
    </row>
    <row r="1067" spans="24:24" x14ac:dyDescent="0.3">
      <c r="X1067" s="38"/>
    </row>
    <row r="1068" spans="24:24" x14ac:dyDescent="0.3">
      <c r="X1068" s="38"/>
    </row>
    <row r="1069" spans="24:24" x14ac:dyDescent="0.3">
      <c r="X1069" s="38"/>
    </row>
    <row r="1070" spans="24:24" x14ac:dyDescent="0.3">
      <c r="X1070" s="38"/>
    </row>
    <row r="1071" spans="24:24" x14ac:dyDescent="0.3">
      <c r="X1071" s="38"/>
    </row>
    <row r="1072" spans="24:24" x14ac:dyDescent="0.3">
      <c r="X1072" s="38"/>
    </row>
    <row r="1073" spans="24:24" x14ac:dyDescent="0.3">
      <c r="X1073" s="38"/>
    </row>
    <row r="1074" spans="24:24" x14ac:dyDescent="0.3">
      <c r="X1074" s="38"/>
    </row>
    <row r="1075" spans="24:24" x14ac:dyDescent="0.3">
      <c r="X1075" s="38"/>
    </row>
    <row r="1076" spans="24:24" x14ac:dyDescent="0.3">
      <c r="X1076" s="38"/>
    </row>
    <row r="1077" spans="24:24" x14ac:dyDescent="0.3">
      <c r="X1077" s="38"/>
    </row>
    <row r="1078" spans="24:24" x14ac:dyDescent="0.3">
      <c r="X1078" s="38"/>
    </row>
    <row r="1079" spans="24:24" x14ac:dyDescent="0.3">
      <c r="X1079" s="38"/>
    </row>
    <row r="1080" spans="24:24" x14ac:dyDescent="0.3">
      <c r="X1080" s="38"/>
    </row>
    <row r="1081" spans="24:24" x14ac:dyDescent="0.3">
      <c r="X1081" s="38"/>
    </row>
    <row r="1082" spans="24:24" x14ac:dyDescent="0.3">
      <c r="X1082" s="38"/>
    </row>
    <row r="1083" spans="24:24" x14ac:dyDescent="0.3">
      <c r="X1083" s="38"/>
    </row>
    <row r="1084" spans="24:24" x14ac:dyDescent="0.3">
      <c r="X1084" s="38"/>
    </row>
    <row r="1085" spans="24:24" x14ac:dyDescent="0.3">
      <c r="X1085" s="38"/>
    </row>
    <row r="1086" spans="24:24" x14ac:dyDescent="0.3">
      <c r="X1086" s="38"/>
    </row>
    <row r="1087" spans="24:24" x14ac:dyDescent="0.3">
      <c r="X1087" s="38"/>
    </row>
    <row r="1088" spans="24:24" x14ac:dyDescent="0.3">
      <c r="X1088" s="38"/>
    </row>
    <row r="1089" spans="24:24" x14ac:dyDescent="0.3">
      <c r="X1089" s="38"/>
    </row>
    <row r="1090" spans="24:24" x14ac:dyDescent="0.3">
      <c r="X1090" s="38"/>
    </row>
    <row r="1091" spans="24:24" x14ac:dyDescent="0.3">
      <c r="X1091" s="38"/>
    </row>
    <row r="1092" spans="24:24" x14ac:dyDescent="0.3">
      <c r="X1092" s="38"/>
    </row>
    <row r="1093" spans="24:24" x14ac:dyDescent="0.3">
      <c r="X1093" s="38"/>
    </row>
    <row r="1094" spans="24:24" x14ac:dyDescent="0.3">
      <c r="X1094" s="38"/>
    </row>
    <row r="1095" spans="24:24" x14ac:dyDescent="0.3">
      <c r="X1095" s="38"/>
    </row>
    <row r="1096" spans="24:24" x14ac:dyDescent="0.3">
      <c r="X1096" s="38"/>
    </row>
    <row r="1097" spans="24:24" x14ac:dyDescent="0.3">
      <c r="X1097" s="38"/>
    </row>
    <row r="1098" spans="24:24" x14ac:dyDescent="0.3">
      <c r="X1098" s="38"/>
    </row>
    <row r="1099" spans="24:24" x14ac:dyDescent="0.3">
      <c r="X1099" s="38"/>
    </row>
    <row r="1100" spans="24:24" x14ac:dyDescent="0.3">
      <c r="X1100" s="38"/>
    </row>
    <row r="1101" spans="24:24" x14ac:dyDescent="0.3">
      <c r="X1101" s="38"/>
    </row>
    <row r="1102" spans="24:24" x14ac:dyDescent="0.3">
      <c r="X1102" s="38"/>
    </row>
    <row r="1103" spans="24:24" x14ac:dyDescent="0.3">
      <c r="X1103" s="38"/>
    </row>
    <row r="1104" spans="24:24" x14ac:dyDescent="0.3">
      <c r="X1104" s="38"/>
    </row>
    <row r="1105" spans="24:24" x14ac:dyDescent="0.3">
      <c r="X1105" s="38"/>
    </row>
    <row r="1106" spans="24:24" x14ac:dyDescent="0.3">
      <c r="X1106" s="38"/>
    </row>
    <row r="1107" spans="24:24" x14ac:dyDescent="0.3">
      <c r="X1107" s="38"/>
    </row>
    <row r="1108" spans="24:24" x14ac:dyDescent="0.3">
      <c r="X1108" s="38"/>
    </row>
    <row r="1109" spans="24:24" x14ac:dyDescent="0.3">
      <c r="X1109" s="38"/>
    </row>
    <row r="1110" spans="24:24" x14ac:dyDescent="0.3">
      <c r="X1110" s="38"/>
    </row>
    <row r="1111" spans="24:24" x14ac:dyDescent="0.3">
      <c r="X1111" s="38"/>
    </row>
    <row r="1112" spans="24:24" x14ac:dyDescent="0.3">
      <c r="X1112" s="38"/>
    </row>
    <row r="1113" spans="24:24" x14ac:dyDescent="0.3">
      <c r="X1113" s="38"/>
    </row>
    <row r="1114" spans="24:24" x14ac:dyDescent="0.3">
      <c r="X1114" s="38"/>
    </row>
    <row r="1115" spans="24:24" x14ac:dyDescent="0.3">
      <c r="X1115" s="38"/>
    </row>
    <row r="1116" spans="24:24" x14ac:dyDescent="0.3">
      <c r="X1116" s="38"/>
    </row>
    <row r="1117" spans="24:24" x14ac:dyDescent="0.3">
      <c r="X1117" s="38"/>
    </row>
    <row r="1118" spans="24:24" x14ac:dyDescent="0.3">
      <c r="X1118" s="38"/>
    </row>
    <row r="1119" spans="24:24" x14ac:dyDescent="0.3">
      <c r="X1119" s="38"/>
    </row>
    <row r="1120" spans="24:24" x14ac:dyDescent="0.3">
      <c r="X1120" s="38"/>
    </row>
    <row r="1121" spans="24:24" x14ac:dyDescent="0.3">
      <c r="X1121" s="38"/>
    </row>
    <row r="1122" spans="24:24" x14ac:dyDescent="0.3">
      <c r="X1122" s="38"/>
    </row>
    <row r="1123" spans="24:24" x14ac:dyDescent="0.3">
      <c r="X1123" s="38"/>
    </row>
    <row r="1124" spans="24:24" x14ac:dyDescent="0.3">
      <c r="X1124" s="38"/>
    </row>
    <row r="1125" spans="24:24" x14ac:dyDescent="0.3">
      <c r="X1125" s="38"/>
    </row>
    <row r="1126" spans="24:24" x14ac:dyDescent="0.3">
      <c r="X1126" s="38"/>
    </row>
    <row r="1127" spans="24:24" x14ac:dyDescent="0.3">
      <c r="X1127" s="38"/>
    </row>
    <row r="1128" spans="24:24" x14ac:dyDescent="0.3">
      <c r="X1128" s="38"/>
    </row>
    <row r="1129" spans="24:24" x14ac:dyDescent="0.3">
      <c r="X1129" s="38"/>
    </row>
    <row r="1130" spans="24:24" x14ac:dyDescent="0.3">
      <c r="X1130" s="38"/>
    </row>
    <row r="1131" spans="24:24" x14ac:dyDescent="0.3">
      <c r="X1131" s="38"/>
    </row>
    <row r="1132" spans="24:24" x14ac:dyDescent="0.3">
      <c r="X1132" s="38"/>
    </row>
    <row r="1133" spans="24:24" x14ac:dyDescent="0.3">
      <c r="X1133" s="38"/>
    </row>
    <row r="1134" spans="24:24" x14ac:dyDescent="0.3">
      <c r="X1134" s="38"/>
    </row>
    <row r="1135" spans="24:24" x14ac:dyDescent="0.3">
      <c r="X1135" s="38"/>
    </row>
    <row r="1136" spans="24:24" x14ac:dyDescent="0.3">
      <c r="X1136" s="38"/>
    </row>
    <row r="1137" spans="24:24" x14ac:dyDescent="0.3">
      <c r="X1137" s="38"/>
    </row>
    <row r="1138" spans="24:24" x14ac:dyDescent="0.3">
      <c r="X1138" s="38"/>
    </row>
    <row r="1139" spans="24:24" x14ac:dyDescent="0.3">
      <c r="X1139" s="38"/>
    </row>
    <row r="1140" spans="24:24" x14ac:dyDescent="0.3">
      <c r="X1140" s="38"/>
    </row>
    <row r="1141" spans="24:24" x14ac:dyDescent="0.3">
      <c r="X1141" s="38"/>
    </row>
    <row r="1142" spans="24:24" x14ac:dyDescent="0.3">
      <c r="X1142" s="38"/>
    </row>
    <row r="1143" spans="24:24" x14ac:dyDescent="0.3">
      <c r="X1143" s="38"/>
    </row>
    <row r="1144" spans="24:24" x14ac:dyDescent="0.3">
      <c r="X1144" s="38"/>
    </row>
    <row r="1145" spans="24:24" x14ac:dyDescent="0.3">
      <c r="X1145" s="38"/>
    </row>
    <row r="1146" spans="24:24" x14ac:dyDescent="0.3">
      <c r="X1146" s="38"/>
    </row>
    <row r="1147" spans="24:24" x14ac:dyDescent="0.3">
      <c r="X1147" s="38"/>
    </row>
    <row r="1148" spans="24:24" x14ac:dyDescent="0.3">
      <c r="X1148" s="38"/>
    </row>
    <row r="1149" spans="24:24" x14ac:dyDescent="0.3">
      <c r="X1149" s="38"/>
    </row>
    <row r="1150" spans="24:24" x14ac:dyDescent="0.3">
      <c r="X1150" s="38"/>
    </row>
    <row r="1151" spans="24:24" x14ac:dyDescent="0.3">
      <c r="X1151" s="38"/>
    </row>
    <row r="1152" spans="24:24" x14ac:dyDescent="0.3">
      <c r="X1152" s="38"/>
    </row>
    <row r="1153" spans="24:24" x14ac:dyDescent="0.3">
      <c r="X1153" s="38"/>
    </row>
    <row r="1154" spans="24:24" x14ac:dyDescent="0.3">
      <c r="X1154" s="38"/>
    </row>
    <row r="1155" spans="24:24" x14ac:dyDescent="0.3">
      <c r="X1155" s="38"/>
    </row>
    <row r="1156" spans="24:24" x14ac:dyDescent="0.3">
      <c r="X1156" s="38"/>
    </row>
    <row r="1157" spans="24:24" x14ac:dyDescent="0.3">
      <c r="X1157" s="38"/>
    </row>
    <row r="1158" spans="24:24" x14ac:dyDescent="0.3">
      <c r="X1158" s="38"/>
    </row>
    <row r="1159" spans="24:24" x14ac:dyDescent="0.3">
      <c r="X1159" s="38"/>
    </row>
    <row r="1160" spans="24:24" x14ac:dyDescent="0.3">
      <c r="X1160" s="38"/>
    </row>
    <row r="1161" spans="24:24" x14ac:dyDescent="0.3">
      <c r="X1161" s="38"/>
    </row>
    <row r="1162" spans="24:24" x14ac:dyDescent="0.3">
      <c r="X1162" s="38"/>
    </row>
    <row r="1163" spans="24:24" x14ac:dyDescent="0.3">
      <c r="X1163" s="38"/>
    </row>
    <row r="1164" spans="24:24" x14ac:dyDescent="0.3">
      <c r="X1164" s="38"/>
    </row>
    <row r="1165" spans="24:24" x14ac:dyDescent="0.3">
      <c r="X1165" s="38"/>
    </row>
    <row r="1166" spans="24:24" x14ac:dyDescent="0.3">
      <c r="X1166" s="38"/>
    </row>
    <row r="1167" spans="24:24" x14ac:dyDescent="0.3">
      <c r="X1167" s="38"/>
    </row>
    <row r="1168" spans="24:24" x14ac:dyDescent="0.3">
      <c r="X1168" s="38"/>
    </row>
    <row r="1169" spans="24:24" x14ac:dyDescent="0.3">
      <c r="X1169" s="38"/>
    </row>
    <row r="1170" spans="24:24" x14ac:dyDescent="0.3">
      <c r="X1170" s="38"/>
    </row>
    <row r="1171" spans="24:24" x14ac:dyDescent="0.3">
      <c r="X1171" s="38"/>
    </row>
    <row r="1172" spans="24:24" x14ac:dyDescent="0.3">
      <c r="X1172" s="38"/>
    </row>
    <row r="1173" spans="24:24" x14ac:dyDescent="0.3">
      <c r="X1173" s="38"/>
    </row>
    <row r="1174" spans="24:24" x14ac:dyDescent="0.3">
      <c r="X1174" s="38"/>
    </row>
    <row r="1175" spans="24:24" x14ac:dyDescent="0.3">
      <c r="X1175" s="38"/>
    </row>
    <row r="1176" spans="24:24" x14ac:dyDescent="0.3">
      <c r="X1176" s="38"/>
    </row>
    <row r="1177" spans="24:24" x14ac:dyDescent="0.3">
      <c r="X1177" s="38"/>
    </row>
    <row r="1178" spans="24:24" x14ac:dyDescent="0.3">
      <c r="X1178" s="38"/>
    </row>
    <row r="1179" spans="24:24" x14ac:dyDescent="0.3">
      <c r="X1179" s="38"/>
    </row>
    <row r="1180" spans="24:24" x14ac:dyDescent="0.3">
      <c r="X1180" s="38"/>
    </row>
    <row r="1181" spans="24:24" x14ac:dyDescent="0.3">
      <c r="X1181" s="38"/>
    </row>
    <row r="1182" spans="24:24" x14ac:dyDescent="0.3">
      <c r="X1182" s="38"/>
    </row>
    <row r="1183" spans="24:24" x14ac:dyDescent="0.3">
      <c r="X1183" s="38"/>
    </row>
    <row r="1184" spans="24:24" x14ac:dyDescent="0.3">
      <c r="X1184" s="38"/>
    </row>
    <row r="1185" spans="24:24" x14ac:dyDescent="0.3">
      <c r="X1185" s="38"/>
    </row>
    <row r="1186" spans="24:24" x14ac:dyDescent="0.3">
      <c r="X1186" s="38"/>
    </row>
    <row r="1187" spans="24:24" x14ac:dyDescent="0.3">
      <c r="X1187" s="38"/>
    </row>
    <row r="1188" spans="24:24" x14ac:dyDescent="0.3">
      <c r="X1188" s="38"/>
    </row>
    <row r="1189" spans="24:24" x14ac:dyDescent="0.3">
      <c r="X1189" s="38"/>
    </row>
    <row r="1190" spans="24:24" x14ac:dyDescent="0.3">
      <c r="X1190" s="38"/>
    </row>
    <row r="1191" spans="24:24" x14ac:dyDescent="0.3">
      <c r="X1191" s="38"/>
    </row>
    <row r="1192" spans="24:24" x14ac:dyDescent="0.3">
      <c r="X1192" s="38"/>
    </row>
    <row r="1193" spans="24:24" x14ac:dyDescent="0.3">
      <c r="X1193" s="38"/>
    </row>
    <row r="1194" spans="24:24" x14ac:dyDescent="0.3">
      <c r="X1194" s="38"/>
    </row>
    <row r="1195" spans="24:24" x14ac:dyDescent="0.3">
      <c r="X1195" s="38"/>
    </row>
    <row r="1196" spans="24:24" x14ac:dyDescent="0.3">
      <c r="X1196" s="38"/>
    </row>
    <row r="1197" spans="24:24" x14ac:dyDescent="0.3">
      <c r="X1197" s="38"/>
    </row>
    <row r="1198" spans="24:24" x14ac:dyDescent="0.3">
      <c r="X1198" s="38"/>
    </row>
    <row r="1199" spans="24:24" x14ac:dyDescent="0.3">
      <c r="X1199" s="38"/>
    </row>
    <row r="1200" spans="24:24" x14ac:dyDescent="0.3">
      <c r="X1200" s="38"/>
    </row>
    <row r="1201" spans="24:24" x14ac:dyDescent="0.3">
      <c r="X1201" s="38"/>
    </row>
    <row r="1202" spans="24:24" x14ac:dyDescent="0.3">
      <c r="X1202" s="38"/>
    </row>
    <row r="1203" spans="24:24" x14ac:dyDescent="0.3">
      <c r="X1203" s="38"/>
    </row>
    <row r="1204" spans="24:24" x14ac:dyDescent="0.3">
      <c r="X1204" s="38"/>
    </row>
    <row r="1205" spans="24:24" x14ac:dyDescent="0.3">
      <c r="X1205" s="38"/>
    </row>
    <row r="1206" spans="24:24" x14ac:dyDescent="0.3">
      <c r="X1206" s="38"/>
    </row>
    <row r="1207" spans="24:24" x14ac:dyDescent="0.3">
      <c r="X1207" s="38"/>
    </row>
    <row r="1208" spans="24:24" x14ac:dyDescent="0.3">
      <c r="X1208" s="38"/>
    </row>
    <row r="1209" spans="24:24" x14ac:dyDescent="0.3">
      <c r="X1209" s="38"/>
    </row>
    <row r="1210" spans="24:24" x14ac:dyDescent="0.3">
      <c r="X1210" s="38"/>
    </row>
    <row r="1211" spans="24:24" x14ac:dyDescent="0.3">
      <c r="X1211" s="38"/>
    </row>
    <row r="1212" spans="24:24" x14ac:dyDescent="0.3">
      <c r="X1212" s="38"/>
    </row>
    <row r="1213" spans="24:24" x14ac:dyDescent="0.3">
      <c r="X1213" s="38"/>
    </row>
    <row r="1214" spans="24:24" x14ac:dyDescent="0.3">
      <c r="X1214" s="38"/>
    </row>
    <row r="1215" spans="24:24" x14ac:dyDescent="0.3">
      <c r="X1215" s="38"/>
    </row>
    <row r="1216" spans="24:24" x14ac:dyDescent="0.3">
      <c r="X1216" s="38"/>
    </row>
    <row r="1217" spans="24:24" x14ac:dyDescent="0.3">
      <c r="X1217" s="38"/>
    </row>
    <row r="1218" spans="24:24" x14ac:dyDescent="0.3">
      <c r="X1218" s="38"/>
    </row>
    <row r="1219" spans="24:24" x14ac:dyDescent="0.3">
      <c r="X1219" s="38"/>
    </row>
    <row r="1220" spans="24:24" x14ac:dyDescent="0.3">
      <c r="X1220" s="38"/>
    </row>
    <row r="1221" spans="24:24" x14ac:dyDescent="0.3">
      <c r="X1221" s="38"/>
    </row>
    <row r="1222" spans="24:24" x14ac:dyDescent="0.3">
      <c r="X1222" s="38"/>
    </row>
    <row r="1223" spans="24:24" x14ac:dyDescent="0.3">
      <c r="X1223" s="38"/>
    </row>
    <row r="1224" spans="24:24" x14ac:dyDescent="0.3">
      <c r="X1224" s="38"/>
    </row>
    <row r="1225" spans="24:24" x14ac:dyDescent="0.3">
      <c r="X1225" s="38"/>
    </row>
    <row r="1226" spans="24:24" x14ac:dyDescent="0.3">
      <c r="X1226" s="38"/>
    </row>
    <row r="1227" spans="24:24" x14ac:dyDescent="0.3">
      <c r="X1227" s="38"/>
    </row>
    <row r="1228" spans="24:24" x14ac:dyDescent="0.3">
      <c r="X1228" s="38"/>
    </row>
    <row r="1229" spans="24:24" x14ac:dyDescent="0.3">
      <c r="X1229" s="38"/>
    </row>
    <row r="1230" spans="24:24" x14ac:dyDescent="0.3">
      <c r="X1230" s="38"/>
    </row>
    <row r="1231" spans="24:24" x14ac:dyDescent="0.3">
      <c r="X1231" s="38"/>
    </row>
    <row r="1232" spans="24:24" x14ac:dyDescent="0.3">
      <c r="X1232" s="38"/>
    </row>
    <row r="1233" spans="24:24" x14ac:dyDescent="0.3">
      <c r="X1233" s="38"/>
    </row>
    <row r="1234" spans="24:24" x14ac:dyDescent="0.3">
      <c r="X1234" s="38"/>
    </row>
    <row r="1235" spans="24:24" x14ac:dyDescent="0.3">
      <c r="X1235" s="38"/>
    </row>
    <row r="1236" spans="24:24" x14ac:dyDescent="0.3">
      <c r="X1236" s="38"/>
    </row>
    <row r="1237" spans="24:24" x14ac:dyDescent="0.3">
      <c r="X1237" s="38"/>
    </row>
    <row r="1238" spans="24:24" x14ac:dyDescent="0.3">
      <c r="X1238" s="38"/>
    </row>
    <row r="1239" spans="24:24" x14ac:dyDescent="0.3">
      <c r="X1239" s="38"/>
    </row>
    <row r="1240" spans="24:24" x14ac:dyDescent="0.3">
      <c r="X1240" s="38"/>
    </row>
    <row r="1241" spans="24:24" x14ac:dyDescent="0.3">
      <c r="X1241" s="38"/>
    </row>
    <row r="1242" spans="24:24" x14ac:dyDescent="0.3">
      <c r="X1242" s="38"/>
    </row>
    <row r="1243" spans="24:24" x14ac:dyDescent="0.3">
      <c r="X1243" s="38"/>
    </row>
    <row r="1244" spans="24:24" x14ac:dyDescent="0.3">
      <c r="X1244" s="38"/>
    </row>
    <row r="1245" spans="24:24" x14ac:dyDescent="0.3">
      <c r="X1245" s="38"/>
    </row>
    <row r="1246" spans="24:24" x14ac:dyDescent="0.3">
      <c r="X1246" s="38"/>
    </row>
    <row r="1247" spans="24:24" x14ac:dyDescent="0.3">
      <c r="X1247" s="38"/>
    </row>
    <row r="1248" spans="24:24" x14ac:dyDescent="0.3">
      <c r="X1248" s="38"/>
    </row>
    <row r="1249" spans="24:24" x14ac:dyDescent="0.3">
      <c r="X1249" s="38"/>
    </row>
    <row r="1250" spans="24:24" x14ac:dyDescent="0.3">
      <c r="X1250" s="38"/>
    </row>
    <row r="1251" spans="24:24" x14ac:dyDescent="0.3">
      <c r="X1251" s="38"/>
    </row>
    <row r="1252" spans="24:24" x14ac:dyDescent="0.3">
      <c r="X1252" s="38"/>
    </row>
    <row r="1253" spans="24:24" x14ac:dyDescent="0.3">
      <c r="X1253" s="38"/>
    </row>
    <row r="1254" spans="24:24" x14ac:dyDescent="0.3">
      <c r="X1254" s="38"/>
    </row>
    <row r="1255" spans="24:24" x14ac:dyDescent="0.3">
      <c r="X1255" s="38"/>
    </row>
    <row r="1256" spans="24:24" x14ac:dyDescent="0.3">
      <c r="X1256" s="38"/>
    </row>
    <row r="1257" spans="24:24" x14ac:dyDescent="0.3">
      <c r="X1257" s="38"/>
    </row>
    <row r="1258" spans="24:24" x14ac:dyDescent="0.3">
      <c r="X1258" s="38"/>
    </row>
    <row r="1259" spans="24:24" x14ac:dyDescent="0.3">
      <c r="X1259" s="38"/>
    </row>
    <row r="1260" spans="24:24" x14ac:dyDescent="0.3">
      <c r="X1260" s="38"/>
    </row>
    <row r="1261" spans="24:24" x14ac:dyDescent="0.3">
      <c r="X1261" s="38"/>
    </row>
    <row r="1262" spans="24:24" x14ac:dyDescent="0.3">
      <c r="X1262" s="38"/>
    </row>
    <row r="1263" spans="24:24" x14ac:dyDescent="0.3">
      <c r="X1263" s="38"/>
    </row>
    <row r="1264" spans="24:24" x14ac:dyDescent="0.3">
      <c r="X1264" s="38"/>
    </row>
    <row r="1265" spans="24:24" x14ac:dyDescent="0.3">
      <c r="X1265" s="38"/>
    </row>
    <row r="1266" spans="24:24" x14ac:dyDescent="0.3">
      <c r="X1266" s="38"/>
    </row>
    <row r="1267" spans="24:24" x14ac:dyDescent="0.3">
      <c r="X1267" s="38"/>
    </row>
    <row r="1268" spans="24:24" x14ac:dyDescent="0.3">
      <c r="X1268" s="38"/>
    </row>
    <row r="1269" spans="24:24" x14ac:dyDescent="0.3">
      <c r="X1269" s="38"/>
    </row>
    <row r="1270" spans="24:24" x14ac:dyDescent="0.3">
      <c r="X1270" s="38"/>
    </row>
    <row r="1271" spans="24:24" x14ac:dyDescent="0.3">
      <c r="X1271" s="38"/>
    </row>
    <row r="1272" spans="24:24" x14ac:dyDescent="0.3">
      <c r="X1272" s="38"/>
    </row>
    <row r="1273" spans="24:24" x14ac:dyDescent="0.3">
      <c r="X1273" s="38"/>
    </row>
    <row r="1274" spans="24:24" x14ac:dyDescent="0.3">
      <c r="X1274" s="38"/>
    </row>
    <row r="1275" spans="24:24" x14ac:dyDescent="0.3">
      <c r="X1275" s="38"/>
    </row>
    <row r="1276" spans="24:24" x14ac:dyDescent="0.3">
      <c r="X1276" s="38"/>
    </row>
    <row r="1277" spans="24:24" x14ac:dyDescent="0.3">
      <c r="X1277" s="38"/>
    </row>
    <row r="1278" spans="24:24" x14ac:dyDescent="0.3">
      <c r="X1278" s="38"/>
    </row>
    <row r="1279" spans="24:24" x14ac:dyDescent="0.3">
      <c r="X1279" s="38"/>
    </row>
    <row r="1280" spans="24:24" x14ac:dyDescent="0.3">
      <c r="X1280" s="38"/>
    </row>
    <row r="1281" spans="24:24" x14ac:dyDescent="0.3">
      <c r="X1281" s="38"/>
    </row>
    <row r="1282" spans="24:24" x14ac:dyDescent="0.3">
      <c r="X1282" s="38"/>
    </row>
    <row r="1283" spans="24:24" x14ac:dyDescent="0.3">
      <c r="X1283" s="38"/>
    </row>
    <row r="1284" spans="24:24" x14ac:dyDescent="0.3">
      <c r="X1284" s="38"/>
    </row>
    <row r="1285" spans="24:24" x14ac:dyDescent="0.3">
      <c r="X1285" s="38"/>
    </row>
    <row r="1286" spans="24:24" x14ac:dyDescent="0.3">
      <c r="X1286" s="38"/>
    </row>
    <row r="1287" spans="24:24" x14ac:dyDescent="0.3">
      <c r="X1287" s="38"/>
    </row>
    <row r="1288" spans="24:24" x14ac:dyDescent="0.3">
      <c r="X1288" s="38"/>
    </row>
    <row r="1289" spans="24:24" x14ac:dyDescent="0.3">
      <c r="X1289" s="38"/>
    </row>
    <row r="1290" spans="24:24" x14ac:dyDescent="0.3">
      <c r="X1290" s="38"/>
    </row>
    <row r="1291" spans="24:24" x14ac:dyDescent="0.3">
      <c r="X1291" s="38"/>
    </row>
    <row r="1292" spans="24:24" x14ac:dyDescent="0.3">
      <c r="X1292" s="38"/>
    </row>
    <row r="1293" spans="24:24" x14ac:dyDescent="0.3">
      <c r="X1293" s="38"/>
    </row>
    <row r="1294" spans="24:24" x14ac:dyDescent="0.3">
      <c r="X1294" s="38"/>
    </row>
    <row r="1295" spans="24:24" x14ac:dyDescent="0.3">
      <c r="X1295" s="38"/>
    </row>
    <row r="1296" spans="24:24" x14ac:dyDescent="0.3">
      <c r="X1296" s="38"/>
    </row>
    <row r="1297" spans="24:24" x14ac:dyDescent="0.3">
      <c r="X1297" s="38"/>
    </row>
    <row r="1298" spans="24:24" x14ac:dyDescent="0.3">
      <c r="X1298" s="38"/>
    </row>
    <row r="1299" spans="24:24" x14ac:dyDescent="0.3">
      <c r="X1299" s="38"/>
    </row>
    <row r="1300" spans="24:24" x14ac:dyDescent="0.3">
      <c r="X1300" s="38"/>
    </row>
    <row r="1301" spans="24:24" x14ac:dyDescent="0.3">
      <c r="X1301" s="38"/>
    </row>
    <row r="1302" spans="24:24" x14ac:dyDescent="0.3">
      <c r="X1302" s="38"/>
    </row>
    <row r="1303" spans="24:24" x14ac:dyDescent="0.3">
      <c r="X1303" s="38"/>
    </row>
    <row r="1304" spans="24:24" x14ac:dyDescent="0.3">
      <c r="X1304" s="38"/>
    </row>
    <row r="1305" spans="24:24" x14ac:dyDescent="0.3">
      <c r="X1305" s="38"/>
    </row>
    <row r="1306" spans="24:24" x14ac:dyDescent="0.3">
      <c r="X1306" s="38"/>
    </row>
    <row r="1307" spans="24:24" x14ac:dyDescent="0.3">
      <c r="X1307" s="38"/>
    </row>
    <row r="1308" spans="24:24" x14ac:dyDescent="0.3">
      <c r="X1308" s="38"/>
    </row>
    <row r="1309" spans="24:24" x14ac:dyDescent="0.3">
      <c r="X1309" s="38"/>
    </row>
    <row r="1310" spans="24:24" x14ac:dyDescent="0.3">
      <c r="X1310" s="38"/>
    </row>
    <row r="1311" spans="24:24" x14ac:dyDescent="0.3">
      <c r="X1311" s="38"/>
    </row>
    <row r="1312" spans="24:24" x14ac:dyDescent="0.3">
      <c r="X1312" s="38"/>
    </row>
    <row r="1313" spans="24:24" x14ac:dyDescent="0.3">
      <c r="X1313" s="38"/>
    </row>
    <row r="1314" spans="24:24" x14ac:dyDescent="0.3">
      <c r="X1314" s="38"/>
    </row>
    <row r="1315" spans="24:24" x14ac:dyDescent="0.3">
      <c r="X1315" s="38"/>
    </row>
    <row r="1316" spans="24:24" x14ac:dyDescent="0.3">
      <c r="X1316" s="38"/>
    </row>
    <row r="1317" spans="24:24" x14ac:dyDescent="0.3">
      <c r="X1317" s="38"/>
    </row>
    <row r="1318" spans="24:24" x14ac:dyDescent="0.3">
      <c r="X1318" s="38"/>
    </row>
    <row r="1319" spans="24:24" x14ac:dyDescent="0.3">
      <c r="X1319" s="38"/>
    </row>
    <row r="1320" spans="24:24" x14ac:dyDescent="0.3">
      <c r="X1320" s="38"/>
    </row>
    <row r="1321" spans="24:24" x14ac:dyDescent="0.3">
      <c r="X1321" s="38"/>
    </row>
    <row r="1322" spans="24:24" x14ac:dyDescent="0.3">
      <c r="X1322" s="38"/>
    </row>
    <row r="1323" spans="24:24" x14ac:dyDescent="0.3">
      <c r="X1323" s="38"/>
    </row>
    <row r="1324" spans="24:24" x14ac:dyDescent="0.3">
      <c r="X1324" s="38"/>
    </row>
    <row r="1325" spans="24:24" x14ac:dyDescent="0.3">
      <c r="X1325" s="38"/>
    </row>
    <row r="1326" spans="24:24" x14ac:dyDescent="0.3">
      <c r="X1326" s="38"/>
    </row>
    <row r="1327" spans="24:24" x14ac:dyDescent="0.3">
      <c r="X1327" s="38"/>
    </row>
    <row r="1328" spans="24:24" x14ac:dyDescent="0.3">
      <c r="X1328" s="38"/>
    </row>
    <row r="1329" spans="24:24" x14ac:dyDescent="0.3">
      <c r="X1329" s="38"/>
    </row>
    <row r="1330" spans="24:24" x14ac:dyDescent="0.3">
      <c r="X1330" s="38"/>
    </row>
    <row r="1331" spans="24:24" x14ac:dyDescent="0.3">
      <c r="X1331" s="38"/>
    </row>
    <row r="1332" spans="24:24" x14ac:dyDescent="0.3">
      <c r="X1332" s="38"/>
    </row>
    <row r="1333" spans="24:24" x14ac:dyDescent="0.3">
      <c r="X1333" s="38"/>
    </row>
    <row r="1334" spans="24:24" x14ac:dyDescent="0.3">
      <c r="X1334" s="38"/>
    </row>
    <row r="1335" spans="24:24" x14ac:dyDescent="0.3">
      <c r="X1335" s="38"/>
    </row>
    <row r="1336" spans="24:24" x14ac:dyDescent="0.3">
      <c r="X1336" s="38"/>
    </row>
    <row r="1337" spans="24:24" x14ac:dyDescent="0.3">
      <c r="X1337" s="38"/>
    </row>
    <row r="1338" spans="24:24" x14ac:dyDescent="0.3">
      <c r="X1338" s="38"/>
    </row>
    <row r="1339" spans="24:24" x14ac:dyDescent="0.3">
      <c r="X1339" s="38"/>
    </row>
    <row r="1340" spans="24:24" x14ac:dyDescent="0.3">
      <c r="X1340" s="38"/>
    </row>
    <row r="1341" spans="24:24" x14ac:dyDescent="0.3">
      <c r="X1341" s="38"/>
    </row>
    <row r="1342" spans="24:24" x14ac:dyDescent="0.3">
      <c r="X1342" s="38"/>
    </row>
    <row r="1343" spans="24:24" x14ac:dyDescent="0.3">
      <c r="X1343" s="38"/>
    </row>
    <row r="1344" spans="24:24" x14ac:dyDescent="0.3">
      <c r="X1344" s="38"/>
    </row>
    <row r="1345" spans="24:24" x14ac:dyDescent="0.3">
      <c r="X1345" s="38"/>
    </row>
    <row r="1346" spans="24:24" x14ac:dyDescent="0.3">
      <c r="X1346" s="38"/>
    </row>
    <row r="1347" spans="24:24" x14ac:dyDescent="0.3">
      <c r="X1347" s="38"/>
    </row>
    <row r="1348" spans="24:24" x14ac:dyDescent="0.3">
      <c r="X1348" s="38"/>
    </row>
    <row r="1349" spans="24:24" x14ac:dyDescent="0.3">
      <c r="X1349" s="38"/>
    </row>
    <row r="1350" spans="24:24" x14ac:dyDescent="0.3">
      <c r="X1350" s="38"/>
    </row>
    <row r="1351" spans="24:24" x14ac:dyDescent="0.3">
      <c r="X1351" s="38"/>
    </row>
    <row r="1352" spans="24:24" x14ac:dyDescent="0.3">
      <c r="X1352" s="38"/>
    </row>
    <row r="1353" spans="24:24" x14ac:dyDescent="0.3">
      <c r="X1353" s="38"/>
    </row>
    <row r="1354" spans="24:24" x14ac:dyDescent="0.3">
      <c r="X1354" s="38"/>
    </row>
    <row r="1355" spans="24:24" x14ac:dyDescent="0.3">
      <c r="X1355" s="38"/>
    </row>
    <row r="1356" spans="24:24" x14ac:dyDescent="0.3">
      <c r="X1356" s="38"/>
    </row>
    <row r="1357" spans="24:24" x14ac:dyDescent="0.3">
      <c r="X1357" s="38"/>
    </row>
    <row r="1358" spans="24:24" x14ac:dyDescent="0.3">
      <c r="X1358" s="38"/>
    </row>
    <row r="1359" spans="24:24" x14ac:dyDescent="0.3">
      <c r="X1359" s="38"/>
    </row>
    <row r="1360" spans="24:24" x14ac:dyDescent="0.3">
      <c r="X1360" s="38"/>
    </row>
    <row r="1361" spans="24:24" x14ac:dyDescent="0.3">
      <c r="X1361" s="38"/>
    </row>
    <row r="1362" spans="24:24" x14ac:dyDescent="0.3">
      <c r="X1362" s="38"/>
    </row>
    <row r="1363" spans="24:24" x14ac:dyDescent="0.3">
      <c r="X1363" s="38"/>
    </row>
    <row r="1364" spans="24:24" x14ac:dyDescent="0.3">
      <c r="X1364" s="38"/>
    </row>
    <row r="1365" spans="24:24" x14ac:dyDescent="0.3">
      <c r="X1365" s="38"/>
    </row>
    <row r="1366" spans="24:24" x14ac:dyDescent="0.3">
      <c r="X1366" s="38"/>
    </row>
    <row r="1367" spans="24:24" x14ac:dyDescent="0.3">
      <c r="X1367" s="38"/>
    </row>
    <row r="1368" spans="24:24" x14ac:dyDescent="0.3">
      <c r="X1368" s="38"/>
    </row>
    <row r="1369" spans="24:24" x14ac:dyDescent="0.3">
      <c r="X1369" s="38"/>
    </row>
    <row r="1370" spans="24:24" x14ac:dyDescent="0.3">
      <c r="X1370" s="38"/>
    </row>
    <row r="1371" spans="24:24" x14ac:dyDescent="0.3">
      <c r="X1371" s="38"/>
    </row>
    <row r="1372" spans="24:24" x14ac:dyDescent="0.3">
      <c r="X1372" s="38"/>
    </row>
    <row r="1373" spans="24:24" x14ac:dyDescent="0.3">
      <c r="X1373" s="38"/>
    </row>
    <row r="1374" spans="24:24" x14ac:dyDescent="0.3">
      <c r="X1374" s="38"/>
    </row>
    <row r="1375" spans="24:24" x14ac:dyDescent="0.3">
      <c r="X1375" s="38"/>
    </row>
    <row r="1376" spans="24:24" x14ac:dyDescent="0.3">
      <c r="X1376" s="38"/>
    </row>
    <row r="1377" spans="24:24" x14ac:dyDescent="0.3">
      <c r="X1377" s="38"/>
    </row>
    <row r="1378" spans="24:24" x14ac:dyDescent="0.3">
      <c r="X1378" s="38"/>
    </row>
    <row r="1379" spans="24:24" x14ac:dyDescent="0.3">
      <c r="X1379" s="38"/>
    </row>
    <row r="1380" spans="24:24" x14ac:dyDescent="0.3">
      <c r="X1380" s="38"/>
    </row>
    <row r="1381" spans="24:24" x14ac:dyDescent="0.3">
      <c r="X1381" s="38"/>
    </row>
    <row r="1382" spans="24:24" x14ac:dyDescent="0.3">
      <c r="X1382" s="38"/>
    </row>
    <row r="1383" spans="24:24" x14ac:dyDescent="0.3">
      <c r="X1383" s="38"/>
    </row>
    <row r="1384" spans="24:24" x14ac:dyDescent="0.3">
      <c r="X1384" s="38"/>
    </row>
    <row r="1385" spans="24:24" x14ac:dyDescent="0.3">
      <c r="X1385" s="38"/>
    </row>
    <row r="1386" spans="24:24" x14ac:dyDescent="0.3">
      <c r="X1386" s="38"/>
    </row>
    <row r="1387" spans="24:24" x14ac:dyDescent="0.3">
      <c r="X1387" s="38"/>
    </row>
    <row r="1388" spans="24:24" x14ac:dyDescent="0.3">
      <c r="X1388" s="38"/>
    </row>
    <row r="1389" spans="24:24" x14ac:dyDescent="0.3">
      <c r="X1389" s="38"/>
    </row>
    <row r="1390" spans="24:24" x14ac:dyDescent="0.3">
      <c r="X1390" s="38"/>
    </row>
    <row r="1391" spans="24:24" x14ac:dyDescent="0.3">
      <c r="X1391" s="38"/>
    </row>
    <row r="1392" spans="24:24" x14ac:dyDescent="0.3">
      <c r="X1392" s="38"/>
    </row>
    <row r="1393" spans="24:24" x14ac:dyDescent="0.3">
      <c r="X1393" s="38"/>
    </row>
    <row r="1394" spans="24:24" x14ac:dyDescent="0.3">
      <c r="X1394" s="38"/>
    </row>
    <row r="1395" spans="24:24" x14ac:dyDescent="0.3">
      <c r="X1395" s="38"/>
    </row>
    <row r="1396" spans="24:24" x14ac:dyDescent="0.3">
      <c r="X1396" s="38"/>
    </row>
    <row r="1397" spans="24:24" x14ac:dyDescent="0.3">
      <c r="X1397" s="38"/>
    </row>
    <row r="1398" spans="24:24" x14ac:dyDescent="0.3">
      <c r="X1398" s="38"/>
    </row>
    <row r="1399" spans="24:24" x14ac:dyDescent="0.3">
      <c r="X1399" s="38"/>
    </row>
    <row r="1400" spans="24:24" x14ac:dyDescent="0.3">
      <c r="X1400" s="38"/>
    </row>
    <row r="1401" spans="24:24" x14ac:dyDescent="0.3">
      <c r="X1401" s="38"/>
    </row>
    <row r="1402" spans="24:24" x14ac:dyDescent="0.3">
      <c r="X1402" s="38"/>
    </row>
    <row r="1403" spans="24:24" x14ac:dyDescent="0.3">
      <c r="X1403" s="38"/>
    </row>
    <row r="1404" spans="24:24" x14ac:dyDescent="0.3">
      <c r="X1404" s="38"/>
    </row>
    <row r="1405" spans="24:24" x14ac:dyDescent="0.3">
      <c r="X1405" s="38"/>
    </row>
    <row r="1406" spans="24:24" x14ac:dyDescent="0.3">
      <c r="X1406" s="38"/>
    </row>
    <row r="1407" spans="24:24" x14ac:dyDescent="0.3">
      <c r="X1407" s="38"/>
    </row>
    <row r="1408" spans="24:24" x14ac:dyDescent="0.3">
      <c r="X1408" s="38"/>
    </row>
    <row r="1409" spans="24:24" x14ac:dyDescent="0.3">
      <c r="X1409" s="38"/>
    </row>
    <row r="1410" spans="24:24" x14ac:dyDescent="0.3">
      <c r="X1410" s="38"/>
    </row>
    <row r="1411" spans="24:24" x14ac:dyDescent="0.3">
      <c r="X1411" s="38"/>
    </row>
    <row r="1412" spans="24:24" x14ac:dyDescent="0.3">
      <c r="X1412" s="38"/>
    </row>
    <row r="1413" spans="24:24" x14ac:dyDescent="0.3">
      <c r="X1413" s="38"/>
    </row>
    <row r="1414" spans="24:24" x14ac:dyDescent="0.3">
      <c r="X1414" s="38"/>
    </row>
    <row r="1415" spans="24:24" x14ac:dyDescent="0.3">
      <c r="X1415" s="38"/>
    </row>
    <row r="1416" spans="24:24" x14ac:dyDescent="0.3">
      <c r="X1416" s="38"/>
    </row>
    <row r="1417" spans="24:24" x14ac:dyDescent="0.3">
      <c r="X1417" s="38"/>
    </row>
    <row r="1418" spans="24:24" x14ac:dyDescent="0.3">
      <c r="X1418" s="38"/>
    </row>
    <row r="1419" spans="24:24" x14ac:dyDescent="0.3">
      <c r="X1419" s="38"/>
    </row>
    <row r="1420" spans="24:24" x14ac:dyDescent="0.3">
      <c r="X1420" s="38"/>
    </row>
    <row r="1421" spans="24:24" x14ac:dyDescent="0.3">
      <c r="X1421" s="38"/>
    </row>
    <row r="1422" spans="24:24" x14ac:dyDescent="0.3">
      <c r="X1422" s="38"/>
    </row>
    <row r="1423" spans="24:24" x14ac:dyDescent="0.3">
      <c r="X1423" s="38"/>
    </row>
    <row r="1424" spans="24:24" x14ac:dyDescent="0.3">
      <c r="X1424" s="38"/>
    </row>
    <row r="1425" spans="24:24" x14ac:dyDescent="0.3">
      <c r="X1425" s="38"/>
    </row>
    <row r="1426" spans="24:24" x14ac:dyDescent="0.3">
      <c r="X1426" s="38"/>
    </row>
    <row r="1427" spans="24:24" x14ac:dyDescent="0.3">
      <c r="X1427" s="38"/>
    </row>
    <row r="1428" spans="24:24" x14ac:dyDescent="0.3">
      <c r="X1428" s="38"/>
    </row>
    <row r="1429" spans="24:24" x14ac:dyDescent="0.3">
      <c r="X1429" s="38"/>
    </row>
    <row r="1430" spans="24:24" x14ac:dyDescent="0.3">
      <c r="X1430" s="38"/>
    </row>
    <row r="1431" spans="24:24" x14ac:dyDescent="0.3">
      <c r="X1431" s="38"/>
    </row>
    <row r="1432" spans="24:24" x14ac:dyDescent="0.3">
      <c r="X1432" s="38"/>
    </row>
    <row r="1433" spans="24:24" x14ac:dyDescent="0.3">
      <c r="X1433" s="38"/>
    </row>
    <row r="1434" spans="24:24" x14ac:dyDescent="0.3">
      <c r="X1434" s="38"/>
    </row>
    <row r="1435" spans="24:24" x14ac:dyDescent="0.3">
      <c r="X1435" s="38"/>
    </row>
    <row r="1436" spans="24:24" x14ac:dyDescent="0.3">
      <c r="X1436" s="38"/>
    </row>
    <row r="1437" spans="24:24" x14ac:dyDescent="0.3">
      <c r="X1437" s="38"/>
    </row>
    <row r="1438" spans="24:24" x14ac:dyDescent="0.3">
      <c r="X1438" s="38"/>
    </row>
    <row r="1439" spans="24:24" x14ac:dyDescent="0.3">
      <c r="X1439" s="38"/>
    </row>
    <row r="1440" spans="24:24" x14ac:dyDescent="0.3">
      <c r="X1440" s="38"/>
    </row>
    <row r="1441" spans="24:24" x14ac:dyDescent="0.3">
      <c r="X1441" s="38"/>
    </row>
    <row r="1442" spans="24:24" x14ac:dyDescent="0.3">
      <c r="X1442" s="38"/>
    </row>
    <row r="1443" spans="24:24" x14ac:dyDescent="0.3">
      <c r="X1443" s="38"/>
    </row>
    <row r="1444" spans="24:24" x14ac:dyDescent="0.3">
      <c r="X1444" s="38"/>
    </row>
    <row r="1445" spans="24:24" x14ac:dyDescent="0.3">
      <c r="X1445" s="38"/>
    </row>
    <row r="1446" spans="24:24" x14ac:dyDescent="0.3">
      <c r="X1446" s="38"/>
    </row>
    <row r="1447" spans="24:24" x14ac:dyDescent="0.3">
      <c r="X1447" s="38"/>
    </row>
    <row r="1448" spans="24:24" x14ac:dyDescent="0.3">
      <c r="X1448" s="38"/>
    </row>
    <row r="1449" spans="24:24" x14ac:dyDescent="0.3">
      <c r="X1449" s="38"/>
    </row>
    <row r="1450" spans="24:24" x14ac:dyDescent="0.3">
      <c r="X1450" s="38"/>
    </row>
    <row r="1451" spans="24:24" x14ac:dyDescent="0.3">
      <c r="X1451" s="38"/>
    </row>
    <row r="1452" spans="24:24" x14ac:dyDescent="0.3">
      <c r="X1452" s="38"/>
    </row>
    <row r="1453" spans="24:24" x14ac:dyDescent="0.3">
      <c r="X1453" s="38"/>
    </row>
    <row r="1454" spans="24:24" x14ac:dyDescent="0.3">
      <c r="X1454" s="38"/>
    </row>
    <row r="1455" spans="24:24" x14ac:dyDescent="0.3">
      <c r="X1455" s="38"/>
    </row>
    <row r="1456" spans="24:24" x14ac:dyDescent="0.3">
      <c r="X1456" s="38"/>
    </row>
    <row r="1457" spans="24:24" x14ac:dyDescent="0.3">
      <c r="X1457" s="38"/>
    </row>
    <row r="1458" spans="24:24" x14ac:dyDescent="0.3">
      <c r="X1458" s="38"/>
    </row>
    <row r="1459" spans="24:24" x14ac:dyDescent="0.3">
      <c r="X1459" s="38"/>
    </row>
    <row r="1460" spans="24:24" x14ac:dyDescent="0.3">
      <c r="X1460" s="38"/>
    </row>
    <row r="1461" spans="24:24" x14ac:dyDescent="0.3">
      <c r="X1461" s="38"/>
    </row>
    <row r="1462" spans="24:24" x14ac:dyDescent="0.3">
      <c r="X1462" s="38"/>
    </row>
    <row r="1463" spans="24:24" x14ac:dyDescent="0.3">
      <c r="X1463" s="38"/>
    </row>
    <row r="1464" spans="24:24" x14ac:dyDescent="0.3">
      <c r="X1464" s="38"/>
    </row>
    <row r="1465" spans="24:24" x14ac:dyDescent="0.3">
      <c r="X1465" s="38"/>
    </row>
    <row r="1466" spans="24:24" x14ac:dyDescent="0.3">
      <c r="X1466" s="38"/>
    </row>
    <row r="1467" spans="24:24" x14ac:dyDescent="0.3">
      <c r="X1467" s="38"/>
    </row>
    <row r="1468" spans="24:24" x14ac:dyDescent="0.3">
      <c r="X1468" s="38"/>
    </row>
    <row r="1469" spans="24:24" x14ac:dyDescent="0.3">
      <c r="X1469" s="38"/>
    </row>
    <row r="1470" spans="24:24" x14ac:dyDescent="0.3">
      <c r="X1470" s="38"/>
    </row>
    <row r="1471" spans="24:24" x14ac:dyDescent="0.3">
      <c r="X1471" s="38"/>
    </row>
    <row r="1472" spans="24:24" x14ac:dyDescent="0.3">
      <c r="X1472" s="38"/>
    </row>
    <row r="1473" spans="24:24" x14ac:dyDescent="0.3">
      <c r="X1473" s="38"/>
    </row>
    <row r="1474" spans="24:24" x14ac:dyDescent="0.3">
      <c r="X1474" s="38"/>
    </row>
    <row r="1475" spans="24:24" x14ac:dyDescent="0.3">
      <c r="X1475" s="38"/>
    </row>
    <row r="1476" spans="24:24" x14ac:dyDescent="0.3">
      <c r="X1476" s="38"/>
    </row>
    <row r="1477" spans="24:24" x14ac:dyDescent="0.3">
      <c r="X1477" s="38"/>
    </row>
    <row r="1478" spans="24:24" x14ac:dyDescent="0.3">
      <c r="X1478" s="38"/>
    </row>
    <row r="1479" spans="24:24" x14ac:dyDescent="0.3">
      <c r="X1479" s="38"/>
    </row>
    <row r="1480" spans="24:24" x14ac:dyDescent="0.3">
      <c r="X1480" s="38"/>
    </row>
    <row r="1481" spans="24:24" x14ac:dyDescent="0.3">
      <c r="X1481" s="38"/>
    </row>
    <row r="1482" spans="24:24" x14ac:dyDescent="0.3">
      <c r="X1482" s="38"/>
    </row>
    <row r="1483" spans="24:24" x14ac:dyDescent="0.3">
      <c r="X1483" s="38"/>
    </row>
    <row r="1484" spans="24:24" x14ac:dyDescent="0.3">
      <c r="X1484" s="38"/>
    </row>
    <row r="1485" spans="24:24" x14ac:dyDescent="0.3">
      <c r="X1485" s="38"/>
    </row>
    <row r="1486" spans="24:24" x14ac:dyDescent="0.3">
      <c r="X1486" s="38"/>
    </row>
    <row r="1487" spans="24:24" x14ac:dyDescent="0.3">
      <c r="X1487" s="38"/>
    </row>
    <row r="1488" spans="24:24" x14ac:dyDescent="0.3">
      <c r="X1488" s="38"/>
    </row>
    <row r="1489" spans="24:24" x14ac:dyDescent="0.3">
      <c r="X1489" s="38"/>
    </row>
    <row r="1490" spans="24:24" x14ac:dyDescent="0.3">
      <c r="X1490" s="38"/>
    </row>
    <row r="1491" spans="24:24" x14ac:dyDescent="0.3">
      <c r="X1491" s="38"/>
    </row>
    <row r="1492" spans="24:24" x14ac:dyDescent="0.3">
      <c r="X1492" s="38"/>
    </row>
    <row r="1493" spans="24:24" x14ac:dyDescent="0.3">
      <c r="X1493" s="38"/>
    </row>
    <row r="1494" spans="24:24" x14ac:dyDescent="0.3">
      <c r="X1494" s="38"/>
    </row>
    <row r="1495" spans="24:24" x14ac:dyDescent="0.3">
      <c r="X1495" s="38"/>
    </row>
    <row r="1496" spans="24:24" x14ac:dyDescent="0.3">
      <c r="X1496" s="38"/>
    </row>
    <row r="1497" spans="24:24" x14ac:dyDescent="0.3">
      <c r="X1497" s="38"/>
    </row>
    <row r="1498" spans="24:24" x14ac:dyDescent="0.3">
      <c r="X1498" s="38"/>
    </row>
    <row r="1499" spans="24:24" x14ac:dyDescent="0.3">
      <c r="X1499" s="38"/>
    </row>
    <row r="1500" spans="24:24" x14ac:dyDescent="0.3">
      <c r="X1500" s="38"/>
    </row>
    <row r="1501" spans="24:24" x14ac:dyDescent="0.3">
      <c r="X1501" s="38"/>
    </row>
    <row r="1502" spans="24:24" x14ac:dyDescent="0.3">
      <c r="X1502" s="38"/>
    </row>
    <row r="1503" spans="24:24" x14ac:dyDescent="0.3">
      <c r="X1503" s="38"/>
    </row>
    <row r="1504" spans="24:24" x14ac:dyDescent="0.3">
      <c r="X1504" s="38"/>
    </row>
    <row r="1505" spans="24:24" x14ac:dyDescent="0.3">
      <c r="X1505" s="38"/>
    </row>
    <row r="1506" spans="24:24" x14ac:dyDescent="0.3">
      <c r="X1506" s="38"/>
    </row>
    <row r="1507" spans="24:24" x14ac:dyDescent="0.3">
      <c r="X1507" s="38"/>
    </row>
    <row r="1508" spans="24:24" x14ac:dyDescent="0.3">
      <c r="X1508" s="38"/>
    </row>
    <row r="1509" spans="24:24" x14ac:dyDescent="0.3">
      <c r="X1509" s="38"/>
    </row>
    <row r="1510" spans="24:24" x14ac:dyDescent="0.3">
      <c r="X1510" s="38"/>
    </row>
    <row r="1511" spans="24:24" x14ac:dyDescent="0.3">
      <c r="X1511" s="38"/>
    </row>
    <row r="1512" spans="24:24" x14ac:dyDescent="0.3">
      <c r="X1512" s="38"/>
    </row>
    <row r="1513" spans="24:24" x14ac:dyDescent="0.3">
      <c r="X1513" s="38"/>
    </row>
    <row r="1514" spans="24:24" x14ac:dyDescent="0.3">
      <c r="X1514" s="38"/>
    </row>
    <row r="1515" spans="24:24" x14ac:dyDescent="0.3">
      <c r="X1515" s="38"/>
    </row>
    <row r="1516" spans="24:24" x14ac:dyDescent="0.3">
      <c r="X1516" s="38"/>
    </row>
    <row r="1517" spans="24:24" x14ac:dyDescent="0.3">
      <c r="X1517" s="38"/>
    </row>
    <row r="1518" spans="24:24" x14ac:dyDescent="0.3">
      <c r="X1518" s="38"/>
    </row>
    <row r="1519" spans="24:24" x14ac:dyDescent="0.3">
      <c r="X1519" s="38"/>
    </row>
    <row r="1520" spans="24:24" x14ac:dyDescent="0.3">
      <c r="X1520" s="38"/>
    </row>
    <row r="1521" spans="24:24" x14ac:dyDescent="0.3">
      <c r="X1521" s="38"/>
    </row>
    <row r="1522" spans="24:24" x14ac:dyDescent="0.3">
      <c r="X1522" s="38"/>
    </row>
    <row r="1523" spans="24:24" x14ac:dyDescent="0.3">
      <c r="X1523" s="38"/>
    </row>
    <row r="1524" spans="24:24" x14ac:dyDescent="0.3">
      <c r="X1524" s="38"/>
    </row>
    <row r="1525" spans="24:24" x14ac:dyDescent="0.3">
      <c r="X1525" s="38"/>
    </row>
    <row r="1526" spans="24:24" x14ac:dyDescent="0.3">
      <c r="X1526" s="38"/>
    </row>
    <row r="1527" spans="24:24" x14ac:dyDescent="0.3">
      <c r="X1527" s="38"/>
    </row>
    <row r="1528" spans="24:24" x14ac:dyDescent="0.3">
      <c r="X1528" s="38"/>
    </row>
    <row r="1529" spans="24:24" x14ac:dyDescent="0.3">
      <c r="X1529" s="38"/>
    </row>
    <row r="1530" spans="24:24" x14ac:dyDescent="0.3">
      <c r="X1530" s="38"/>
    </row>
    <row r="1531" spans="24:24" x14ac:dyDescent="0.3">
      <c r="X1531" s="38"/>
    </row>
    <row r="1532" spans="24:24" x14ac:dyDescent="0.3">
      <c r="X1532" s="38"/>
    </row>
    <row r="1533" spans="24:24" x14ac:dyDescent="0.3">
      <c r="X1533" s="38"/>
    </row>
    <row r="1534" spans="24:24" x14ac:dyDescent="0.3">
      <c r="X1534" s="38"/>
    </row>
    <row r="1535" spans="24:24" x14ac:dyDescent="0.3">
      <c r="X1535" s="38"/>
    </row>
    <row r="1536" spans="24:24" x14ac:dyDescent="0.3">
      <c r="X1536" s="38"/>
    </row>
    <row r="1537" spans="24:24" x14ac:dyDescent="0.3">
      <c r="X1537" s="38"/>
    </row>
    <row r="1538" spans="24:24" x14ac:dyDescent="0.3">
      <c r="X1538" s="38"/>
    </row>
    <row r="1539" spans="24:24" x14ac:dyDescent="0.3">
      <c r="X1539" s="38"/>
    </row>
    <row r="1540" spans="24:24" x14ac:dyDescent="0.3">
      <c r="X1540" s="38"/>
    </row>
    <row r="1541" spans="24:24" x14ac:dyDescent="0.3">
      <c r="X1541" s="38"/>
    </row>
    <row r="1542" spans="24:24" x14ac:dyDescent="0.3">
      <c r="X1542" s="38"/>
    </row>
    <row r="1543" spans="24:24" x14ac:dyDescent="0.3">
      <c r="X1543" s="38"/>
    </row>
    <row r="1544" spans="24:24" x14ac:dyDescent="0.3">
      <c r="X1544" s="38"/>
    </row>
    <row r="1545" spans="24:24" x14ac:dyDescent="0.3">
      <c r="X1545" s="38"/>
    </row>
    <row r="1546" spans="24:24" x14ac:dyDescent="0.3">
      <c r="X1546" s="38"/>
    </row>
    <row r="1547" spans="24:24" x14ac:dyDescent="0.3">
      <c r="X1547" s="38"/>
    </row>
    <row r="1548" spans="24:24" x14ac:dyDescent="0.3">
      <c r="X1548" s="38"/>
    </row>
    <row r="1549" spans="24:24" x14ac:dyDescent="0.3">
      <c r="X1549" s="38"/>
    </row>
    <row r="1550" spans="24:24" x14ac:dyDescent="0.3">
      <c r="X1550" s="38"/>
    </row>
    <row r="1551" spans="24:24" x14ac:dyDescent="0.3">
      <c r="X1551" s="38"/>
    </row>
    <row r="1552" spans="24:24" x14ac:dyDescent="0.3">
      <c r="X1552" s="38"/>
    </row>
    <row r="1553" spans="24:24" x14ac:dyDescent="0.3">
      <c r="X1553" s="38"/>
    </row>
    <row r="1554" spans="24:24" x14ac:dyDescent="0.3">
      <c r="X1554" s="38"/>
    </row>
    <row r="1555" spans="24:24" x14ac:dyDescent="0.3">
      <c r="X1555" s="38"/>
    </row>
    <row r="1556" spans="24:24" x14ac:dyDescent="0.3">
      <c r="X1556" s="38"/>
    </row>
    <row r="1557" spans="24:24" x14ac:dyDescent="0.3">
      <c r="X1557" s="38"/>
    </row>
    <row r="1558" spans="24:24" x14ac:dyDescent="0.3">
      <c r="X1558" s="38"/>
    </row>
    <row r="1559" spans="24:24" x14ac:dyDescent="0.3">
      <c r="X1559" s="38"/>
    </row>
    <row r="1560" spans="24:24" x14ac:dyDescent="0.3">
      <c r="X1560" s="38"/>
    </row>
    <row r="1561" spans="24:24" x14ac:dyDescent="0.3">
      <c r="X1561" s="38"/>
    </row>
    <row r="1562" spans="24:24" x14ac:dyDescent="0.3">
      <c r="X1562" s="38"/>
    </row>
    <row r="1563" spans="24:24" x14ac:dyDescent="0.3">
      <c r="X1563" s="38"/>
    </row>
    <row r="1564" spans="24:24" x14ac:dyDescent="0.3">
      <c r="X1564" s="38"/>
    </row>
    <row r="1565" spans="24:24" x14ac:dyDescent="0.3">
      <c r="X1565" s="38"/>
    </row>
    <row r="1566" spans="24:24" x14ac:dyDescent="0.3">
      <c r="X1566" s="38"/>
    </row>
    <row r="1567" spans="24:24" x14ac:dyDescent="0.3">
      <c r="X1567" s="38"/>
    </row>
    <row r="1568" spans="24:24" x14ac:dyDescent="0.3">
      <c r="X1568" s="38"/>
    </row>
    <row r="1569" spans="24:24" x14ac:dyDescent="0.3">
      <c r="X1569" s="38"/>
    </row>
    <row r="1570" spans="24:24" x14ac:dyDescent="0.3">
      <c r="X1570" s="38"/>
    </row>
    <row r="1571" spans="24:24" x14ac:dyDescent="0.3">
      <c r="X1571" s="38"/>
    </row>
    <row r="1572" spans="24:24" x14ac:dyDescent="0.3">
      <c r="X1572" s="38"/>
    </row>
    <row r="1573" spans="24:24" x14ac:dyDescent="0.3">
      <c r="X1573" s="38"/>
    </row>
    <row r="1574" spans="24:24" x14ac:dyDescent="0.3">
      <c r="X1574" s="38"/>
    </row>
    <row r="1575" spans="24:24" x14ac:dyDescent="0.3">
      <c r="X1575" s="38"/>
    </row>
    <row r="1576" spans="24:24" x14ac:dyDescent="0.3">
      <c r="X1576" s="38"/>
    </row>
    <row r="1577" spans="24:24" x14ac:dyDescent="0.3">
      <c r="X1577" s="38"/>
    </row>
    <row r="1578" spans="24:24" x14ac:dyDescent="0.3">
      <c r="X1578" s="38"/>
    </row>
    <row r="1579" spans="24:24" x14ac:dyDescent="0.3">
      <c r="X1579" s="38"/>
    </row>
    <row r="1580" spans="24:24" x14ac:dyDescent="0.3">
      <c r="X1580" s="38"/>
    </row>
    <row r="1581" spans="24:24" x14ac:dyDescent="0.3">
      <c r="X1581" s="38"/>
    </row>
    <row r="1582" spans="24:24" x14ac:dyDescent="0.3">
      <c r="X1582" s="38"/>
    </row>
    <row r="1583" spans="24:24" x14ac:dyDescent="0.3">
      <c r="X1583" s="38"/>
    </row>
    <row r="1584" spans="24:24" x14ac:dyDescent="0.3">
      <c r="X1584" s="38"/>
    </row>
    <row r="1585" spans="24:24" x14ac:dyDescent="0.3">
      <c r="X1585" s="38"/>
    </row>
    <row r="1586" spans="24:24" x14ac:dyDescent="0.3">
      <c r="X1586" s="38"/>
    </row>
    <row r="1587" spans="24:24" x14ac:dyDescent="0.3">
      <c r="X1587" s="38"/>
    </row>
    <row r="1588" spans="24:24" x14ac:dyDescent="0.3">
      <c r="X1588" s="38"/>
    </row>
    <row r="1589" spans="24:24" x14ac:dyDescent="0.3">
      <c r="X1589" s="38"/>
    </row>
    <row r="1590" spans="24:24" x14ac:dyDescent="0.3">
      <c r="X1590" s="38"/>
    </row>
    <row r="1591" spans="24:24" x14ac:dyDescent="0.3">
      <c r="X1591" s="38"/>
    </row>
    <row r="1592" spans="24:24" x14ac:dyDescent="0.3">
      <c r="X1592" s="38"/>
    </row>
    <row r="1593" spans="24:24" x14ac:dyDescent="0.3">
      <c r="X1593" s="38"/>
    </row>
    <row r="1594" spans="24:24" x14ac:dyDescent="0.3">
      <c r="X1594" s="38"/>
    </row>
    <row r="1595" spans="24:24" x14ac:dyDescent="0.3">
      <c r="X1595" s="38"/>
    </row>
    <row r="1596" spans="24:24" x14ac:dyDescent="0.3">
      <c r="X1596" s="38"/>
    </row>
    <row r="1597" spans="24:24" x14ac:dyDescent="0.3">
      <c r="X1597" s="38"/>
    </row>
    <row r="1598" spans="24:24" x14ac:dyDescent="0.3">
      <c r="X1598" s="38"/>
    </row>
    <row r="1599" spans="24:24" x14ac:dyDescent="0.3">
      <c r="X1599" s="38"/>
    </row>
    <row r="1600" spans="24:24" x14ac:dyDescent="0.3">
      <c r="X1600" s="38"/>
    </row>
    <row r="1601" spans="24:24" x14ac:dyDescent="0.3">
      <c r="X1601" s="38"/>
    </row>
    <row r="1602" spans="24:24" x14ac:dyDescent="0.3">
      <c r="X1602" s="38"/>
    </row>
    <row r="1603" spans="24:24" x14ac:dyDescent="0.3">
      <c r="X1603" s="38"/>
    </row>
    <row r="1604" spans="24:24" x14ac:dyDescent="0.3">
      <c r="X1604" s="38"/>
    </row>
    <row r="1605" spans="24:24" x14ac:dyDescent="0.3">
      <c r="X1605" s="38"/>
    </row>
    <row r="1606" spans="24:24" x14ac:dyDescent="0.3">
      <c r="X1606" s="38"/>
    </row>
    <row r="1607" spans="24:24" x14ac:dyDescent="0.3">
      <c r="X1607" s="38"/>
    </row>
    <row r="1608" spans="24:24" x14ac:dyDescent="0.3">
      <c r="X1608" s="38"/>
    </row>
    <row r="1609" spans="24:24" x14ac:dyDescent="0.3">
      <c r="X1609" s="38"/>
    </row>
    <row r="1610" spans="24:24" x14ac:dyDescent="0.3">
      <c r="X1610" s="38"/>
    </row>
    <row r="1611" spans="24:24" x14ac:dyDescent="0.3">
      <c r="X1611" s="38"/>
    </row>
    <row r="1612" spans="24:24" x14ac:dyDescent="0.3">
      <c r="X1612" s="38"/>
    </row>
    <row r="1613" spans="24:24" x14ac:dyDescent="0.3">
      <c r="X1613" s="38"/>
    </row>
    <row r="1614" spans="24:24" x14ac:dyDescent="0.3">
      <c r="X1614" s="38"/>
    </row>
    <row r="1615" spans="24:24" x14ac:dyDescent="0.3">
      <c r="X1615" s="38"/>
    </row>
    <row r="1616" spans="24:24" x14ac:dyDescent="0.3">
      <c r="X1616" s="38"/>
    </row>
    <row r="1617" spans="24:24" x14ac:dyDescent="0.3">
      <c r="X1617" s="38"/>
    </row>
    <row r="1618" spans="24:24" x14ac:dyDescent="0.3">
      <c r="X1618" s="38"/>
    </row>
    <row r="1619" spans="24:24" x14ac:dyDescent="0.3">
      <c r="X1619" s="38"/>
    </row>
    <row r="1620" spans="24:24" x14ac:dyDescent="0.3">
      <c r="X1620" s="38"/>
    </row>
    <row r="1621" spans="24:24" x14ac:dyDescent="0.3">
      <c r="X1621" s="38"/>
    </row>
    <row r="1622" spans="24:24" x14ac:dyDescent="0.3">
      <c r="X1622" s="38"/>
    </row>
    <row r="1623" spans="24:24" x14ac:dyDescent="0.3">
      <c r="X1623" s="38"/>
    </row>
    <row r="1624" spans="24:24" x14ac:dyDescent="0.3">
      <c r="X1624" s="38"/>
    </row>
    <row r="1625" spans="24:24" x14ac:dyDescent="0.3">
      <c r="X1625" s="38"/>
    </row>
    <row r="1626" spans="24:24" x14ac:dyDescent="0.3">
      <c r="X1626" s="38"/>
    </row>
    <row r="1627" spans="24:24" x14ac:dyDescent="0.3">
      <c r="X1627" s="38"/>
    </row>
    <row r="1628" spans="24:24" x14ac:dyDescent="0.3">
      <c r="X1628" s="38"/>
    </row>
    <row r="1629" spans="24:24" x14ac:dyDescent="0.3">
      <c r="X1629" s="38"/>
    </row>
    <row r="1630" spans="24:24" x14ac:dyDescent="0.3">
      <c r="X1630" s="38"/>
    </row>
    <row r="1631" spans="24:24" x14ac:dyDescent="0.3">
      <c r="X1631" s="38"/>
    </row>
    <row r="1632" spans="24:24" x14ac:dyDescent="0.3">
      <c r="X1632" s="38"/>
    </row>
    <row r="1633" spans="24:24" x14ac:dyDescent="0.3">
      <c r="X1633" s="38"/>
    </row>
    <row r="1634" spans="24:24" x14ac:dyDescent="0.3">
      <c r="X1634" s="38"/>
    </row>
    <row r="1635" spans="24:24" x14ac:dyDescent="0.3">
      <c r="X1635" s="38"/>
    </row>
    <row r="1636" spans="24:24" x14ac:dyDescent="0.3">
      <c r="X1636" s="38"/>
    </row>
    <row r="1637" spans="24:24" x14ac:dyDescent="0.3">
      <c r="X1637" s="38"/>
    </row>
    <row r="1638" spans="24:24" x14ac:dyDescent="0.3">
      <c r="X1638" s="38"/>
    </row>
    <row r="1639" spans="24:24" x14ac:dyDescent="0.3">
      <c r="X1639" s="38"/>
    </row>
    <row r="1640" spans="24:24" x14ac:dyDescent="0.3">
      <c r="X1640" s="38"/>
    </row>
    <row r="1641" spans="24:24" x14ac:dyDescent="0.3">
      <c r="X1641" s="38"/>
    </row>
    <row r="1642" spans="24:24" x14ac:dyDescent="0.3">
      <c r="X1642" s="38"/>
    </row>
    <row r="1643" spans="24:24" x14ac:dyDescent="0.3">
      <c r="X1643" s="38"/>
    </row>
    <row r="1644" spans="24:24" x14ac:dyDescent="0.3">
      <c r="X1644" s="38"/>
    </row>
    <row r="1645" spans="24:24" x14ac:dyDescent="0.3">
      <c r="X1645" s="38"/>
    </row>
    <row r="1646" spans="24:24" x14ac:dyDescent="0.3">
      <c r="X1646" s="38"/>
    </row>
    <row r="1647" spans="24:24" x14ac:dyDescent="0.3">
      <c r="X1647" s="38"/>
    </row>
    <row r="1648" spans="24:24" x14ac:dyDescent="0.3">
      <c r="X1648" s="38"/>
    </row>
    <row r="1649" spans="24:24" x14ac:dyDescent="0.3">
      <c r="X1649" s="38"/>
    </row>
    <row r="1650" spans="24:24" x14ac:dyDescent="0.3">
      <c r="X1650" s="38"/>
    </row>
    <row r="1651" spans="24:24" x14ac:dyDescent="0.3">
      <c r="X1651" s="38"/>
    </row>
    <row r="1652" spans="24:24" x14ac:dyDescent="0.3">
      <c r="X1652" s="38"/>
    </row>
    <row r="1653" spans="24:24" x14ac:dyDescent="0.3">
      <c r="X1653" s="38"/>
    </row>
    <row r="1654" spans="24:24" x14ac:dyDescent="0.3">
      <c r="X1654" s="38"/>
    </row>
    <row r="1655" spans="24:24" x14ac:dyDescent="0.3">
      <c r="X1655" s="38"/>
    </row>
    <row r="1656" spans="24:24" x14ac:dyDescent="0.3">
      <c r="X1656" s="38"/>
    </row>
    <row r="1657" spans="24:24" x14ac:dyDescent="0.3">
      <c r="X1657" s="38"/>
    </row>
    <row r="1658" spans="24:24" x14ac:dyDescent="0.3">
      <c r="X1658" s="38"/>
    </row>
    <row r="1659" spans="24:24" x14ac:dyDescent="0.3">
      <c r="X1659" s="38"/>
    </row>
    <row r="1660" spans="24:24" x14ac:dyDescent="0.3">
      <c r="X1660" s="38"/>
    </row>
    <row r="1661" spans="24:24" x14ac:dyDescent="0.3">
      <c r="X1661" s="38"/>
    </row>
    <row r="1662" spans="24:24" x14ac:dyDescent="0.3">
      <c r="X1662" s="38"/>
    </row>
    <row r="1663" spans="24:24" x14ac:dyDescent="0.3">
      <c r="X1663" s="38"/>
    </row>
    <row r="1664" spans="24:24" x14ac:dyDescent="0.3">
      <c r="X1664" s="38"/>
    </row>
    <row r="1665" spans="24:24" x14ac:dyDescent="0.3">
      <c r="X1665" s="38"/>
    </row>
    <row r="1666" spans="24:24" x14ac:dyDescent="0.3">
      <c r="X1666" s="38"/>
    </row>
    <row r="1667" spans="24:24" x14ac:dyDescent="0.3">
      <c r="X1667" s="38"/>
    </row>
    <row r="1668" spans="24:24" x14ac:dyDescent="0.3">
      <c r="X1668" s="38"/>
    </row>
    <row r="1669" spans="24:24" x14ac:dyDescent="0.3">
      <c r="X1669" s="38"/>
    </row>
    <row r="1670" spans="24:24" x14ac:dyDescent="0.3">
      <c r="X1670" s="38"/>
    </row>
    <row r="1671" spans="24:24" x14ac:dyDescent="0.3">
      <c r="X1671" s="38"/>
    </row>
    <row r="1672" spans="24:24" x14ac:dyDescent="0.3">
      <c r="X1672" s="38"/>
    </row>
    <row r="1673" spans="24:24" x14ac:dyDescent="0.3">
      <c r="X1673" s="38"/>
    </row>
    <row r="1674" spans="24:24" x14ac:dyDescent="0.3">
      <c r="X1674" s="38"/>
    </row>
    <row r="1675" spans="24:24" x14ac:dyDescent="0.3">
      <c r="X1675" s="38"/>
    </row>
    <row r="1676" spans="24:24" x14ac:dyDescent="0.3">
      <c r="X1676" s="38"/>
    </row>
    <row r="1677" spans="24:24" x14ac:dyDescent="0.3">
      <c r="X1677" s="38"/>
    </row>
    <row r="1678" spans="24:24" x14ac:dyDescent="0.3">
      <c r="X1678" s="38"/>
    </row>
    <row r="1679" spans="24:24" x14ac:dyDescent="0.3">
      <c r="X1679" s="38"/>
    </row>
    <row r="1680" spans="24:24" x14ac:dyDescent="0.3">
      <c r="X1680" s="38"/>
    </row>
    <row r="1681" spans="24:24" x14ac:dyDescent="0.3">
      <c r="X1681" s="38"/>
    </row>
    <row r="1682" spans="24:24" x14ac:dyDescent="0.3">
      <c r="X1682" s="38"/>
    </row>
    <row r="1683" spans="24:24" x14ac:dyDescent="0.3">
      <c r="X1683" s="38"/>
    </row>
    <row r="1684" spans="24:24" x14ac:dyDescent="0.3">
      <c r="X1684" s="38"/>
    </row>
    <row r="1685" spans="24:24" x14ac:dyDescent="0.3">
      <c r="X1685" s="38"/>
    </row>
    <row r="1686" spans="24:24" x14ac:dyDescent="0.3">
      <c r="X1686" s="38"/>
    </row>
    <row r="1687" spans="24:24" x14ac:dyDescent="0.3">
      <c r="X1687" s="38"/>
    </row>
    <row r="1688" spans="24:24" x14ac:dyDescent="0.3">
      <c r="X1688" s="38"/>
    </row>
    <row r="1689" spans="24:24" x14ac:dyDescent="0.3">
      <c r="X1689" s="38"/>
    </row>
    <row r="1690" spans="24:24" x14ac:dyDescent="0.3">
      <c r="X1690" s="38"/>
    </row>
    <row r="1691" spans="24:24" x14ac:dyDescent="0.3">
      <c r="X1691" s="38"/>
    </row>
    <row r="1692" spans="24:24" x14ac:dyDescent="0.3">
      <c r="X1692" s="38"/>
    </row>
    <row r="1693" spans="24:24" x14ac:dyDescent="0.3">
      <c r="X1693" s="38"/>
    </row>
    <row r="1694" spans="24:24" x14ac:dyDescent="0.3">
      <c r="X1694" s="38"/>
    </row>
    <row r="1695" spans="24:24" x14ac:dyDescent="0.3">
      <c r="X1695" s="38"/>
    </row>
    <row r="1696" spans="24:24" x14ac:dyDescent="0.3">
      <c r="X1696" s="38"/>
    </row>
    <row r="1697" spans="24:24" x14ac:dyDescent="0.3">
      <c r="X1697" s="38"/>
    </row>
    <row r="1698" spans="24:24" x14ac:dyDescent="0.3">
      <c r="X1698" s="38"/>
    </row>
    <row r="1699" spans="24:24" x14ac:dyDescent="0.3">
      <c r="X1699" s="38"/>
    </row>
    <row r="1700" spans="24:24" x14ac:dyDescent="0.3">
      <c r="X1700" s="38"/>
    </row>
    <row r="1701" spans="24:24" x14ac:dyDescent="0.3">
      <c r="X1701" s="38"/>
    </row>
    <row r="1702" spans="24:24" x14ac:dyDescent="0.3">
      <c r="X1702" s="38"/>
    </row>
    <row r="1703" spans="24:24" x14ac:dyDescent="0.3">
      <c r="X1703" s="38"/>
    </row>
    <row r="1704" spans="24:24" x14ac:dyDescent="0.3">
      <c r="X1704" s="38"/>
    </row>
    <row r="1705" spans="24:24" x14ac:dyDescent="0.3">
      <c r="X1705" s="38"/>
    </row>
    <row r="1706" spans="24:24" x14ac:dyDescent="0.3">
      <c r="X1706" s="38"/>
    </row>
    <row r="1707" spans="24:24" x14ac:dyDescent="0.3">
      <c r="X1707" s="38"/>
    </row>
    <row r="1708" spans="24:24" x14ac:dyDescent="0.3">
      <c r="X1708" s="38"/>
    </row>
    <row r="1709" spans="24:24" x14ac:dyDescent="0.3">
      <c r="X1709" s="38"/>
    </row>
    <row r="1710" spans="24:24" x14ac:dyDescent="0.3">
      <c r="X1710" s="38"/>
    </row>
    <row r="1711" spans="24:24" x14ac:dyDescent="0.3">
      <c r="X1711" s="38"/>
    </row>
    <row r="1712" spans="24:24" x14ac:dyDescent="0.3">
      <c r="X1712" s="38"/>
    </row>
    <row r="1713" spans="24:24" x14ac:dyDescent="0.3">
      <c r="X1713" s="38"/>
    </row>
    <row r="1714" spans="24:24" x14ac:dyDescent="0.3">
      <c r="X1714" s="38"/>
    </row>
    <row r="1715" spans="24:24" x14ac:dyDescent="0.3">
      <c r="X1715" s="38"/>
    </row>
    <row r="1716" spans="24:24" x14ac:dyDescent="0.3">
      <c r="X1716" s="38"/>
    </row>
    <row r="1717" spans="24:24" x14ac:dyDescent="0.3">
      <c r="X1717" s="38"/>
    </row>
    <row r="1718" spans="24:24" x14ac:dyDescent="0.3">
      <c r="X1718" s="38"/>
    </row>
    <row r="1719" spans="24:24" x14ac:dyDescent="0.3">
      <c r="X1719" s="38"/>
    </row>
    <row r="1720" spans="24:24" x14ac:dyDescent="0.3">
      <c r="X1720" s="38"/>
    </row>
    <row r="1721" spans="24:24" x14ac:dyDescent="0.3">
      <c r="X1721" s="38"/>
    </row>
    <row r="1722" spans="24:24" x14ac:dyDescent="0.3">
      <c r="X1722" s="38"/>
    </row>
    <row r="1723" spans="24:24" x14ac:dyDescent="0.3">
      <c r="X1723" s="38"/>
    </row>
    <row r="1724" spans="24:24" x14ac:dyDescent="0.3">
      <c r="X1724" s="38"/>
    </row>
    <row r="1725" spans="24:24" x14ac:dyDescent="0.3">
      <c r="X1725" s="38"/>
    </row>
  </sheetData>
  <sortState xmlns:xlrd2="http://schemas.microsoft.com/office/spreadsheetml/2017/richdata2" ref="X1:X1725">
    <sortCondition ref="X1:X1725"/>
  </sortState>
  <mergeCells count="273">
    <mergeCell ref="C154:C163"/>
    <mergeCell ref="P154:P163"/>
    <mergeCell ref="B104:B113"/>
    <mergeCell ref="C104:C113"/>
    <mergeCell ref="P104:P113"/>
    <mergeCell ref="B114:B123"/>
    <mergeCell ref="C114:C123"/>
    <mergeCell ref="P114:P123"/>
    <mergeCell ref="B124:B133"/>
    <mergeCell ref="B904:B913"/>
    <mergeCell ref="C904:C913"/>
    <mergeCell ref="P904:P913"/>
    <mergeCell ref="B894:B903"/>
    <mergeCell ref="C894:C903"/>
    <mergeCell ref="P894:P903"/>
    <mergeCell ref="B884:B893"/>
    <mergeCell ref="C884:C893"/>
    <mergeCell ref="P884:P893"/>
    <mergeCell ref="B874:B883"/>
    <mergeCell ref="C874:C883"/>
    <mergeCell ref="P874:P883"/>
    <mergeCell ref="B544:B553"/>
    <mergeCell ref="C544:C553"/>
    <mergeCell ref="P544:P553"/>
    <mergeCell ref="B864:B873"/>
    <mergeCell ref="C864:C873"/>
    <mergeCell ref="P864:P873"/>
    <mergeCell ref="B594:B603"/>
    <mergeCell ref="C594:C603"/>
    <mergeCell ref="P594:P603"/>
    <mergeCell ref="C724:C733"/>
    <mergeCell ref="B554:B563"/>
    <mergeCell ref="P554:P563"/>
    <mergeCell ref="B614:B623"/>
    <mergeCell ref="C614:C623"/>
    <mergeCell ref="P614:P623"/>
    <mergeCell ref="B624:B633"/>
    <mergeCell ref="C624:C633"/>
    <mergeCell ref="P624:P633"/>
    <mergeCell ref="B634:B643"/>
    <mergeCell ref="C634:C643"/>
    <mergeCell ref="P634:P643"/>
    <mergeCell ref="B534:B543"/>
    <mergeCell ref="C534:C543"/>
    <mergeCell ref="P534:P543"/>
    <mergeCell ref="B854:B863"/>
    <mergeCell ref="C854:C863"/>
    <mergeCell ref="P854:P863"/>
    <mergeCell ref="B724:B733"/>
    <mergeCell ref="P724:P733"/>
    <mergeCell ref="B524:B533"/>
    <mergeCell ref="C524:C533"/>
    <mergeCell ref="P524:P533"/>
    <mergeCell ref="B844:B853"/>
    <mergeCell ref="C844:C853"/>
    <mergeCell ref="P844:P853"/>
    <mergeCell ref="C604:C613"/>
    <mergeCell ref="P604:P613"/>
    <mergeCell ref="B654:B663"/>
    <mergeCell ref="C654:C663"/>
    <mergeCell ref="P654:P663"/>
    <mergeCell ref="B584:B593"/>
    <mergeCell ref="P584:P593"/>
    <mergeCell ref="B574:B583"/>
    <mergeCell ref="C574:C583"/>
    <mergeCell ref="P574:P583"/>
    <mergeCell ref="B514:B523"/>
    <mergeCell ref="C514:C523"/>
    <mergeCell ref="P514:P523"/>
    <mergeCell ref="B834:B843"/>
    <mergeCell ref="C834:C843"/>
    <mergeCell ref="P834:P843"/>
    <mergeCell ref="B504:B513"/>
    <mergeCell ref="C504:C513"/>
    <mergeCell ref="P504:P513"/>
    <mergeCell ref="B824:B833"/>
    <mergeCell ref="C824:C833"/>
    <mergeCell ref="P824:P833"/>
    <mergeCell ref="C694:C703"/>
    <mergeCell ref="P694:P703"/>
    <mergeCell ref="B684:B693"/>
    <mergeCell ref="C684:C693"/>
    <mergeCell ref="P684:P693"/>
    <mergeCell ref="B674:B683"/>
    <mergeCell ref="C674:C683"/>
    <mergeCell ref="P674:P683"/>
    <mergeCell ref="B664:B673"/>
    <mergeCell ref="C664:C673"/>
    <mergeCell ref="P664:P673"/>
    <mergeCell ref="B604:B613"/>
    <mergeCell ref="B494:B503"/>
    <mergeCell ref="C494:C503"/>
    <mergeCell ref="P494:P503"/>
    <mergeCell ref="B814:B823"/>
    <mergeCell ref="C814:C823"/>
    <mergeCell ref="P814:P823"/>
    <mergeCell ref="B484:B493"/>
    <mergeCell ref="C484:C493"/>
    <mergeCell ref="P484:P493"/>
    <mergeCell ref="B804:B813"/>
    <mergeCell ref="C804:C813"/>
    <mergeCell ref="P804:P813"/>
    <mergeCell ref="B734:B743"/>
    <mergeCell ref="C734:C743"/>
    <mergeCell ref="P734:P743"/>
    <mergeCell ref="C584:C593"/>
    <mergeCell ref="C554:C563"/>
    <mergeCell ref="B714:B723"/>
    <mergeCell ref="C714:C723"/>
    <mergeCell ref="P714:P723"/>
    <mergeCell ref="B704:B713"/>
    <mergeCell ref="C704:C713"/>
    <mergeCell ref="P704:P713"/>
    <mergeCell ref="B694:B703"/>
    <mergeCell ref="B474:B483"/>
    <mergeCell ref="C474:C483"/>
    <mergeCell ref="P474:P483"/>
    <mergeCell ref="B794:B803"/>
    <mergeCell ref="C794:C803"/>
    <mergeCell ref="P794:P803"/>
    <mergeCell ref="B464:B473"/>
    <mergeCell ref="C464:C473"/>
    <mergeCell ref="P464:P473"/>
    <mergeCell ref="B784:B793"/>
    <mergeCell ref="C784:C793"/>
    <mergeCell ref="P784:P793"/>
    <mergeCell ref="B774:B783"/>
    <mergeCell ref="C774:C783"/>
    <mergeCell ref="P774:P783"/>
    <mergeCell ref="B764:B773"/>
    <mergeCell ref="C764:C773"/>
    <mergeCell ref="P764:P773"/>
    <mergeCell ref="B754:B763"/>
    <mergeCell ref="C754:C763"/>
    <mergeCell ref="P754:P763"/>
    <mergeCell ref="B744:B753"/>
    <mergeCell ref="C744:C753"/>
    <mergeCell ref="P744:P753"/>
    <mergeCell ref="B324:B333"/>
    <mergeCell ref="C324:C333"/>
    <mergeCell ref="P324:P333"/>
    <mergeCell ref="C84:C93"/>
    <mergeCell ref="P84:P93"/>
    <mergeCell ref="B74:B83"/>
    <mergeCell ref="C74:C83"/>
    <mergeCell ref="B14:B23"/>
    <mergeCell ref="C14:C23"/>
    <mergeCell ref="P14:P23"/>
    <mergeCell ref="B44:B53"/>
    <mergeCell ref="C44:C53"/>
    <mergeCell ref="P44:P53"/>
    <mergeCell ref="B34:B43"/>
    <mergeCell ref="C34:C43"/>
    <mergeCell ref="P34:P43"/>
    <mergeCell ref="B24:B33"/>
    <mergeCell ref="B284:B293"/>
    <mergeCell ref="C284:C293"/>
    <mergeCell ref="P284:P293"/>
    <mergeCell ref="B304:B313"/>
    <mergeCell ref="C304:C313"/>
    <mergeCell ref="P304:P313"/>
    <mergeCell ref="B154:B163"/>
    <mergeCell ref="B4:B13"/>
    <mergeCell ref="C4:C13"/>
    <mergeCell ref="P4:P13"/>
    <mergeCell ref="B144:B153"/>
    <mergeCell ref="C144:C153"/>
    <mergeCell ref="P144:P153"/>
    <mergeCell ref="C24:C33"/>
    <mergeCell ref="P24:P33"/>
    <mergeCell ref="P74:P83"/>
    <mergeCell ref="C124:C133"/>
    <mergeCell ref="P124:P133"/>
    <mergeCell ref="B134:B143"/>
    <mergeCell ref="C134:C143"/>
    <mergeCell ref="P134:P143"/>
    <mergeCell ref="B54:B63"/>
    <mergeCell ref="C54:C63"/>
    <mergeCell ref="P54:P63"/>
    <mergeCell ref="B94:B103"/>
    <mergeCell ref="C94:C103"/>
    <mergeCell ref="P94:P103"/>
    <mergeCell ref="B84:B93"/>
    <mergeCell ref="B64:B73"/>
    <mergeCell ref="C64:C73"/>
    <mergeCell ref="P64:P73"/>
    <mergeCell ref="B264:B273"/>
    <mergeCell ref="C264:C273"/>
    <mergeCell ref="P264:P273"/>
    <mergeCell ref="B294:B303"/>
    <mergeCell ref="C294:C303"/>
    <mergeCell ref="P294:P303"/>
    <mergeCell ref="B244:B253"/>
    <mergeCell ref="C244:C253"/>
    <mergeCell ref="P244:P253"/>
    <mergeCell ref="B254:B263"/>
    <mergeCell ref="C254:C263"/>
    <mergeCell ref="P254:P263"/>
    <mergeCell ref="B274:B283"/>
    <mergeCell ref="C274:C283"/>
    <mergeCell ref="P274:P283"/>
    <mergeCell ref="B224:B233"/>
    <mergeCell ref="C224:C233"/>
    <mergeCell ref="P224:P233"/>
    <mergeCell ref="B234:B243"/>
    <mergeCell ref="C234:C243"/>
    <mergeCell ref="P234:P243"/>
    <mergeCell ref="B204:B213"/>
    <mergeCell ref="C204:C213"/>
    <mergeCell ref="P204:P213"/>
    <mergeCell ref="B214:B223"/>
    <mergeCell ref="C214:C223"/>
    <mergeCell ref="P214:P223"/>
    <mergeCell ref="B184:B193"/>
    <mergeCell ref="C184:C193"/>
    <mergeCell ref="P184:P193"/>
    <mergeCell ref="B194:B203"/>
    <mergeCell ref="C194:C203"/>
    <mergeCell ref="P194:P203"/>
    <mergeCell ref="B164:B173"/>
    <mergeCell ref="C164:C173"/>
    <mergeCell ref="P164:P173"/>
    <mergeCell ref="B174:B183"/>
    <mergeCell ref="C174:C183"/>
    <mergeCell ref="P174:P183"/>
    <mergeCell ref="B454:B463"/>
    <mergeCell ref="C454:C463"/>
    <mergeCell ref="P454:P463"/>
    <mergeCell ref="B444:B453"/>
    <mergeCell ref="C444:C453"/>
    <mergeCell ref="P444:P453"/>
    <mergeCell ref="B434:B443"/>
    <mergeCell ref="C434:C443"/>
    <mergeCell ref="P434:P443"/>
    <mergeCell ref="B384:B393"/>
    <mergeCell ref="C384:C393"/>
    <mergeCell ref="P384:P393"/>
    <mergeCell ref="B374:B383"/>
    <mergeCell ref="C374:C383"/>
    <mergeCell ref="P374:P383"/>
    <mergeCell ref="B424:B433"/>
    <mergeCell ref="C424:C433"/>
    <mergeCell ref="P424:P433"/>
    <mergeCell ref="B414:B423"/>
    <mergeCell ref="C414:C423"/>
    <mergeCell ref="P414:P423"/>
    <mergeCell ref="B404:B413"/>
    <mergeCell ref="C404:C413"/>
    <mergeCell ref="P404:P413"/>
    <mergeCell ref="B644:B653"/>
    <mergeCell ref="C644:C653"/>
    <mergeCell ref="P644:P653"/>
    <mergeCell ref="B334:B343"/>
    <mergeCell ref="C334:C343"/>
    <mergeCell ref="P334:P343"/>
    <mergeCell ref="B314:B323"/>
    <mergeCell ref="C314:C323"/>
    <mergeCell ref="P314:P323"/>
    <mergeCell ref="B564:B573"/>
    <mergeCell ref="C564:C573"/>
    <mergeCell ref="P564:P573"/>
    <mergeCell ref="B364:B373"/>
    <mergeCell ref="C364:C373"/>
    <mergeCell ref="P364:P373"/>
    <mergeCell ref="B354:B363"/>
    <mergeCell ref="C354:C363"/>
    <mergeCell ref="P354:P363"/>
    <mergeCell ref="B344:B353"/>
    <mergeCell ref="C344:C353"/>
    <mergeCell ref="P344:P353"/>
    <mergeCell ref="B394:B403"/>
    <mergeCell ref="C394:C403"/>
    <mergeCell ref="P394:P403"/>
  </mergeCells>
  <conditionalFormatting sqref="G456:K456 G416:K426 G345:K414 G4:K23 G428:K454 G780:K787 G801:K824 G827:K835 G840:K847 G849:K859 G789:K799 G458:K563 G664:K664 G666:K704 G734:K735 G744:K764 G774:K775 G861:K913 G64:K73 G44:K53 G104:K113 G144:K273 G284:K313 G324:K343 G574:K593 G712:K723 G705:G711">
    <cfRule type="cellIs" dxfId="480" priority="320" operator="equal">
      <formula>1</formula>
    </cfRule>
  </conditionalFormatting>
  <conditionalFormatting sqref="G284:K293">
    <cfRule type="cellIs" dxfId="479" priority="319" operator="equal">
      <formula>1</formula>
    </cfRule>
  </conditionalFormatting>
  <conditionalFormatting sqref="G304:K313 G324:K333">
    <cfRule type="cellIs" dxfId="478" priority="318" operator="equal">
      <formula>1</formula>
    </cfRule>
  </conditionalFormatting>
  <conditionalFormatting sqref="G14:K23">
    <cfRule type="cellIs" dxfId="477" priority="317" operator="equal">
      <formula>1</formula>
    </cfRule>
  </conditionalFormatting>
  <conditionalFormatting sqref="G44:K53 G64:K73">
    <cfRule type="cellIs" dxfId="476" priority="316" operator="equal">
      <formula>1</formula>
    </cfRule>
  </conditionalFormatting>
  <conditionalFormatting sqref="G64:K73">
    <cfRule type="cellIs" dxfId="475" priority="315" operator="equal">
      <formula>1</formula>
    </cfRule>
  </conditionalFormatting>
  <conditionalFormatting sqref="G604:K613">
    <cfRule type="cellIs" dxfId="474" priority="314" operator="equal">
      <formula>1</formula>
    </cfRule>
  </conditionalFormatting>
  <conditionalFormatting sqref="G324:K333">
    <cfRule type="cellIs" dxfId="473" priority="313" operator="equal">
      <formula>1</formula>
    </cfRule>
  </conditionalFormatting>
  <conditionalFormatting sqref="G344:K344">
    <cfRule type="cellIs" dxfId="472" priority="312" operator="equal">
      <formula>1</formula>
    </cfRule>
  </conditionalFormatting>
  <conditionalFormatting sqref="G427:K427">
    <cfRule type="cellIs" dxfId="471" priority="310" operator="equal">
      <formula>1</formula>
    </cfRule>
  </conditionalFormatting>
  <conditionalFormatting sqref="G415:K415">
    <cfRule type="cellIs" dxfId="470" priority="308" operator="equal">
      <formula>1</formula>
    </cfRule>
  </conditionalFormatting>
  <conditionalFormatting sqref="G455:K455">
    <cfRule type="cellIs" dxfId="469" priority="304" operator="equal">
      <formula>1</formula>
    </cfRule>
  </conditionalFormatting>
  <conditionalFormatting sqref="G457:K457">
    <cfRule type="cellIs" dxfId="468" priority="303" operator="equal">
      <formula>1</formula>
    </cfRule>
  </conditionalFormatting>
  <conditionalFormatting sqref="G654:K663 G737:K743 G726:K733 G767:K773 G777:K778 G468:K470 G837:K838">
    <cfRule type="cellIs" dxfId="467" priority="284" operator="equal">
      <formula>1</formula>
    </cfRule>
  </conditionalFormatting>
  <conditionalFormatting sqref="G665:K665">
    <cfRule type="cellIs" dxfId="466" priority="275" operator="equal">
      <formula>1</formula>
    </cfRule>
  </conditionalFormatting>
  <conditionalFormatting sqref="G736:K736">
    <cfRule type="cellIs" dxfId="465" priority="273" operator="equal">
      <formula>1</formula>
    </cfRule>
  </conditionalFormatting>
  <conditionalFormatting sqref="G725:K725">
    <cfRule type="cellIs" dxfId="464" priority="271" operator="equal">
      <formula>1</formula>
    </cfRule>
  </conditionalFormatting>
  <conditionalFormatting sqref="G765:K765">
    <cfRule type="cellIs" dxfId="463" priority="270" operator="equal">
      <formula>1</formula>
    </cfRule>
  </conditionalFormatting>
  <conditionalFormatting sqref="G766:K766">
    <cfRule type="cellIs" dxfId="462" priority="269" operator="equal">
      <formula>1</formula>
    </cfRule>
  </conditionalFormatting>
  <conditionalFormatting sqref="G776:K776">
    <cfRule type="cellIs" dxfId="461" priority="266" operator="equal">
      <formula>1</formula>
    </cfRule>
  </conditionalFormatting>
  <conditionalFormatting sqref="G779:K779">
    <cfRule type="cellIs" dxfId="460" priority="265" operator="equal">
      <formula>1</formula>
    </cfRule>
  </conditionalFormatting>
  <conditionalFormatting sqref="G467:K467">
    <cfRule type="cellIs" dxfId="459" priority="264" operator="equal">
      <formula>1</formula>
    </cfRule>
  </conditionalFormatting>
  <conditionalFormatting sqref="G471:K471">
    <cfRule type="cellIs" dxfId="458" priority="263" operator="equal">
      <formula>1</formula>
    </cfRule>
  </conditionalFormatting>
  <conditionalFormatting sqref="G788:K788">
    <cfRule type="cellIs" dxfId="457" priority="262" operator="equal">
      <formula>1</formula>
    </cfRule>
  </conditionalFormatting>
  <conditionalFormatting sqref="G479:K479">
    <cfRule type="cellIs" dxfId="456" priority="261" operator="equal">
      <formula>1</formula>
    </cfRule>
  </conditionalFormatting>
  <conditionalFormatting sqref="G800:K800">
    <cfRule type="cellIs" dxfId="455" priority="260" operator="equal">
      <formula>1</formula>
    </cfRule>
  </conditionalFormatting>
  <conditionalFormatting sqref="G491:K491">
    <cfRule type="cellIs" dxfId="454" priority="259" operator="equal">
      <formula>1</formula>
    </cfRule>
  </conditionalFormatting>
  <conditionalFormatting sqref="G825:K825">
    <cfRule type="cellIs" dxfId="453" priority="258" operator="equal">
      <formula>1</formula>
    </cfRule>
  </conditionalFormatting>
  <conditionalFormatting sqref="G826:K826">
    <cfRule type="cellIs" dxfId="452" priority="257" operator="equal">
      <formula>1</formula>
    </cfRule>
  </conditionalFormatting>
  <conditionalFormatting sqref="G515:K515">
    <cfRule type="cellIs" dxfId="451" priority="256" operator="equal">
      <formula>1</formula>
    </cfRule>
  </conditionalFormatting>
  <conditionalFormatting sqref="G517:K517">
    <cfRule type="cellIs" dxfId="450" priority="255" operator="equal">
      <formula>1</formula>
    </cfRule>
  </conditionalFormatting>
  <conditionalFormatting sqref="G836:K836">
    <cfRule type="cellIs" dxfId="449" priority="254" operator="equal">
      <formula>1</formula>
    </cfRule>
  </conditionalFormatting>
  <conditionalFormatting sqref="G839:K839">
    <cfRule type="cellIs" dxfId="448" priority="253" operator="equal">
      <formula>1</formula>
    </cfRule>
  </conditionalFormatting>
  <conditionalFormatting sqref="G527:K527">
    <cfRule type="cellIs" dxfId="447" priority="252" operator="equal">
      <formula>1</formula>
    </cfRule>
  </conditionalFormatting>
  <conditionalFormatting sqref="G848:K848">
    <cfRule type="cellIs" dxfId="446" priority="251" operator="equal">
      <formula>1</formula>
    </cfRule>
  </conditionalFormatting>
  <conditionalFormatting sqref="G539:K539">
    <cfRule type="cellIs" dxfId="445" priority="250" operator="equal">
      <formula>1</formula>
    </cfRule>
  </conditionalFormatting>
  <conditionalFormatting sqref="G860:K860">
    <cfRule type="cellIs" dxfId="444" priority="249" operator="equal">
      <formula>1</formula>
    </cfRule>
  </conditionalFormatting>
  <conditionalFormatting sqref="G54:K63">
    <cfRule type="cellIs" dxfId="443" priority="248" operator="equal">
      <formula>1</formula>
    </cfRule>
  </conditionalFormatting>
  <conditionalFormatting sqref="G54:K63">
    <cfRule type="cellIs" dxfId="442" priority="247" operator="equal">
      <formula>1</formula>
    </cfRule>
  </conditionalFormatting>
  <conditionalFormatting sqref="G34:K43">
    <cfRule type="cellIs" dxfId="441" priority="246" operator="equal">
      <formula>1</formula>
    </cfRule>
  </conditionalFormatting>
  <conditionalFormatting sqref="G34:K43">
    <cfRule type="cellIs" dxfId="440" priority="245" operator="equal">
      <formula>1</formula>
    </cfRule>
  </conditionalFormatting>
  <conditionalFormatting sqref="G24:K33">
    <cfRule type="cellIs" dxfId="439" priority="244" operator="equal">
      <formula>1</formula>
    </cfRule>
  </conditionalFormatting>
  <conditionalFormatting sqref="G24:K33">
    <cfRule type="cellIs" dxfId="438" priority="243" operator="equal">
      <formula>1</formula>
    </cfRule>
  </conditionalFormatting>
  <conditionalFormatting sqref="G94:K103">
    <cfRule type="cellIs" dxfId="437" priority="242" operator="equal">
      <formula>1</formula>
    </cfRule>
  </conditionalFormatting>
  <conditionalFormatting sqref="G94:K103">
    <cfRule type="cellIs" dxfId="436" priority="241" operator="equal">
      <formula>1</formula>
    </cfRule>
  </conditionalFormatting>
  <conditionalFormatting sqref="G84:K93">
    <cfRule type="cellIs" dxfId="435" priority="240" operator="equal">
      <formula>1</formula>
    </cfRule>
  </conditionalFormatting>
  <conditionalFormatting sqref="G84:K93">
    <cfRule type="cellIs" dxfId="434" priority="239" operator="equal">
      <formula>1</formula>
    </cfRule>
  </conditionalFormatting>
  <conditionalFormatting sqref="G74:K83">
    <cfRule type="cellIs" dxfId="1" priority="238" operator="equal">
      <formula>1</formula>
    </cfRule>
  </conditionalFormatting>
  <conditionalFormatting sqref="G74:K83">
    <cfRule type="cellIs" dxfId="0" priority="237" operator="equal">
      <formula>1</formula>
    </cfRule>
  </conditionalFormatting>
  <conditionalFormatting sqref="G134:K143">
    <cfRule type="cellIs" dxfId="433" priority="236" operator="equal">
      <formula>1</formula>
    </cfRule>
  </conditionalFormatting>
  <conditionalFormatting sqref="G134:K143">
    <cfRule type="cellIs" dxfId="432" priority="235" operator="equal">
      <formula>1</formula>
    </cfRule>
  </conditionalFormatting>
  <conditionalFormatting sqref="G124:K133">
    <cfRule type="cellIs" dxfId="431" priority="234" operator="equal">
      <formula>1</formula>
    </cfRule>
  </conditionalFormatting>
  <conditionalFormatting sqref="G124:K133">
    <cfRule type="cellIs" dxfId="430" priority="233" operator="equal">
      <formula>1</formula>
    </cfRule>
  </conditionalFormatting>
  <conditionalFormatting sqref="G114:K123">
    <cfRule type="cellIs" dxfId="6" priority="232" operator="equal">
      <formula>1</formula>
    </cfRule>
  </conditionalFormatting>
  <conditionalFormatting sqref="G114:K123">
    <cfRule type="cellIs" dxfId="5" priority="231" operator="equal">
      <formula>1</formula>
    </cfRule>
  </conditionalFormatting>
  <conditionalFormatting sqref="G274:K283">
    <cfRule type="cellIs" dxfId="429" priority="230" operator="equal">
      <formula>1</formula>
    </cfRule>
  </conditionalFormatting>
  <conditionalFormatting sqref="G274:K283">
    <cfRule type="cellIs" dxfId="428" priority="229" operator="equal">
      <formula>1</formula>
    </cfRule>
  </conditionalFormatting>
  <conditionalFormatting sqref="G594:K603">
    <cfRule type="cellIs" dxfId="427" priority="228" operator="equal">
      <formula>1</formula>
    </cfRule>
  </conditionalFormatting>
  <conditionalFormatting sqref="G594:K603">
    <cfRule type="cellIs" dxfId="426" priority="227" operator="equal">
      <formula>1</formula>
    </cfRule>
  </conditionalFormatting>
  <conditionalFormatting sqref="G724:K724">
    <cfRule type="cellIs" dxfId="425" priority="226" operator="equal">
      <formula>1</formula>
    </cfRule>
  </conditionalFormatting>
  <conditionalFormatting sqref="F456 F416:F426 F345:F414 F4:F23 F428:F454 F780:F787 F801:F824 F827:F835 F840:F847 F849:F859 F789:F799 F458:F563 F664 F666:F723 F734:F735 F744:F764 F774:F775 F861:F913 F64:F73 F44:F53 F104:F113 F144:F273 F284:F313 F324:F343 F574:F593">
    <cfRule type="cellIs" dxfId="424" priority="225" operator="equal">
      <formula>1</formula>
    </cfRule>
  </conditionalFormatting>
  <conditionalFormatting sqref="F284:F293">
    <cfRule type="cellIs" dxfId="423" priority="224" operator="equal">
      <formula>1</formula>
    </cfRule>
  </conditionalFormatting>
  <conditionalFormatting sqref="F304:F313 F324:F333">
    <cfRule type="cellIs" dxfId="422" priority="223" operator="equal">
      <formula>1</formula>
    </cfRule>
  </conditionalFormatting>
  <conditionalFormatting sqref="F14:F23">
    <cfRule type="cellIs" dxfId="421" priority="222" operator="equal">
      <formula>1</formula>
    </cfRule>
  </conditionalFormatting>
  <conditionalFormatting sqref="F44:F53 F64:F73">
    <cfRule type="cellIs" dxfId="420" priority="221" operator="equal">
      <formula>1</formula>
    </cfRule>
  </conditionalFormatting>
  <conditionalFormatting sqref="F64:F73">
    <cfRule type="cellIs" dxfId="419" priority="220" operator="equal">
      <formula>1</formula>
    </cfRule>
  </conditionalFormatting>
  <conditionalFormatting sqref="F604:F613">
    <cfRule type="cellIs" dxfId="418" priority="219" operator="equal">
      <formula>1</formula>
    </cfRule>
  </conditionalFormatting>
  <conditionalFormatting sqref="F324:F333">
    <cfRule type="cellIs" dxfId="417" priority="218" operator="equal">
      <formula>1</formula>
    </cfRule>
  </conditionalFormatting>
  <conditionalFormatting sqref="F344">
    <cfRule type="cellIs" dxfId="416" priority="217" operator="equal">
      <formula>1</formula>
    </cfRule>
  </conditionalFormatting>
  <conditionalFormatting sqref="F427">
    <cfRule type="cellIs" dxfId="415" priority="216" operator="equal">
      <formula>1</formula>
    </cfRule>
  </conditionalFormatting>
  <conditionalFormatting sqref="F415">
    <cfRule type="cellIs" dxfId="414" priority="215" operator="equal">
      <formula>1</formula>
    </cfRule>
  </conditionalFormatting>
  <conditionalFormatting sqref="F455">
    <cfRule type="cellIs" dxfId="413" priority="214" operator="equal">
      <formula>1</formula>
    </cfRule>
  </conditionalFormatting>
  <conditionalFormatting sqref="F457">
    <cfRule type="cellIs" dxfId="412" priority="213" operator="equal">
      <formula>1</formula>
    </cfRule>
  </conditionalFormatting>
  <conditionalFormatting sqref="F654:F663 F737:F743 F726:F733 F767:F773 F777:F778 F468:F470 F837:F838">
    <cfRule type="cellIs" dxfId="411" priority="212" operator="equal">
      <formula>1</formula>
    </cfRule>
  </conditionalFormatting>
  <conditionalFormatting sqref="F665">
    <cfRule type="cellIs" dxfId="410" priority="211" operator="equal">
      <formula>1</formula>
    </cfRule>
  </conditionalFormatting>
  <conditionalFormatting sqref="F736">
    <cfRule type="cellIs" dxfId="409" priority="210" operator="equal">
      <formula>1</formula>
    </cfRule>
  </conditionalFormatting>
  <conditionalFormatting sqref="F725">
    <cfRule type="cellIs" dxfId="408" priority="209" operator="equal">
      <formula>1</formula>
    </cfRule>
  </conditionalFormatting>
  <conditionalFormatting sqref="F765">
    <cfRule type="cellIs" dxfId="407" priority="208" operator="equal">
      <formula>1</formula>
    </cfRule>
  </conditionalFormatting>
  <conditionalFormatting sqref="F766">
    <cfRule type="cellIs" dxfId="406" priority="207" operator="equal">
      <formula>1</formula>
    </cfRule>
  </conditionalFormatting>
  <conditionalFormatting sqref="F776">
    <cfRule type="cellIs" dxfId="405" priority="206" operator="equal">
      <formula>1</formula>
    </cfRule>
  </conditionalFormatting>
  <conditionalFormatting sqref="F779">
    <cfRule type="cellIs" dxfId="404" priority="205" operator="equal">
      <formula>1</formula>
    </cfRule>
  </conditionalFormatting>
  <conditionalFormatting sqref="F467">
    <cfRule type="cellIs" dxfId="403" priority="204" operator="equal">
      <formula>1</formula>
    </cfRule>
  </conditionalFormatting>
  <conditionalFormatting sqref="F471">
    <cfRule type="cellIs" dxfId="402" priority="203" operator="equal">
      <formula>1</formula>
    </cfRule>
  </conditionalFormatting>
  <conditionalFormatting sqref="F788">
    <cfRule type="cellIs" dxfId="401" priority="202" operator="equal">
      <formula>1</formula>
    </cfRule>
  </conditionalFormatting>
  <conditionalFormatting sqref="F479">
    <cfRule type="cellIs" dxfId="400" priority="201" operator="equal">
      <formula>1</formula>
    </cfRule>
  </conditionalFormatting>
  <conditionalFormatting sqref="F800">
    <cfRule type="cellIs" dxfId="399" priority="200" operator="equal">
      <formula>1</formula>
    </cfRule>
  </conditionalFormatting>
  <conditionalFormatting sqref="F491">
    <cfRule type="cellIs" dxfId="398" priority="199" operator="equal">
      <formula>1</formula>
    </cfRule>
  </conditionalFormatting>
  <conditionalFormatting sqref="F825">
    <cfRule type="cellIs" dxfId="397" priority="198" operator="equal">
      <formula>1</formula>
    </cfRule>
  </conditionalFormatting>
  <conditionalFormatting sqref="F826">
    <cfRule type="cellIs" dxfId="396" priority="197" operator="equal">
      <formula>1</formula>
    </cfRule>
  </conditionalFormatting>
  <conditionalFormatting sqref="F515">
    <cfRule type="cellIs" dxfId="395" priority="196" operator="equal">
      <formula>1</formula>
    </cfRule>
  </conditionalFormatting>
  <conditionalFormatting sqref="F517">
    <cfRule type="cellIs" dxfId="394" priority="195" operator="equal">
      <formula>1</formula>
    </cfRule>
  </conditionalFormatting>
  <conditionalFormatting sqref="F836">
    <cfRule type="cellIs" dxfId="393" priority="194" operator="equal">
      <formula>1</formula>
    </cfRule>
  </conditionalFormatting>
  <conditionalFormatting sqref="F839">
    <cfRule type="cellIs" dxfId="392" priority="193" operator="equal">
      <formula>1</formula>
    </cfRule>
  </conditionalFormatting>
  <conditionalFormatting sqref="F527">
    <cfRule type="cellIs" dxfId="391" priority="192" operator="equal">
      <formula>1</formula>
    </cfRule>
  </conditionalFormatting>
  <conditionalFormatting sqref="F848">
    <cfRule type="cellIs" dxfId="390" priority="191" operator="equal">
      <formula>1</formula>
    </cfRule>
  </conditionalFormatting>
  <conditionalFormatting sqref="F539">
    <cfRule type="cellIs" dxfId="389" priority="190" operator="equal">
      <formula>1</formula>
    </cfRule>
  </conditionalFormatting>
  <conditionalFormatting sqref="F860">
    <cfRule type="cellIs" dxfId="388" priority="189" operator="equal">
      <formula>1</formula>
    </cfRule>
  </conditionalFormatting>
  <conditionalFormatting sqref="F54:F63">
    <cfRule type="cellIs" dxfId="387" priority="188" operator="equal">
      <formula>1</formula>
    </cfRule>
  </conditionalFormatting>
  <conditionalFormatting sqref="F54:F63">
    <cfRule type="cellIs" dxfId="386" priority="187" operator="equal">
      <formula>1</formula>
    </cfRule>
  </conditionalFormatting>
  <conditionalFormatting sqref="F34:F43">
    <cfRule type="cellIs" dxfId="385" priority="186" operator="equal">
      <formula>1</formula>
    </cfRule>
  </conditionalFormatting>
  <conditionalFormatting sqref="F34:F43">
    <cfRule type="cellIs" dxfId="384" priority="185" operator="equal">
      <formula>1</formula>
    </cfRule>
  </conditionalFormatting>
  <conditionalFormatting sqref="F24:F33">
    <cfRule type="cellIs" dxfId="383" priority="184" operator="equal">
      <formula>1</formula>
    </cfRule>
  </conditionalFormatting>
  <conditionalFormatting sqref="F24:F33">
    <cfRule type="cellIs" dxfId="382" priority="183" operator="equal">
      <formula>1</formula>
    </cfRule>
  </conditionalFormatting>
  <conditionalFormatting sqref="F94:F103">
    <cfRule type="cellIs" dxfId="381" priority="182" operator="equal">
      <formula>1</formula>
    </cfRule>
  </conditionalFormatting>
  <conditionalFormatting sqref="F94:F103">
    <cfRule type="cellIs" dxfId="380" priority="181" operator="equal">
      <formula>1</formula>
    </cfRule>
  </conditionalFormatting>
  <conditionalFormatting sqref="F84:F93">
    <cfRule type="cellIs" dxfId="379" priority="180" operator="equal">
      <formula>1</formula>
    </cfRule>
  </conditionalFormatting>
  <conditionalFormatting sqref="F84:F93">
    <cfRule type="cellIs" dxfId="378" priority="179" operator="equal">
      <formula>1</formula>
    </cfRule>
  </conditionalFormatting>
  <conditionalFormatting sqref="F74:F83">
    <cfRule type="cellIs" dxfId="377" priority="178" operator="equal">
      <formula>1</formula>
    </cfRule>
  </conditionalFormatting>
  <conditionalFormatting sqref="F74:F83">
    <cfRule type="cellIs" dxfId="376" priority="177" operator="equal">
      <formula>1</formula>
    </cfRule>
  </conditionalFormatting>
  <conditionalFormatting sqref="F134:F143">
    <cfRule type="cellIs" dxfId="375" priority="176" operator="equal">
      <formula>1</formula>
    </cfRule>
  </conditionalFormatting>
  <conditionalFormatting sqref="F134:F143">
    <cfRule type="cellIs" dxfId="374" priority="175" operator="equal">
      <formula>1</formula>
    </cfRule>
  </conditionalFormatting>
  <conditionalFormatting sqref="F124:F133">
    <cfRule type="cellIs" dxfId="373" priority="174" operator="equal">
      <formula>1</formula>
    </cfRule>
  </conditionalFormatting>
  <conditionalFormatting sqref="F124:F133">
    <cfRule type="cellIs" dxfId="372" priority="173" operator="equal">
      <formula>1</formula>
    </cfRule>
  </conditionalFormatting>
  <conditionalFormatting sqref="F114:F123">
    <cfRule type="cellIs" dxfId="371" priority="172" operator="equal">
      <formula>1</formula>
    </cfRule>
  </conditionalFormatting>
  <conditionalFormatting sqref="F114:F123">
    <cfRule type="cellIs" dxfId="370" priority="171" operator="equal">
      <formula>1</formula>
    </cfRule>
  </conditionalFormatting>
  <conditionalFormatting sqref="F274:F283">
    <cfRule type="cellIs" dxfId="369" priority="170" operator="equal">
      <formula>1</formula>
    </cfRule>
  </conditionalFormatting>
  <conditionalFormatting sqref="F274:F283">
    <cfRule type="cellIs" dxfId="368" priority="169" operator="equal">
      <formula>1</formula>
    </cfRule>
  </conditionalFormatting>
  <conditionalFormatting sqref="F594:F603">
    <cfRule type="cellIs" dxfId="367" priority="168" operator="equal">
      <formula>1</formula>
    </cfRule>
  </conditionalFormatting>
  <conditionalFormatting sqref="F594:F603">
    <cfRule type="cellIs" dxfId="366" priority="167" operator="equal">
      <formula>1</formula>
    </cfRule>
  </conditionalFormatting>
  <conditionalFormatting sqref="F724">
    <cfRule type="cellIs" dxfId="365" priority="166" operator="equal">
      <formula>1</formula>
    </cfRule>
  </conditionalFormatting>
  <conditionalFormatting sqref="E456 E416:E426 E345:E414 E4:E23 E428:E454 E780:E787 E801:E824 E827:E835 E840:E847 E849:E859 E789:E799 E458:E563 E664 E666:E723 E734:E735 E744:E764 E774:E775 E861:E913 E64:E73 E44:E53 E104:E113 E144:E273 E284:E313 E324:E343 E574:E593">
    <cfRule type="cellIs" dxfId="364" priority="165" operator="equal">
      <formula>1</formula>
    </cfRule>
  </conditionalFormatting>
  <conditionalFormatting sqref="E284:E293">
    <cfRule type="cellIs" dxfId="363" priority="164" operator="equal">
      <formula>1</formula>
    </cfRule>
  </conditionalFormatting>
  <conditionalFormatting sqref="E304:E313 E324:E333">
    <cfRule type="cellIs" dxfId="362" priority="163" operator="equal">
      <formula>1</formula>
    </cfRule>
  </conditionalFormatting>
  <conditionalFormatting sqref="E14:E23">
    <cfRule type="cellIs" dxfId="361" priority="162" operator="equal">
      <formula>1</formula>
    </cfRule>
  </conditionalFormatting>
  <conditionalFormatting sqref="E44:E53 E64:E73">
    <cfRule type="cellIs" dxfId="360" priority="161" operator="equal">
      <formula>1</formula>
    </cfRule>
  </conditionalFormatting>
  <conditionalFormatting sqref="E64:E73">
    <cfRule type="cellIs" dxfId="359" priority="160" operator="equal">
      <formula>1</formula>
    </cfRule>
  </conditionalFormatting>
  <conditionalFormatting sqref="E604:E613">
    <cfRule type="cellIs" dxfId="358" priority="159" operator="equal">
      <formula>1</formula>
    </cfRule>
  </conditionalFormatting>
  <conditionalFormatting sqref="E324:E333">
    <cfRule type="cellIs" dxfId="357" priority="158" operator="equal">
      <formula>1</formula>
    </cfRule>
  </conditionalFormatting>
  <conditionalFormatting sqref="E344">
    <cfRule type="cellIs" dxfId="356" priority="157" operator="equal">
      <formula>1</formula>
    </cfRule>
  </conditionalFormatting>
  <conditionalFormatting sqref="E427">
    <cfRule type="cellIs" dxfId="355" priority="156" operator="equal">
      <formula>1</formula>
    </cfRule>
  </conditionalFormatting>
  <conditionalFormatting sqref="E415">
    <cfRule type="cellIs" dxfId="354" priority="155" operator="equal">
      <formula>1</formula>
    </cfRule>
  </conditionalFormatting>
  <conditionalFormatting sqref="E455">
    <cfRule type="cellIs" dxfId="353" priority="154" operator="equal">
      <formula>1</formula>
    </cfRule>
  </conditionalFormatting>
  <conditionalFormatting sqref="E457">
    <cfRule type="cellIs" dxfId="352" priority="153" operator="equal">
      <formula>1</formula>
    </cfRule>
  </conditionalFormatting>
  <conditionalFormatting sqref="E654:E663 E737:E743 E726:E733 E767:E773 E777:E778 E468:E470 E837:E838">
    <cfRule type="cellIs" dxfId="351" priority="152" operator="equal">
      <formula>1</formula>
    </cfRule>
  </conditionalFormatting>
  <conditionalFormatting sqref="E665">
    <cfRule type="cellIs" dxfId="350" priority="151" operator="equal">
      <formula>1</formula>
    </cfRule>
  </conditionalFormatting>
  <conditionalFormatting sqref="E736">
    <cfRule type="cellIs" dxfId="349" priority="150" operator="equal">
      <formula>1</formula>
    </cfRule>
  </conditionalFormatting>
  <conditionalFormatting sqref="E725">
    <cfRule type="cellIs" dxfId="348" priority="149" operator="equal">
      <formula>1</formula>
    </cfRule>
  </conditionalFormatting>
  <conditionalFormatting sqref="E765">
    <cfRule type="cellIs" dxfId="347" priority="148" operator="equal">
      <formula>1</formula>
    </cfRule>
  </conditionalFormatting>
  <conditionalFormatting sqref="E766">
    <cfRule type="cellIs" dxfId="346" priority="147" operator="equal">
      <formula>1</formula>
    </cfRule>
  </conditionalFormatting>
  <conditionalFormatting sqref="E776">
    <cfRule type="cellIs" dxfId="345" priority="146" operator="equal">
      <formula>1</formula>
    </cfRule>
  </conditionalFormatting>
  <conditionalFormatting sqref="E779">
    <cfRule type="cellIs" dxfId="344" priority="145" operator="equal">
      <formula>1</formula>
    </cfRule>
  </conditionalFormatting>
  <conditionalFormatting sqref="E467">
    <cfRule type="cellIs" dxfId="343" priority="144" operator="equal">
      <formula>1</formula>
    </cfRule>
  </conditionalFormatting>
  <conditionalFormatting sqref="E471">
    <cfRule type="cellIs" dxfId="342" priority="143" operator="equal">
      <formula>1</formula>
    </cfRule>
  </conditionalFormatting>
  <conditionalFormatting sqref="E788">
    <cfRule type="cellIs" dxfId="341" priority="142" operator="equal">
      <formula>1</formula>
    </cfRule>
  </conditionalFormatting>
  <conditionalFormatting sqref="E479">
    <cfRule type="cellIs" dxfId="340" priority="141" operator="equal">
      <formula>1</formula>
    </cfRule>
  </conditionalFormatting>
  <conditionalFormatting sqref="E800">
    <cfRule type="cellIs" dxfId="339" priority="140" operator="equal">
      <formula>1</formula>
    </cfRule>
  </conditionalFormatting>
  <conditionalFormatting sqref="E491">
    <cfRule type="cellIs" dxfId="338" priority="139" operator="equal">
      <formula>1</formula>
    </cfRule>
  </conditionalFormatting>
  <conditionalFormatting sqref="E825">
    <cfRule type="cellIs" dxfId="337" priority="138" operator="equal">
      <formula>1</formula>
    </cfRule>
  </conditionalFormatting>
  <conditionalFormatting sqref="E826">
    <cfRule type="cellIs" dxfId="336" priority="137" operator="equal">
      <formula>1</formula>
    </cfRule>
  </conditionalFormatting>
  <conditionalFormatting sqref="E515">
    <cfRule type="cellIs" dxfId="335" priority="136" operator="equal">
      <formula>1</formula>
    </cfRule>
  </conditionalFormatting>
  <conditionalFormatting sqref="E517">
    <cfRule type="cellIs" dxfId="334" priority="135" operator="equal">
      <formula>1</formula>
    </cfRule>
  </conditionalFormatting>
  <conditionalFormatting sqref="E836">
    <cfRule type="cellIs" dxfId="333" priority="134" operator="equal">
      <formula>1</formula>
    </cfRule>
  </conditionalFormatting>
  <conditionalFormatting sqref="E839">
    <cfRule type="cellIs" dxfId="332" priority="133" operator="equal">
      <formula>1</formula>
    </cfRule>
  </conditionalFormatting>
  <conditionalFormatting sqref="E527">
    <cfRule type="cellIs" dxfId="331" priority="132" operator="equal">
      <formula>1</formula>
    </cfRule>
  </conditionalFormatting>
  <conditionalFormatting sqref="E848">
    <cfRule type="cellIs" dxfId="330" priority="131" operator="equal">
      <formula>1</formula>
    </cfRule>
  </conditionalFormatting>
  <conditionalFormatting sqref="E539">
    <cfRule type="cellIs" dxfId="329" priority="130" operator="equal">
      <formula>1</formula>
    </cfRule>
  </conditionalFormatting>
  <conditionalFormatting sqref="E860">
    <cfRule type="cellIs" dxfId="328" priority="129" operator="equal">
      <formula>1</formula>
    </cfRule>
  </conditionalFormatting>
  <conditionalFormatting sqref="E54:E63">
    <cfRule type="cellIs" dxfId="327" priority="128" operator="equal">
      <formula>1</formula>
    </cfRule>
  </conditionalFormatting>
  <conditionalFormatting sqref="E54:E63">
    <cfRule type="cellIs" dxfId="326" priority="127" operator="equal">
      <formula>1</formula>
    </cfRule>
  </conditionalFormatting>
  <conditionalFormatting sqref="E34:E43">
    <cfRule type="cellIs" dxfId="325" priority="126" operator="equal">
      <formula>1</formula>
    </cfRule>
  </conditionalFormatting>
  <conditionalFormatting sqref="E34:E43">
    <cfRule type="cellIs" dxfId="324" priority="125" operator="equal">
      <formula>1</formula>
    </cfRule>
  </conditionalFormatting>
  <conditionalFormatting sqref="E24:E33">
    <cfRule type="cellIs" dxfId="323" priority="124" operator="equal">
      <formula>1</formula>
    </cfRule>
  </conditionalFormatting>
  <conditionalFormatting sqref="E24:E33">
    <cfRule type="cellIs" dxfId="322" priority="123" operator="equal">
      <formula>1</formula>
    </cfRule>
  </conditionalFormatting>
  <conditionalFormatting sqref="E94:E103">
    <cfRule type="cellIs" dxfId="321" priority="122" operator="equal">
      <formula>1</formula>
    </cfRule>
  </conditionalFormatting>
  <conditionalFormatting sqref="E94:E103">
    <cfRule type="cellIs" dxfId="320" priority="121" operator="equal">
      <formula>1</formula>
    </cfRule>
  </conditionalFormatting>
  <conditionalFormatting sqref="E84:E93">
    <cfRule type="cellIs" dxfId="319" priority="120" operator="equal">
      <formula>1</formula>
    </cfRule>
  </conditionalFormatting>
  <conditionalFormatting sqref="E84:E93">
    <cfRule type="cellIs" dxfId="318" priority="119" operator="equal">
      <formula>1</formula>
    </cfRule>
  </conditionalFormatting>
  <conditionalFormatting sqref="E74:E83">
    <cfRule type="cellIs" dxfId="317" priority="118" operator="equal">
      <formula>1</formula>
    </cfRule>
  </conditionalFormatting>
  <conditionalFormatting sqref="E74:E83">
    <cfRule type="cellIs" dxfId="316" priority="117" operator="equal">
      <formula>1</formula>
    </cfRule>
  </conditionalFormatting>
  <conditionalFormatting sqref="E134:E143">
    <cfRule type="cellIs" dxfId="315" priority="116" operator="equal">
      <formula>1</formula>
    </cfRule>
  </conditionalFormatting>
  <conditionalFormatting sqref="E134:E143">
    <cfRule type="cellIs" dxfId="314" priority="115" operator="equal">
      <formula>1</formula>
    </cfRule>
  </conditionalFormatting>
  <conditionalFormatting sqref="E124:E133">
    <cfRule type="cellIs" dxfId="313" priority="114" operator="equal">
      <formula>1</formula>
    </cfRule>
  </conditionalFormatting>
  <conditionalFormatting sqref="E124:E133">
    <cfRule type="cellIs" dxfId="312" priority="113" operator="equal">
      <formula>1</formula>
    </cfRule>
  </conditionalFormatting>
  <conditionalFormatting sqref="E114:E123">
    <cfRule type="cellIs" dxfId="311" priority="112" operator="equal">
      <formula>1</formula>
    </cfRule>
  </conditionalFormatting>
  <conditionalFormatting sqref="E114:E123">
    <cfRule type="cellIs" dxfId="310" priority="111" operator="equal">
      <formula>1</formula>
    </cfRule>
  </conditionalFormatting>
  <conditionalFormatting sqref="E274:E283">
    <cfRule type="cellIs" dxfId="309" priority="110" operator="equal">
      <formula>1</formula>
    </cfRule>
  </conditionalFormatting>
  <conditionalFormatting sqref="E274:E283">
    <cfRule type="cellIs" dxfId="308" priority="109" operator="equal">
      <formula>1</formula>
    </cfRule>
  </conditionalFormatting>
  <conditionalFormatting sqref="E594:E603">
    <cfRule type="cellIs" dxfId="307" priority="108" operator="equal">
      <formula>1</formula>
    </cfRule>
  </conditionalFormatting>
  <conditionalFormatting sqref="E594:E603">
    <cfRule type="cellIs" dxfId="306" priority="107" operator="equal">
      <formula>1</formula>
    </cfRule>
  </conditionalFormatting>
  <conditionalFormatting sqref="E724">
    <cfRule type="cellIs" dxfId="305" priority="106" operator="equal">
      <formula>1</formula>
    </cfRule>
  </conditionalFormatting>
  <conditionalFormatting sqref="D456 D416:D426 D345:D414 D4:D23 D428:D454 D780:D787 D801:D824 D827:D835 D840:D847 D849:D859 D789:D799 D458:D563 D664 D666:D723 D734:D735 D744:D764 D774:D775 D861:D913 D64:D73 D44:D53 D104:D113 D144:D273 D284:D313 D324:D343 D574:D593">
    <cfRule type="cellIs" dxfId="304" priority="105" operator="equal">
      <formula>1</formula>
    </cfRule>
  </conditionalFormatting>
  <conditionalFormatting sqref="D284:D293">
    <cfRule type="cellIs" dxfId="303" priority="104" operator="equal">
      <formula>1</formula>
    </cfRule>
  </conditionalFormatting>
  <conditionalFormatting sqref="D304:D313 D324:D333">
    <cfRule type="cellIs" dxfId="302" priority="103" operator="equal">
      <formula>1</formula>
    </cfRule>
  </conditionalFormatting>
  <conditionalFormatting sqref="D14:D23">
    <cfRule type="cellIs" dxfId="301" priority="102" operator="equal">
      <formula>1</formula>
    </cfRule>
  </conditionalFormatting>
  <conditionalFormatting sqref="D44:D53 D64:D73">
    <cfRule type="cellIs" dxfId="300" priority="101" operator="equal">
      <formula>1</formula>
    </cfRule>
  </conditionalFormatting>
  <conditionalFormatting sqref="D64:D73">
    <cfRule type="cellIs" dxfId="299" priority="100" operator="equal">
      <formula>1</formula>
    </cfRule>
  </conditionalFormatting>
  <conditionalFormatting sqref="D604:D613">
    <cfRule type="cellIs" dxfId="298" priority="99" operator="equal">
      <formula>1</formula>
    </cfRule>
  </conditionalFormatting>
  <conditionalFormatting sqref="D324:D333">
    <cfRule type="cellIs" dxfId="297" priority="98" operator="equal">
      <formula>1</formula>
    </cfRule>
  </conditionalFormatting>
  <conditionalFormatting sqref="D344">
    <cfRule type="cellIs" dxfId="296" priority="97" operator="equal">
      <formula>1</formula>
    </cfRule>
  </conditionalFormatting>
  <conditionalFormatting sqref="D427">
    <cfRule type="cellIs" dxfId="295" priority="96" operator="equal">
      <formula>1</formula>
    </cfRule>
  </conditionalFormatting>
  <conditionalFormatting sqref="D415">
    <cfRule type="cellIs" dxfId="294" priority="95" operator="equal">
      <formula>1</formula>
    </cfRule>
  </conditionalFormatting>
  <conditionalFormatting sqref="D455">
    <cfRule type="cellIs" dxfId="293" priority="94" operator="equal">
      <formula>1</formula>
    </cfRule>
  </conditionalFormatting>
  <conditionalFormatting sqref="D457">
    <cfRule type="cellIs" dxfId="292" priority="93" operator="equal">
      <formula>1</formula>
    </cfRule>
  </conditionalFormatting>
  <conditionalFormatting sqref="D654:D663 D737:D743 D726:D733 D767:D773 D777:D778 D468:D470 D837:D838">
    <cfRule type="cellIs" dxfId="291" priority="92" operator="equal">
      <formula>1</formula>
    </cfRule>
  </conditionalFormatting>
  <conditionalFormatting sqref="D665">
    <cfRule type="cellIs" dxfId="290" priority="91" operator="equal">
      <formula>1</formula>
    </cfRule>
  </conditionalFormatting>
  <conditionalFormatting sqref="D736">
    <cfRule type="cellIs" dxfId="289" priority="90" operator="equal">
      <formula>1</formula>
    </cfRule>
  </conditionalFormatting>
  <conditionalFormatting sqref="D725">
    <cfRule type="cellIs" dxfId="288" priority="89" operator="equal">
      <formula>1</formula>
    </cfRule>
  </conditionalFormatting>
  <conditionalFormatting sqref="D765">
    <cfRule type="cellIs" dxfId="287" priority="88" operator="equal">
      <formula>1</formula>
    </cfRule>
  </conditionalFormatting>
  <conditionalFormatting sqref="D766">
    <cfRule type="cellIs" dxfId="286" priority="87" operator="equal">
      <formula>1</formula>
    </cfRule>
  </conditionalFormatting>
  <conditionalFormatting sqref="D776">
    <cfRule type="cellIs" dxfId="285" priority="86" operator="equal">
      <formula>1</formula>
    </cfRule>
  </conditionalFormatting>
  <conditionalFormatting sqref="D779">
    <cfRule type="cellIs" dxfId="284" priority="85" operator="equal">
      <formula>1</formula>
    </cfRule>
  </conditionalFormatting>
  <conditionalFormatting sqref="D467">
    <cfRule type="cellIs" dxfId="283" priority="84" operator="equal">
      <formula>1</formula>
    </cfRule>
  </conditionalFormatting>
  <conditionalFormatting sqref="D471">
    <cfRule type="cellIs" dxfId="282" priority="83" operator="equal">
      <formula>1</formula>
    </cfRule>
  </conditionalFormatting>
  <conditionalFormatting sqref="D788">
    <cfRule type="cellIs" dxfId="281" priority="82" operator="equal">
      <formula>1</formula>
    </cfRule>
  </conditionalFormatting>
  <conditionalFormatting sqref="D479">
    <cfRule type="cellIs" dxfId="280" priority="81" operator="equal">
      <formula>1</formula>
    </cfRule>
  </conditionalFormatting>
  <conditionalFormatting sqref="D800">
    <cfRule type="cellIs" dxfId="279" priority="80" operator="equal">
      <formula>1</formula>
    </cfRule>
  </conditionalFormatting>
  <conditionalFormatting sqref="D491">
    <cfRule type="cellIs" dxfId="278" priority="79" operator="equal">
      <formula>1</formula>
    </cfRule>
  </conditionalFormatting>
  <conditionalFormatting sqref="D825">
    <cfRule type="cellIs" dxfId="277" priority="78" operator="equal">
      <formula>1</formula>
    </cfRule>
  </conditionalFormatting>
  <conditionalFormatting sqref="D826">
    <cfRule type="cellIs" dxfId="276" priority="77" operator="equal">
      <formula>1</formula>
    </cfRule>
  </conditionalFormatting>
  <conditionalFormatting sqref="D515">
    <cfRule type="cellIs" dxfId="275" priority="76" operator="equal">
      <formula>1</formula>
    </cfRule>
  </conditionalFormatting>
  <conditionalFormatting sqref="D517">
    <cfRule type="cellIs" dxfId="274" priority="75" operator="equal">
      <formula>1</formula>
    </cfRule>
  </conditionalFormatting>
  <conditionalFormatting sqref="D836">
    <cfRule type="cellIs" dxfId="273" priority="74" operator="equal">
      <formula>1</formula>
    </cfRule>
  </conditionalFormatting>
  <conditionalFormatting sqref="D839">
    <cfRule type="cellIs" dxfId="272" priority="73" operator="equal">
      <formula>1</formula>
    </cfRule>
  </conditionalFormatting>
  <conditionalFormatting sqref="D527">
    <cfRule type="cellIs" dxfId="271" priority="72" operator="equal">
      <formula>1</formula>
    </cfRule>
  </conditionalFormatting>
  <conditionalFormatting sqref="D848">
    <cfRule type="cellIs" dxfId="270" priority="71" operator="equal">
      <formula>1</formula>
    </cfRule>
  </conditionalFormatting>
  <conditionalFormatting sqref="D539">
    <cfRule type="cellIs" dxfId="269" priority="70" operator="equal">
      <formula>1</formula>
    </cfRule>
  </conditionalFormatting>
  <conditionalFormatting sqref="D860">
    <cfRule type="cellIs" dxfId="268" priority="69" operator="equal">
      <formula>1</formula>
    </cfRule>
  </conditionalFormatting>
  <conditionalFormatting sqref="D54:D63">
    <cfRule type="cellIs" dxfId="267" priority="68" operator="equal">
      <formula>1</formula>
    </cfRule>
  </conditionalFormatting>
  <conditionalFormatting sqref="D54:D63">
    <cfRule type="cellIs" dxfId="266" priority="67" operator="equal">
      <formula>1</formula>
    </cfRule>
  </conditionalFormatting>
  <conditionalFormatting sqref="D34:D43">
    <cfRule type="cellIs" dxfId="265" priority="66" operator="equal">
      <formula>1</formula>
    </cfRule>
  </conditionalFormatting>
  <conditionalFormatting sqref="D34:D43">
    <cfRule type="cellIs" dxfId="264" priority="65" operator="equal">
      <formula>1</formula>
    </cfRule>
  </conditionalFormatting>
  <conditionalFormatting sqref="D24:D33">
    <cfRule type="cellIs" dxfId="263" priority="64" operator="equal">
      <formula>1</formula>
    </cfRule>
  </conditionalFormatting>
  <conditionalFormatting sqref="D24:D33">
    <cfRule type="cellIs" dxfId="262" priority="63" operator="equal">
      <formula>1</formula>
    </cfRule>
  </conditionalFormatting>
  <conditionalFormatting sqref="D94:D103">
    <cfRule type="cellIs" dxfId="261" priority="62" operator="equal">
      <formula>1</formula>
    </cfRule>
  </conditionalFormatting>
  <conditionalFormatting sqref="D94:D103">
    <cfRule type="cellIs" dxfId="260" priority="61" operator="equal">
      <formula>1</formula>
    </cfRule>
  </conditionalFormatting>
  <conditionalFormatting sqref="D84:D93">
    <cfRule type="cellIs" dxfId="259" priority="60" operator="equal">
      <formula>1</formula>
    </cfRule>
  </conditionalFormatting>
  <conditionalFormatting sqref="D84:D93">
    <cfRule type="cellIs" dxfId="258" priority="59" operator="equal">
      <formula>1</formula>
    </cfRule>
  </conditionalFormatting>
  <conditionalFormatting sqref="D74:D83">
    <cfRule type="cellIs" dxfId="257" priority="58" operator="equal">
      <formula>1</formula>
    </cfRule>
  </conditionalFormatting>
  <conditionalFormatting sqref="D74:D83">
    <cfRule type="cellIs" dxfId="256" priority="57" operator="equal">
      <formula>1</formula>
    </cfRule>
  </conditionalFormatting>
  <conditionalFormatting sqref="D134:D143">
    <cfRule type="cellIs" dxfId="255" priority="56" operator="equal">
      <formula>1</formula>
    </cfRule>
  </conditionalFormatting>
  <conditionalFormatting sqref="D134:D143">
    <cfRule type="cellIs" dxfId="254" priority="55" operator="equal">
      <formula>1</formula>
    </cfRule>
  </conditionalFormatting>
  <conditionalFormatting sqref="D124:D133">
    <cfRule type="cellIs" dxfId="253" priority="54" operator="equal">
      <formula>1</formula>
    </cfRule>
  </conditionalFormatting>
  <conditionalFormatting sqref="D124:D133">
    <cfRule type="cellIs" dxfId="252" priority="53" operator="equal">
      <formula>1</formula>
    </cfRule>
  </conditionalFormatting>
  <conditionalFormatting sqref="D114:D123">
    <cfRule type="cellIs" dxfId="251" priority="52" operator="equal">
      <formula>1</formula>
    </cfRule>
  </conditionalFormatting>
  <conditionalFormatting sqref="D114:D123">
    <cfRule type="cellIs" dxfId="250" priority="51" operator="equal">
      <formula>1</formula>
    </cfRule>
  </conditionalFormatting>
  <conditionalFormatting sqref="D274:D283">
    <cfRule type="cellIs" dxfId="249" priority="50" operator="equal">
      <formula>1</formula>
    </cfRule>
  </conditionalFormatting>
  <conditionalFormatting sqref="D274:D283">
    <cfRule type="cellIs" dxfId="248" priority="49" operator="equal">
      <formula>1</formula>
    </cfRule>
  </conditionalFormatting>
  <conditionalFormatting sqref="D594:D603">
    <cfRule type="cellIs" dxfId="247" priority="48" operator="equal">
      <formula>1</formula>
    </cfRule>
  </conditionalFormatting>
  <conditionalFormatting sqref="D594:D603">
    <cfRule type="cellIs" dxfId="246" priority="47" operator="equal">
      <formula>1</formula>
    </cfRule>
  </conditionalFormatting>
  <conditionalFormatting sqref="D724">
    <cfRule type="cellIs" dxfId="245" priority="46" operator="equal">
      <formula>1</formula>
    </cfRule>
  </conditionalFormatting>
  <conditionalFormatting sqref="G314:K323">
    <cfRule type="cellIs" dxfId="244" priority="45" operator="equal">
      <formula>1</formula>
    </cfRule>
  </conditionalFormatting>
  <conditionalFormatting sqref="G314:K323">
    <cfRule type="cellIs" dxfId="243" priority="44" operator="equal">
      <formula>1</formula>
    </cfRule>
  </conditionalFormatting>
  <conditionalFormatting sqref="F314:F323">
    <cfRule type="cellIs" dxfId="242" priority="43" operator="equal">
      <formula>1</formula>
    </cfRule>
  </conditionalFormatting>
  <conditionalFormatting sqref="F314:F323">
    <cfRule type="cellIs" dxfId="241" priority="42" operator="equal">
      <formula>1</formula>
    </cfRule>
  </conditionalFormatting>
  <conditionalFormatting sqref="E314:E323">
    <cfRule type="cellIs" dxfId="240" priority="41" operator="equal">
      <formula>1</formula>
    </cfRule>
  </conditionalFormatting>
  <conditionalFormatting sqref="E314:E323">
    <cfRule type="cellIs" dxfId="239" priority="40" operator="equal">
      <formula>1</formula>
    </cfRule>
  </conditionalFormatting>
  <conditionalFormatting sqref="D314:D323">
    <cfRule type="cellIs" dxfId="238" priority="39" operator="equal">
      <formula>1</formula>
    </cfRule>
  </conditionalFormatting>
  <conditionalFormatting sqref="D314:D323">
    <cfRule type="cellIs" dxfId="237" priority="38" operator="equal">
      <formula>1</formula>
    </cfRule>
  </conditionalFormatting>
  <conditionalFormatting sqref="G564:K573">
    <cfRule type="cellIs" dxfId="236" priority="37" operator="equal">
      <formula>1</formula>
    </cfRule>
  </conditionalFormatting>
  <conditionalFormatting sqref="G614:K623">
    <cfRule type="cellIs" dxfId="235" priority="36" operator="equal">
      <formula>1</formula>
    </cfRule>
  </conditionalFormatting>
  <conditionalFormatting sqref="G614:K623">
    <cfRule type="cellIs" dxfId="234" priority="35" operator="equal">
      <formula>1</formula>
    </cfRule>
  </conditionalFormatting>
  <conditionalFormatting sqref="F614:F623">
    <cfRule type="cellIs" dxfId="233" priority="34" operator="equal">
      <formula>1</formula>
    </cfRule>
  </conditionalFormatting>
  <conditionalFormatting sqref="F614:F623">
    <cfRule type="cellIs" dxfId="232" priority="33" operator="equal">
      <formula>1</formula>
    </cfRule>
  </conditionalFormatting>
  <conditionalFormatting sqref="E614:E623">
    <cfRule type="cellIs" dxfId="231" priority="32" operator="equal">
      <formula>1</formula>
    </cfRule>
  </conditionalFormatting>
  <conditionalFormatting sqref="E614:E623">
    <cfRule type="cellIs" dxfId="230" priority="31" operator="equal">
      <formula>1</formula>
    </cfRule>
  </conditionalFormatting>
  <conditionalFormatting sqref="D614:D623">
    <cfRule type="cellIs" dxfId="229" priority="30" operator="equal">
      <formula>1</formula>
    </cfRule>
  </conditionalFormatting>
  <conditionalFormatting sqref="D614:D623">
    <cfRule type="cellIs" dxfId="228" priority="29" operator="equal">
      <formula>1</formula>
    </cfRule>
  </conditionalFormatting>
  <conditionalFormatting sqref="G624:K633">
    <cfRule type="cellIs" dxfId="227" priority="28" operator="equal">
      <formula>1</formula>
    </cfRule>
  </conditionalFormatting>
  <conditionalFormatting sqref="G624:K633">
    <cfRule type="cellIs" dxfId="226" priority="27" operator="equal">
      <formula>1</formula>
    </cfRule>
  </conditionalFormatting>
  <conditionalFormatting sqref="F624:F633">
    <cfRule type="cellIs" dxfId="225" priority="26" operator="equal">
      <formula>1</formula>
    </cfRule>
  </conditionalFormatting>
  <conditionalFormatting sqref="F624:F633">
    <cfRule type="cellIs" dxfId="224" priority="25" operator="equal">
      <formula>1</formula>
    </cfRule>
  </conditionalFormatting>
  <conditionalFormatting sqref="E624:E633">
    <cfRule type="cellIs" dxfId="223" priority="24" operator="equal">
      <formula>1</formula>
    </cfRule>
  </conditionalFormatting>
  <conditionalFormatting sqref="E624:E633">
    <cfRule type="cellIs" dxfId="222" priority="23" operator="equal">
      <formula>1</formula>
    </cfRule>
  </conditionalFormatting>
  <conditionalFormatting sqref="D624:D633">
    <cfRule type="cellIs" dxfId="221" priority="22" operator="equal">
      <formula>1</formula>
    </cfRule>
  </conditionalFormatting>
  <conditionalFormatting sqref="D624:D633">
    <cfRule type="cellIs" dxfId="220" priority="21" operator="equal">
      <formula>1</formula>
    </cfRule>
  </conditionalFormatting>
  <conditionalFormatting sqref="G634:K643">
    <cfRule type="cellIs" dxfId="219" priority="20" operator="equal">
      <formula>1</formula>
    </cfRule>
  </conditionalFormatting>
  <conditionalFormatting sqref="G634:K643">
    <cfRule type="cellIs" dxfId="218" priority="19" operator="equal">
      <formula>1</formula>
    </cfRule>
  </conditionalFormatting>
  <conditionalFormatting sqref="F634:F643">
    <cfRule type="cellIs" dxfId="217" priority="18" operator="equal">
      <formula>1</formula>
    </cfRule>
  </conditionalFormatting>
  <conditionalFormatting sqref="F634:F643">
    <cfRule type="cellIs" dxfId="216" priority="17" operator="equal">
      <formula>1</formula>
    </cfRule>
  </conditionalFormatting>
  <conditionalFormatting sqref="E634:E643">
    <cfRule type="cellIs" dxfId="215" priority="16" operator="equal">
      <formula>1</formula>
    </cfRule>
  </conditionalFormatting>
  <conditionalFormatting sqref="E634:E643">
    <cfRule type="cellIs" dxfId="214" priority="15" operator="equal">
      <formula>1</formula>
    </cfRule>
  </conditionalFormatting>
  <conditionalFormatting sqref="D634:D643">
    <cfRule type="cellIs" dxfId="213" priority="14" operator="equal">
      <formula>1</formula>
    </cfRule>
  </conditionalFormatting>
  <conditionalFormatting sqref="D634:D643">
    <cfRule type="cellIs" dxfId="212" priority="13" operator="equal">
      <formula>1</formula>
    </cfRule>
  </conditionalFormatting>
  <conditionalFormatting sqref="G644:K653">
    <cfRule type="cellIs" dxfId="211" priority="12" operator="equal">
      <formula>1</formula>
    </cfRule>
  </conditionalFormatting>
  <conditionalFormatting sqref="G644:K653">
    <cfRule type="cellIs" dxfId="210" priority="11" operator="equal">
      <formula>1</formula>
    </cfRule>
  </conditionalFormatting>
  <conditionalFormatting sqref="F644:F653">
    <cfRule type="cellIs" dxfId="209" priority="10" operator="equal">
      <formula>1</formula>
    </cfRule>
  </conditionalFormatting>
  <conditionalFormatting sqref="F644:F653">
    <cfRule type="cellIs" dxfId="208" priority="9" operator="equal">
      <formula>1</formula>
    </cfRule>
  </conditionalFormatting>
  <conditionalFormatting sqref="E644:E653">
    <cfRule type="cellIs" dxfId="207" priority="8" operator="equal">
      <formula>1</formula>
    </cfRule>
  </conditionalFormatting>
  <conditionalFormatting sqref="E644:E653">
    <cfRule type="cellIs" dxfId="206" priority="7" operator="equal">
      <formula>1</formula>
    </cfRule>
  </conditionalFormatting>
  <conditionalFormatting sqref="D644:D653">
    <cfRule type="cellIs" dxfId="205" priority="6" operator="equal">
      <formula>1</formula>
    </cfRule>
  </conditionalFormatting>
  <conditionalFormatting sqref="D644:D653">
    <cfRule type="cellIs" dxfId="204" priority="5" operator="equal">
      <formula>1</formula>
    </cfRule>
  </conditionalFormatting>
  <conditionalFormatting sqref="H705:K711">
    <cfRule type="cellIs" dxfId="203" priority="4" operator="equal">
      <formula>1</formula>
    </cfRule>
  </conditionalFormatting>
  <conditionalFormatting sqref="G74:K74">
    <cfRule type="cellIs" dxfId="4" priority="3" operator="equal">
      <formula>1</formula>
    </cfRule>
  </conditionalFormatting>
  <conditionalFormatting sqref="G74:K74">
    <cfRule type="cellIs" dxfId="3" priority="2" operator="equal">
      <formula>1</formula>
    </cfRule>
  </conditionalFormatting>
  <conditionalFormatting sqref="G74:K74">
    <cfRule type="cellIs" dxfId="2" priority="1" operator="equal">
      <formula>1</formula>
    </cfRule>
  </conditionalFormatting>
  <pageMargins left="0.7" right="0.7" top="0.75" bottom="0.75" header="0.3" footer="0.3"/>
  <pageSetup orientation="portrait" horizontalDpi="300" verticalDpi="30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C5E6-5B57-4CF0-BFDE-6B65C3E36001}">
  <sheetPr codeName="Sheet12"/>
  <dimension ref="A1:Q152"/>
  <sheetViews>
    <sheetView zoomScale="115" zoomScaleNormal="115" workbookViewId="0">
      <pane ySplit="1" topLeftCell="A2" activePane="bottomLeft" state="frozen"/>
      <selection pane="bottomLeft" activeCell="Q135" sqref="Q135:Q141"/>
    </sheetView>
  </sheetViews>
  <sheetFormatPr defaultColWidth="9" defaultRowHeight="9.75" customHeight="1" x14ac:dyDescent="0.3"/>
  <cols>
    <col min="1" max="1" width="9" style="30"/>
    <col min="2" max="2" width="10.46875" style="30" bestFit="1" customWidth="1"/>
    <col min="3" max="3" width="16.46875" style="28" bestFit="1" customWidth="1"/>
    <col min="4" max="14" width="2.1171875" style="30" customWidth="1"/>
    <col min="15" max="16" width="9" style="30"/>
    <col min="17" max="17" width="41.76171875" style="30" customWidth="1"/>
    <col min="18" max="16384" width="9" style="30"/>
  </cols>
  <sheetData>
    <row r="1" spans="1:17" ht="60.75" x14ac:dyDescent="0.3">
      <c r="D1" s="31">
        <v>32768</v>
      </c>
      <c r="E1" s="31">
        <f>D1/2</f>
        <v>16384</v>
      </c>
      <c r="F1" s="31">
        <f t="shared" ref="F1:N1" si="0">E1/2</f>
        <v>8192</v>
      </c>
      <c r="G1" s="31">
        <f t="shared" si="0"/>
        <v>4096</v>
      </c>
      <c r="H1" s="31">
        <f t="shared" si="0"/>
        <v>2048</v>
      </c>
      <c r="I1" s="31">
        <f t="shared" si="0"/>
        <v>1024</v>
      </c>
      <c r="J1" s="31">
        <f t="shared" si="0"/>
        <v>512</v>
      </c>
      <c r="K1" s="31">
        <f t="shared" si="0"/>
        <v>256</v>
      </c>
      <c r="L1" s="31">
        <f t="shared" si="0"/>
        <v>128</v>
      </c>
      <c r="M1" s="31">
        <f t="shared" si="0"/>
        <v>64</v>
      </c>
      <c r="N1" s="31">
        <f t="shared" si="0"/>
        <v>32</v>
      </c>
    </row>
    <row r="2" spans="1:17" ht="9.75" customHeight="1" x14ac:dyDescent="0.3">
      <c r="A2" s="30">
        <v>1</v>
      </c>
      <c r="B2" s="42">
        <v>65</v>
      </c>
      <c r="C2" s="43" t="s">
        <v>121</v>
      </c>
      <c r="O2" s="30">
        <f>D2*D$1+E2*E$1+F2*F$1+G2*G$1+H2*H$1+I2*I$1+J2*J$1+K2*K$1+L2*L$1+M2*M$1+N2*N$1</f>
        <v>0</v>
      </c>
      <c r="P2" s="30" t="str">
        <f>DEC2HEX(O2,4)</f>
        <v>0000</v>
      </c>
      <c r="Q2" s="44" t="str">
        <f>CONCATENATE("0x",P2,",0x",P3,",0x",P4,",0x",P5,",0x",P6,",0x",P7,",0x",P8,",0x",P9,",0x",P10,",0x",P11,",0x",P12,",0x",P13,",0x",P14,",0x",P15,",0x",P16,",0x",P17,",0x",P18,",0x",P19,", //",C2)</f>
        <v>0x0000,0x3F00,0x7F80,0x6180,0x6180,0x6180,0x6180,0x6180,0x7F80,0x7F80,0x6180,0x6180,0x6180,0x6180,0x6180,0x0000,0x0000,0x0000, //A</v>
      </c>
    </row>
    <row r="3" spans="1:17" ht="9.75" customHeight="1" x14ac:dyDescent="0.3">
      <c r="A3" s="30">
        <v>2</v>
      </c>
      <c r="B3" s="44"/>
      <c r="C3" s="44"/>
      <c r="F3" s="30">
        <v>1</v>
      </c>
      <c r="G3" s="30">
        <v>1</v>
      </c>
      <c r="H3" s="30">
        <v>1</v>
      </c>
      <c r="I3" s="30">
        <v>1</v>
      </c>
      <c r="J3" s="30">
        <v>1</v>
      </c>
      <c r="K3" s="30">
        <v>1</v>
      </c>
      <c r="O3" s="30">
        <f t="shared" ref="O3:O16" si="1">D3*D$1+E3*E$1+F3*F$1+G3*G$1+H3*H$1+I3*I$1+J3*J$1+K3*K$1+L3*L$1+M3*M$1+N3*N$1</f>
        <v>16128</v>
      </c>
      <c r="P3" s="30" t="str">
        <f t="shared" ref="P3:P19" si="2">DEC2HEX(O3,4)</f>
        <v>3F00</v>
      </c>
      <c r="Q3" s="44"/>
    </row>
    <row r="4" spans="1:17" ht="9.75" customHeight="1" x14ac:dyDescent="0.3">
      <c r="A4" s="30">
        <v>3</v>
      </c>
      <c r="B4" s="44"/>
      <c r="C4" s="44"/>
      <c r="E4" s="30">
        <v>1</v>
      </c>
      <c r="F4" s="30">
        <v>1</v>
      </c>
      <c r="G4" s="30">
        <v>1</v>
      </c>
      <c r="H4" s="30">
        <v>1</v>
      </c>
      <c r="I4" s="30">
        <v>1</v>
      </c>
      <c r="J4" s="30">
        <v>1</v>
      </c>
      <c r="K4" s="30">
        <v>1</v>
      </c>
      <c r="L4" s="30">
        <v>1</v>
      </c>
      <c r="O4" s="30">
        <f t="shared" si="1"/>
        <v>32640</v>
      </c>
      <c r="P4" s="30" t="str">
        <f t="shared" si="2"/>
        <v>7F80</v>
      </c>
      <c r="Q4" s="44"/>
    </row>
    <row r="5" spans="1:17" ht="9.75" customHeight="1" x14ac:dyDescent="0.3">
      <c r="A5" s="30">
        <v>4</v>
      </c>
      <c r="B5" s="44"/>
      <c r="C5" s="44"/>
      <c r="E5" s="30">
        <v>1</v>
      </c>
      <c r="F5" s="30">
        <v>1</v>
      </c>
      <c r="K5" s="30">
        <v>1</v>
      </c>
      <c r="L5" s="30">
        <v>1</v>
      </c>
      <c r="O5" s="30">
        <f t="shared" si="1"/>
        <v>24960</v>
      </c>
      <c r="P5" s="30" t="str">
        <f t="shared" si="2"/>
        <v>6180</v>
      </c>
      <c r="Q5" s="44"/>
    </row>
    <row r="6" spans="1:17" ht="9.75" customHeight="1" x14ac:dyDescent="0.3">
      <c r="A6" s="30">
        <v>5</v>
      </c>
      <c r="B6" s="44"/>
      <c r="C6" s="44"/>
      <c r="E6" s="30">
        <v>1</v>
      </c>
      <c r="F6" s="30">
        <v>1</v>
      </c>
      <c r="K6" s="30">
        <v>1</v>
      </c>
      <c r="L6" s="30">
        <v>1</v>
      </c>
      <c r="O6" s="30">
        <f t="shared" si="1"/>
        <v>24960</v>
      </c>
      <c r="P6" s="30" t="str">
        <f t="shared" si="2"/>
        <v>6180</v>
      </c>
      <c r="Q6" s="44"/>
    </row>
    <row r="7" spans="1:17" ht="9.75" customHeight="1" x14ac:dyDescent="0.3">
      <c r="A7" s="30">
        <v>6</v>
      </c>
      <c r="B7" s="44"/>
      <c r="C7" s="44"/>
      <c r="E7" s="30">
        <v>1</v>
      </c>
      <c r="F7" s="30">
        <v>1</v>
      </c>
      <c r="K7" s="30">
        <v>1</v>
      </c>
      <c r="L7" s="30">
        <v>1</v>
      </c>
      <c r="O7" s="30">
        <f t="shared" si="1"/>
        <v>24960</v>
      </c>
      <c r="P7" s="30" t="str">
        <f t="shared" si="2"/>
        <v>6180</v>
      </c>
      <c r="Q7" s="44"/>
    </row>
    <row r="8" spans="1:17" ht="9.75" customHeight="1" x14ac:dyDescent="0.3">
      <c r="A8" s="30">
        <v>7</v>
      </c>
      <c r="B8" s="44"/>
      <c r="C8" s="44"/>
      <c r="E8" s="30">
        <v>1</v>
      </c>
      <c r="F8" s="30">
        <v>1</v>
      </c>
      <c r="K8" s="30">
        <v>1</v>
      </c>
      <c r="L8" s="30">
        <v>1</v>
      </c>
      <c r="O8" s="30">
        <f t="shared" si="1"/>
        <v>24960</v>
      </c>
      <c r="P8" s="30" t="str">
        <f t="shared" si="2"/>
        <v>6180</v>
      </c>
      <c r="Q8" s="44"/>
    </row>
    <row r="9" spans="1:17" ht="9.75" customHeight="1" x14ac:dyDescent="0.3">
      <c r="A9" s="30">
        <v>8</v>
      </c>
      <c r="B9" s="44"/>
      <c r="C9" s="44"/>
      <c r="E9" s="30">
        <v>1</v>
      </c>
      <c r="F9" s="30">
        <v>1</v>
      </c>
      <c r="K9" s="30">
        <v>1</v>
      </c>
      <c r="L9" s="30">
        <v>1</v>
      </c>
      <c r="O9" s="30">
        <f t="shared" si="1"/>
        <v>24960</v>
      </c>
      <c r="P9" s="30" t="str">
        <f t="shared" si="2"/>
        <v>6180</v>
      </c>
      <c r="Q9" s="44"/>
    </row>
    <row r="10" spans="1:17" ht="9.75" customHeight="1" x14ac:dyDescent="0.3">
      <c r="A10" s="30">
        <v>9</v>
      </c>
      <c r="B10" s="44"/>
      <c r="C10" s="44"/>
      <c r="E10" s="30">
        <v>1</v>
      </c>
      <c r="F10" s="30">
        <v>1</v>
      </c>
      <c r="G10" s="30">
        <v>1</v>
      </c>
      <c r="H10" s="30">
        <v>1</v>
      </c>
      <c r="I10" s="30">
        <v>1</v>
      </c>
      <c r="J10" s="30">
        <v>1</v>
      </c>
      <c r="K10" s="30">
        <v>1</v>
      </c>
      <c r="L10" s="30">
        <v>1</v>
      </c>
      <c r="O10" s="30">
        <f t="shared" si="1"/>
        <v>32640</v>
      </c>
      <c r="P10" s="30" t="str">
        <f t="shared" si="2"/>
        <v>7F80</v>
      </c>
      <c r="Q10" s="44"/>
    </row>
    <row r="11" spans="1:17" ht="9.75" customHeight="1" x14ac:dyDescent="0.3">
      <c r="A11" s="30">
        <v>10</v>
      </c>
      <c r="B11" s="44"/>
      <c r="C11" s="44"/>
      <c r="E11" s="30">
        <v>1</v>
      </c>
      <c r="F11" s="30">
        <v>1</v>
      </c>
      <c r="G11" s="30">
        <v>1</v>
      </c>
      <c r="H11" s="30">
        <v>1</v>
      </c>
      <c r="I11" s="30">
        <v>1</v>
      </c>
      <c r="J11" s="30">
        <v>1</v>
      </c>
      <c r="K11" s="30">
        <v>1</v>
      </c>
      <c r="L11" s="30">
        <v>1</v>
      </c>
      <c r="O11" s="30">
        <f t="shared" si="1"/>
        <v>32640</v>
      </c>
      <c r="P11" s="30" t="str">
        <f t="shared" si="2"/>
        <v>7F80</v>
      </c>
      <c r="Q11" s="44"/>
    </row>
    <row r="12" spans="1:17" ht="9.75" customHeight="1" x14ac:dyDescent="0.3">
      <c r="A12" s="30">
        <v>11</v>
      </c>
      <c r="B12" s="44"/>
      <c r="C12" s="44"/>
      <c r="E12" s="30">
        <v>1</v>
      </c>
      <c r="F12" s="30">
        <v>1</v>
      </c>
      <c r="K12" s="30">
        <v>1</v>
      </c>
      <c r="L12" s="30">
        <v>1</v>
      </c>
      <c r="O12" s="30">
        <f t="shared" si="1"/>
        <v>24960</v>
      </c>
      <c r="P12" s="30" t="str">
        <f t="shared" si="2"/>
        <v>6180</v>
      </c>
      <c r="Q12" s="44"/>
    </row>
    <row r="13" spans="1:17" ht="9.75" customHeight="1" x14ac:dyDescent="0.3">
      <c r="A13" s="30">
        <v>12</v>
      </c>
      <c r="B13" s="44"/>
      <c r="C13" s="44"/>
      <c r="E13" s="30">
        <v>1</v>
      </c>
      <c r="F13" s="30">
        <v>1</v>
      </c>
      <c r="K13" s="30">
        <v>1</v>
      </c>
      <c r="L13" s="30">
        <v>1</v>
      </c>
      <c r="O13" s="30">
        <f t="shared" si="1"/>
        <v>24960</v>
      </c>
      <c r="P13" s="30" t="str">
        <f t="shared" si="2"/>
        <v>6180</v>
      </c>
      <c r="Q13" s="44"/>
    </row>
    <row r="14" spans="1:17" ht="9.75" customHeight="1" x14ac:dyDescent="0.3">
      <c r="A14" s="30">
        <v>13</v>
      </c>
      <c r="B14" s="44"/>
      <c r="C14" s="44"/>
      <c r="E14" s="30">
        <v>1</v>
      </c>
      <c r="F14" s="30">
        <v>1</v>
      </c>
      <c r="K14" s="30">
        <v>1</v>
      </c>
      <c r="L14" s="30">
        <v>1</v>
      </c>
      <c r="O14" s="30">
        <f t="shared" si="1"/>
        <v>24960</v>
      </c>
      <c r="P14" s="30" t="str">
        <f t="shared" si="2"/>
        <v>6180</v>
      </c>
      <c r="Q14" s="44"/>
    </row>
    <row r="15" spans="1:17" ht="9.75" customHeight="1" x14ac:dyDescent="0.3">
      <c r="A15" s="30">
        <v>14</v>
      </c>
      <c r="B15" s="44"/>
      <c r="C15" s="44"/>
      <c r="E15" s="30">
        <v>1</v>
      </c>
      <c r="F15" s="30">
        <v>1</v>
      </c>
      <c r="K15" s="30">
        <v>1</v>
      </c>
      <c r="L15" s="30">
        <v>1</v>
      </c>
      <c r="O15" s="30">
        <f t="shared" si="1"/>
        <v>24960</v>
      </c>
      <c r="P15" s="30" t="str">
        <f t="shared" si="2"/>
        <v>6180</v>
      </c>
      <c r="Q15" s="44"/>
    </row>
    <row r="16" spans="1:17" ht="9.75" customHeight="1" x14ac:dyDescent="0.3">
      <c r="A16" s="30">
        <v>15</v>
      </c>
      <c r="B16" s="44"/>
      <c r="C16" s="44"/>
      <c r="E16" s="30">
        <v>1</v>
      </c>
      <c r="F16" s="30">
        <v>1</v>
      </c>
      <c r="K16" s="30">
        <v>1</v>
      </c>
      <c r="L16" s="30">
        <v>1</v>
      </c>
      <c r="O16" s="30">
        <f t="shared" si="1"/>
        <v>24960</v>
      </c>
      <c r="P16" s="30" t="str">
        <f t="shared" si="2"/>
        <v>6180</v>
      </c>
    </row>
    <row r="17" spans="1:17" ht="9.75" customHeight="1" x14ac:dyDescent="0.3">
      <c r="A17" s="30">
        <v>16</v>
      </c>
      <c r="B17" s="44"/>
      <c r="C17" s="44"/>
      <c r="O17" s="30">
        <f t="shared" ref="O17:O19" si="3">D17*D$1+E17*E$1+F17*F$1+G17*G$1+H17*H$1+I17*I$1+J17*J$1+K17*K$1+L17*L$1+M17*M$1+N17*N$1</f>
        <v>0</v>
      </c>
      <c r="P17" s="30" t="str">
        <f t="shared" si="2"/>
        <v>0000</v>
      </c>
    </row>
    <row r="18" spans="1:17" ht="9.75" customHeight="1" x14ac:dyDescent="0.3">
      <c r="A18" s="30">
        <v>17</v>
      </c>
      <c r="B18" s="44"/>
      <c r="C18" s="44"/>
      <c r="O18" s="30">
        <f t="shared" si="3"/>
        <v>0</v>
      </c>
      <c r="P18" s="30" t="str">
        <f t="shared" si="2"/>
        <v>0000</v>
      </c>
    </row>
    <row r="19" spans="1:17" ht="9.75" customHeight="1" x14ac:dyDescent="0.3">
      <c r="A19" s="30">
        <v>18</v>
      </c>
      <c r="B19" s="44"/>
      <c r="C19" s="44"/>
      <c r="O19" s="30">
        <f t="shared" si="3"/>
        <v>0</v>
      </c>
      <c r="P19" s="30" t="str">
        <f t="shared" si="2"/>
        <v>0000</v>
      </c>
    </row>
    <row r="21" spans="1:17" ht="9.75" customHeight="1" x14ac:dyDescent="0.3">
      <c r="A21" s="30">
        <v>1</v>
      </c>
      <c r="B21" s="42">
        <v>67</v>
      </c>
      <c r="C21" s="43" t="s">
        <v>2</v>
      </c>
      <c r="O21" s="30">
        <f>D21*D$1+E21*E$1+F21*F$1+G21*G$1+H21*H$1+I21*I$1+J21*J$1+K21*K$1+L21*L$1+M21*M$1+N21*N$1</f>
        <v>0</v>
      </c>
      <c r="P21" s="30" t="str">
        <f>DEC2HEX(O21,4)</f>
        <v>0000</v>
      </c>
      <c r="Q21" s="44" t="str">
        <f>CONCATENATE("0x",P21,",0x",P22,",0x",P23,",0x",P24,",0x",P25,",0x",P26,",0x",P27,",0x",P28,",0x",P29,",0x",P30,",0x",P31,",0x",P32,",0x",P33,",0x",P34,",0x",P35,",0x",P36,",0x",P37,",0x",P38,", //",C21)</f>
        <v>0x0000,0x3F00,0x7F80,0x6180,0x6180,0x6000,0x6000,0x6000,0x6000,0x6000,0x6000,0x6180,0x6180,0x7F80,0x3F00,0x0000,0x0000,0x0000, //C</v>
      </c>
    </row>
    <row r="22" spans="1:17" ht="9.75" customHeight="1" x14ac:dyDescent="0.3">
      <c r="A22" s="30">
        <v>2</v>
      </c>
      <c r="B22" s="44"/>
      <c r="C22" s="44"/>
      <c r="F22" s="30">
        <v>1</v>
      </c>
      <c r="G22" s="30">
        <v>1</v>
      </c>
      <c r="H22" s="30">
        <v>1</v>
      </c>
      <c r="I22" s="30">
        <v>1</v>
      </c>
      <c r="J22" s="30">
        <v>1</v>
      </c>
      <c r="K22" s="30">
        <v>1</v>
      </c>
      <c r="O22" s="30">
        <f t="shared" ref="O22:O38" si="4">D22*D$1+E22*E$1+F22*F$1+G22*G$1+H22*H$1+I22*I$1+J22*J$1+K22*K$1+L22*L$1+M22*M$1+N22*N$1</f>
        <v>16128</v>
      </c>
      <c r="P22" s="30" t="str">
        <f t="shared" ref="P22:P38" si="5">DEC2HEX(O22,4)</f>
        <v>3F00</v>
      </c>
      <c r="Q22" s="44"/>
    </row>
    <row r="23" spans="1:17" ht="9.75" customHeight="1" x14ac:dyDescent="0.3">
      <c r="A23" s="30">
        <v>3</v>
      </c>
      <c r="B23" s="44"/>
      <c r="C23" s="44"/>
      <c r="E23" s="30">
        <v>1</v>
      </c>
      <c r="F23" s="30">
        <v>1</v>
      </c>
      <c r="G23" s="30">
        <v>1</v>
      </c>
      <c r="H23" s="30">
        <v>1</v>
      </c>
      <c r="I23" s="30">
        <v>1</v>
      </c>
      <c r="J23" s="30">
        <v>1</v>
      </c>
      <c r="K23" s="30">
        <v>1</v>
      </c>
      <c r="L23" s="30">
        <v>1</v>
      </c>
      <c r="O23" s="30">
        <f t="shared" si="4"/>
        <v>32640</v>
      </c>
      <c r="P23" s="30" t="str">
        <f t="shared" si="5"/>
        <v>7F80</v>
      </c>
      <c r="Q23" s="44"/>
    </row>
    <row r="24" spans="1:17" ht="9.75" customHeight="1" x14ac:dyDescent="0.3">
      <c r="A24" s="30">
        <v>4</v>
      </c>
      <c r="B24" s="44"/>
      <c r="C24" s="44"/>
      <c r="E24" s="30">
        <v>1</v>
      </c>
      <c r="F24" s="30">
        <v>1</v>
      </c>
      <c r="K24" s="30">
        <v>1</v>
      </c>
      <c r="L24" s="30">
        <v>1</v>
      </c>
      <c r="O24" s="30">
        <f t="shared" si="4"/>
        <v>24960</v>
      </c>
      <c r="P24" s="30" t="str">
        <f t="shared" si="5"/>
        <v>6180</v>
      </c>
      <c r="Q24" s="44"/>
    </row>
    <row r="25" spans="1:17" ht="9.75" customHeight="1" x14ac:dyDescent="0.3">
      <c r="A25" s="30">
        <v>5</v>
      </c>
      <c r="B25" s="44"/>
      <c r="C25" s="44"/>
      <c r="E25" s="30">
        <v>1</v>
      </c>
      <c r="F25" s="30">
        <v>1</v>
      </c>
      <c r="K25" s="30">
        <v>1</v>
      </c>
      <c r="L25" s="30">
        <v>1</v>
      </c>
      <c r="O25" s="30">
        <f t="shared" si="4"/>
        <v>24960</v>
      </c>
      <c r="P25" s="30" t="str">
        <f t="shared" si="5"/>
        <v>6180</v>
      </c>
      <c r="Q25" s="44"/>
    </row>
    <row r="26" spans="1:17" ht="9.75" customHeight="1" x14ac:dyDescent="0.3">
      <c r="A26" s="30">
        <v>6</v>
      </c>
      <c r="B26" s="44"/>
      <c r="C26" s="44"/>
      <c r="E26" s="30">
        <v>1</v>
      </c>
      <c r="F26" s="30">
        <v>1</v>
      </c>
      <c r="O26" s="30">
        <f t="shared" si="4"/>
        <v>24576</v>
      </c>
      <c r="P26" s="30" t="str">
        <f t="shared" si="5"/>
        <v>6000</v>
      </c>
      <c r="Q26" s="44"/>
    </row>
    <row r="27" spans="1:17" ht="9.75" customHeight="1" x14ac:dyDescent="0.3">
      <c r="A27" s="30">
        <v>7</v>
      </c>
      <c r="B27" s="44"/>
      <c r="C27" s="44"/>
      <c r="E27" s="30">
        <v>1</v>
      </c>
      <c r="F27" s="30">
        <v>1</v>
      </c>
      <c r="O27" s="30">
        <f t="shared" si="4"/>
        <v>24576</v>
      </c>
      <c r="P27" s="30" t="str">
        <f t="shared" si="5"/>
        <v>6000</v>
      </c>
      <c r="Q27" s="44"/>
    </row>
    <row r="28" spans="1:17" ht="9.75" customHeight="1" x14ac:dyDescent="0.3">
      <c r="A28" s="30">
        <v>8</v>
      </c>
      <c r="B28" s="44"/>
      <c r="C28" s="44"/>
      <c r="E28" s="30">
        <v>1</v>
      </c>
      <c r="F28" s="30">
        <v>1</v>
      </c>
      <c r="O28" s="30">
        <f t="shared" si="4"/>
        <v>24576</v>
      </c>
      <c r="P28" s="30" t="str">
        <f t="shared" si="5"/>
        <v>6000</v>
      </c>
      <c r="Q28" s="44"/>
    </row>
    <row r="29" spans="1:17" ht="9.75" customHeight="1" x14ac:dyDescent="0.3">
      <c r="A29" s="30">
        <v>9</v>
      </c>
      <c r="B29" s="44"/>
      <c r="C29" s="44"/>
      <c r="E29" s="30">
        <v>1</v>
      </c>
      <c r="F29" s="30">
        <v>1</v>
      </c>
      <c r="O29" s="30">
        <f t="shared" si="4"/>
        <v>24576</v>
      </c>
      <c r="P29" s="30" t="str">
        <f t="shared" si="5"/>
        <v>6000</v>
      </c>
      <c r="Q29" s="44"/>
    </row>
    <row r="30" spans="1:17" ht="9.75" customHeight="1" x14ac:dyDescent="0.3">
      <c r="A30" s="30">
        <v>10</v>
      </c>
      <c r="B30" s="44"/>
      <c r="C30" s="44"/>
      <c r="E30" s="30">
        <v>1</v>
      </c>
      <c r="F30" s="30">
        <v>1</v>
      </c>
      <c r="O30" s="30">
        <f t="shared" si="4"/>
        <v>24576</v>
      </c>
      <c r="P30" s="30" t="str">
        <f t="shared" si="5"/>
        <v>6000</v>
      </c>
      <c r="Q30" s="44"/>
    </row>
    <row r="31" spans="1:17" ht="9.75" customHeight="1" x14ac:dyDescent="0.3">
      <c r="A31" s="30">
        <v>11</v>
      </c>
      <c r="B31" s="44"/>
      <c r="C31" s="44"/>
      <c r="E31" s="30">
        <v>1</v>
      </c>
      <c r="F31" s="30">
        <v>1</v>
      </c>
      <c r="O31" s="30">
        <f t="shared" si="4"/>
        <v>24576</v>
      </c>
      <c r="P31" s="30" t="str">
        <f t="shared" si="5"/>
        <v>6000</v>
      </c>
      <c r="Q31" s="44"/>
    </row>
    <row r="32" spans="1:17" ht="9.75" customHeight="1" x14ac:dyDescent="0.3">
      <c r="A32" s="30">
        <v>12</v>
      </c>
      <c r="B32" s="44"/>
      <c r="C32" s="44"/>
      <c r="E32" s="30">
        <v>1</v>
      </c>
      <c r="F32" s="30">
        <v>1</v>
      </c>
      <c r="K32" s="30">
        <v>1</v>
      </c>
      <c r="L32" s="30">
        <v>1</v>
      </c>
      <c r="O32" s="30">
        <f t="shared" si="4"/>
        <v>24960</v>
      </c>
      <c r="P32" s="30" t="str">
        <f t="shared" si="5"/>
        <v>6180</v>
      </c>
      <c r="Q32" s="44"/>
    </row>
    <row r="33" spans="1:17" ht="9.75" customHeight="1" x14ac:dyDescent="0.3">
      <c r="A33" s="30">
        <v>13</v>
      </c>
      <c r="B33" s="44"/>
      <c r="C33" s="44"/>
      <c r="E33" s="30">
        <v>1</v>
      </c>
      <c r="F33" s="30">
        <v>1</v>
      </c>
      <c r="K33" s="30">
        <v>1</v>
      </c>
      <c r="L33" s="30">
        <v>1</v>
      </c>
      <c r="O33" s="30">
        <f t="shared" si="4"/>
        <v>24960</v>
      </c>
      <c r="P33" s="30" t="str">
        <f t="shared" si="5"/>
        <v>6180</v>
      </c>
      <c r="Q33" s="44"/>
    </row>
    <row r="34" spans="1:17" ht="9.75" customHeight="1" x14ac:dyDescent="0.3">
      <c r="A34" s="30">
        <v>14</v>
      </c>
      <c r="B34" s="44"/>
      <c r="C34" s="44"/>
      <c r="E34" s="30">
        <v>1</v>
      </c>
      <c r="F34" s="30">
        <v>1</v>
      </c>
      <c r="G34" s="30">
        <v>1</v>
      </c>
      <c r="H34" s="30">
        <v>1</v>
      </c>
      <c r="I34" s="30">
        <v>1</v>
      </c>
      <c r="J34" s="30">
        <v>1</v>
      </c>
      <c r="K34" s="30">
        <v>1</v>
      </c>
      <c r="L34" s="30">
        <v>1</v>
      </c>
      <c r="O34" s="30">
        <f t="shared" si="4"/>
        <v>32640</v>
      </c>
      <c r="P34" s="30" t="str">
        <f t="shared" si="5"/>
        <v>7F80</v>
      </c>
      <c r="Q34" s="44"/>
    </row>
    <row r="35" spans="1:17" ht="9.75" customHeight="1" x14ac:dyDescent="0.3">
      <c r="A35" s="30">
        <v>15</v>
      </c>
      <c r="B35" s="44"/>
      <c r="C35" s="44"/>
      <c r="F35" s="30">
        <v>1</v>
      </c>
      <c r="G35" s="30">
        <v>1</v>
      </c>
      <c r="H35" s="30">
        <v>1</v>
      </c>
      <c r="I35" s="30">
        <v>1</v>
      </c>
      <c r="J35" s="30">
        <v>1</v>
      </c>
      <c r="K35" s="30">
        <v>1</v>
      </c>
      <c r="O35" s="30">
        <f t="shared" si="4"/>
        <v>16128</v>
      </c>
      <c r="P35" s="30" t="str">
        <f t="shared" si="5"/>
        <v>3F00</v>
      </c>
    </row>
    <row r="36" spans="1:17" ht="9.75" customHeight="1" x14ac:dyDescent="0.3">
      <c r="A36" s="30">
        <v>16</v>
      </c>
      <c r="B36" s="44"/>
      <c r="C36" s="44"/>
      <c r="O36" s="30">
        <f t="shared" si="4"/>
        <v>0</v>
      </c>
      <c r="P36" s="30" t="str">
        <f t="shared" si="5"/>
        <v>0000</v>
      </c>
    </row>
    <row r="37" spans="1:17" ht="9.75" customHeight="1" x14ac:dyDescent="0.3">
      <c r="A37" s="30">
        <v>17</v>
      </c>
      <c r="B37" s="44"/>
      <c r="C37" s="44"/>
      <c r="O37" s="30">
        <f t="shared" si="4"/>
        <v>0</v>
      </c>
      <c r="P37" s="30" t="str">
        <f t="shared" si="5"/>
        <v>0000</v>
      </c>
    </row>
    <row r="38" spans="1:17" ht="9.75" customHeight="1" x14ac:dyDescent="0.3">
      <c r="A38" s="30">
        <v>18</v>
      </c>
      <c r="B38" s="44"/>
      <c r="C38" s="44"/>
      <c r="O38" s="30">
        <f t="shared" si="4"/>
        <v>0</v>
      </c>
      <c r="P38" s="30" t="str">
        <f t="shared" si="5"/>
        <v>0000</v>
      </c>
    </row>
    <row r="40" spans="1:17" ht="9.75" customHeight="1" x14ac:dyDescent="0.3">
      <c r="A40" s="30">
        <v>1</v>
      </c>
      <c r="B40" s="42"/>
      <c r="C40" s="43" t="s">
        <v>130</v>
      </c>
      <c r="O40" s="30">
        <f>D40*D$1+E40*E$1+F40*F$1+G40*G$1+H40*H$1+I40*I$1+J40*J$1+K40*K$1+L40*L$1+M40*M$1+N40*N$1</f>
        <v>0</v>
      </c>
      <c r="P40" s="30" t="str">
        <f>DEC2HEX(O40,4)</f>
        <v>0000</v>
      </c>
      <c r="Q40" s="44" t="str">
        <f>CONCATENATE("0x",P40,",0x",P41,",0x",P42,",0x",P43,",0x",P44,",0x",P45,",0x",P46,",0x",P47,",0x",P48,",0x",P49,",0x",P50,",0x",P51,",0x",P52,",0x",P53,",0x",P54,",0x",P55,",0x",P56,",0x",P57,", //",C40)</f>
        <v>0x0000,0x6180,0x6180,0x7380,0x7380,0x7F80,0x7F80,0x6D80,0x6D80,0x6180,0x6180,0x6180,0x6180,0x6180,0x6180,0x0000,0x0000,0x0000, //M</v>
      </c>
    </row>
    <row r="41" spans="1:17" ht="9.75" customHeight="1" x14ac:dyDescent="0.3">
      <c r="A41" s="30">
        <v>2</v>
      </c>
      <c r="B41" s="44"/>
      <c r="C41" s="44"/>
      <c r="E41" s="30">
        <v>1</v>
      </c>
      <c r="F41" s="30">
        <v>1</v>
      </c>
      <c r="K41" s="30">
        <v>1</v>
      </c>
      <c r="L41" s="30">
        <v>1</v>
      </c>
      <c r="O41" s="30">
        <f t="shared" ref="O41:O57" si="6">D41*D$1+E41*E$1+F41*F$1+G41*G$1+H41*H$1+I41*I$1+J41*J$1+K41*K$1+L41*L$1+M41*M$1+N41*N$1</f>
        <v>24960</v>
      </c>
      <c r="P41" s="30" t="str">
        <f t="shared" ref="P41:P57" si="7">DEC2HEX(O41,4)</f>
        <v>6180</v>
      </c>
      <c r="Q41" s="44"/>
    </row>
    <row r="42" spans="1:17" ht="9.75" customHeight="1" x14ac:dyDescent="0.3">
      <c r="A42" s="30">
        <v>3</v>
      </c>
      <c r="B42" s="44"/>
      <c r="C42" s="44"/>
      <c r="E42" s="30">
        <v>1</v>
      </c>
      <c r="F42" s="30">
        <v>1</v>
      </c>
      <c r="K42" s="30">
        <v>1</v>
      </c>
      <c r="L42" s="30">
        <v>1</v>
      </c>
      <c r="O42" s="30">
        <f t="shared" si="6"/>
        <v>24960</v>
      </c>
      <c r="P42" s="30" t="str">
        <f t="shared" si="7"/>
        <v>6180</v>
      </c>
      <c r="Q42" s="44"/>
    </row>
    <row r="43" spans="1:17" ht="9.75" customHeight="1" x14ac:dyDescent="0.3">
      <c r="A43" s="30">
        <v>4</v>
      </c>
      <c r="B43" s="44"/>
      <c r="C43" s="44"/>
      <c r="E43" s="30">
        <v>1</v>
      </c>
      <c r="F43" s="30">
        <v>1</v>
      </c>
      <c r="G43" s="30">
        <v>1</v>
      </c>
      <c r="J43" s="30">
        <v>1</v>
      </c>
      <c r="K43" s="30">
        <v>1</v>
      </c>
      <c r="L43" s="30">
        <v>1</v>
      </c>
      <c r="O43" s="30">
        <f t="shared" si="6"/>
        <v>29568</v>
      </c>
      <c r="P43" s="30" t="str">
        <f t="shared" si="7"/>
        <v>7380</v>
      </c>
      <c r="Q43" s="44"/>
    </row>
    <row r="44" spans="1:17" ht="9.75" customHeight="1" x14ac:dyDescent="0.3">
      <c r="A44" s="30">
        <v>5</v>
      </c>
      <c r="B44" s="44"/>
      <c r="C44" s="44"/>
      <c r="E44" s="30">
        <v>1</v>
      </c>
      <c r="F44" s="30">
        <v>1</v>
      </c>
      <c r="G44" s="30">
        <v>1</v>
      </c>
      <c r="J44" s="30">
        <v>1</v>
      </c>
      <c r="K44" s="30">
        <v>1</v>
      </c>
      <c r="L44" s="30">
        <v>1</v>
      </c>
      <c r="O44" s="30">
        <f t="shared" si="6"/>
        <v>29568</v>
      </c>
      <c r="P44" s="30" t="str">
        <f t="shared" si="7"/>
        <v>7380</v>
      </c>
      <c r="Q44" s="44"/>
    </row>
    <row r="45" spans="1:17" ht="9.75" customHeight="1" x14ac:dyDescent="0.3">
      <c r="A45" s="30">
        <v>6</v>
      </c>
      <c r="B45" s="44"/>
      <c r="C45" s="44"/>
      <c r="E45" s="30">
        <v>1</v>
      </c>
      <c r="F45" s="30">
        <v>1</v>
      </c>
      <c r="G45" s="30">
        <v>1</v>
      </c>
      <c r="H45" s="30">
        <v>1</v>
      </c>
      <c r="I45" s="30">
        <v>1</v>
      </c>
      <c r="J45" s="30">
        <v>1</v>
      </c>
      <c r="K45" s="30">
        <v>1</v>
      </c>
      <c r="L45" s="30">
        <v>1</v>
      </c>
      <c r="O45" s="30">
        <f t="shared" si="6"/>
        <v>32640</v>
      </c>
      <c r="P45" s="30" t="str">
        <f t="shared" si="7"/>
        <v>7F80</v>
      </c>
      <c r="Q45" s="44"/>
    </row>
    <row r="46" spans="1:17" ht="9.75" customHeight="1" x14ac:dyDescent="0.3">
      <c r="A46" s="30">
        <v>7</v>
      </c>
      <c r="B46" s="44"/>
      <c r="C46" s="44"/>
      <c r="E46" s="30">
        <v>1</v>
      </c>
      <c r="F46" s="30">
        <v>1</v>
      </c>
      <c r="G46" s="30">
        <v>1</v>
      </c>
      <c r="H46" s="30">
        <v>1</v>
      </c>
      <c r="I46" s="30">
        <v>1</v>
      </c>
      <c r="J46" s="30">
        <v>1</v>
      </c>
      <c r="K46" s="30">
        <v>1</v>
      </c>
      <c r="L46" s="30">
        <v>1</v>
      </c>
      <c r="O46" s="30">
        <f t="shared" si="6"/>
        <v>32640</v>
      </c>
      <c r="P46" s="30" t="str">
        <f t="shared" si="7"/>
        <v>7F80</v>
      </c>
      <c r="Q46" s="44"/>
    </row>
    <row r="47" spans="1:17" ht="9.75" customHeight="1" x14ac:dyDescent="0.3">
      <c r="A47" s="30">
        <v>8</v>
      </c>
      <c r="B47" s="44"/>
      <c r="C47" s="44"/>
      <c r="E47" s="30">
        <v>1</v>
      </c>
      <c r="F47" s="30">
        <v>1</v>
      </c>
      <c r="H47" s="30">
        <v>1</v>
      </c>
      <c r="I47" s="30">
        <v>1</v>
      </c>
      <c r="K47" s="30">
        <v>1</v>
      </c>
      <c r="L47" s="30">
        <v>1</v>
      </c>
      <c r="O47" s="30">
        <f t="shared" si="6"/>
        <v>28032</v>
      </c>
      <c r="P47" s="30" t="str">
        <f t="shared" si="7"/>
        <v>6D80</v>
      </c>
      <c r="Q47" s="44"/>
    </row>
    <row r="48" spans="1:17" ht="9.75" customHeight="1" x14ac:dyDescent="0.3">
      <c r="A48" s="30">
        <v>9</v>
      </c>
      <c r="B48" s="44"/>
      <c r="C48" s="44"/>
      <c r="E48" s="30">
        <v>1</v>
      </c>
      <c r="F48" s="30">
        <v>1</v>
      </c>
      <c r="H48" s="30">
        <v>1</v>
      </c>
      <c r="I48" s="30">
        <v>1</v>
      </c>
      <c r="K48" s="30">
        <v>1</v>
      </c>
      <c r="L48" s="30">
        <v>1</v>
      </c>
      <c r="O48" s="30">
        <f t="shared" si="6"/>
        <v>28032</v>
      </c>
      <c r="P48" s="30" t="str">
        <f t="shared" si="7"/>
        <v>6D80</v>
      </c>
      <c r="Q48" s="44"/>
    </row>
    <row r="49" spans="1:17" ht="9.75" customHeight="1" x14ac:dyDescent="0.3">
      <c r="A49" s="30">
        <v>10</v>
      </c>
      <c r="B49" s="44"/>
      <c r="C49" s="44"/>
      <c r="E49" s="30">
        <v>1</v>
      </c>
      <c r="F49" s="30">
        <v>1</v>
      </c>
      <c r="K49" s="30">
        <v>1</v>
      </c>
      <c r="L49" s="30">
        <v>1</v>
      </c>
      <c r="O49" s="30">
        <f t="shared" si="6"/>
        <v>24960</v>
      </c>
      <c r="P49" s="30" t="str">
        <f t="shared" si="7"/>
        <v>6180</v>
      </c>
      <c r="Q49" s="44"/>
    </row>
    <row r="50" spans="1:17" ht="9.75" customHeight="1" x14ac:dyDescent="0.3">
      <c r="A50" s="30">
        <v>11</v>
      </c>
      <c r="B50" s="44"/>
      <c r="C50" s="44"/>
      <c r="E50" s="30">
        <v>1</v>
      </c>
      <c r="F50" s="30">
        <v>1</v>
      </c>
      <c r="K50" s="30">
        <v>1</v>
      </c>
      <c r="L50" s="30">
        <v>1</v>
      </c>
      <c r="O50" s="30">
        <f t="shared" si="6"/>
        <v>24960</v>
      </c>
      <c r="P50" s="30" t="str">
        <f t="shared" si="7"/>
        <v>6180</v>
      </c>
      <c r="Q50" s="44"/>
    </row>
    <row r="51" spans="1:17" ht="9.75" customHeight="1" x14ac:dyDescent="0.3">
      <c r="A51" s="30">
        <v>12</v>
      </c>
      <c r="B51" s="44"/>
      <c r="C51" s="44"/>
      <c r="E51" s="30">
        <v>1</v>
      </c>
      <c r="F51" s="30">
        <v>1</v>
      </c>
      <c r="K51" s="30">
        <v>1</v>
      </c>
      <c r="L51" s="30">
        <v>1</v>
      </c>
      <c r="O51" s="30">
        <f t="shared" si="6"/>
        <v>24960</v>
      </c>
      <c r="P51" s="30" t="str">
        <f t="shared" si="7"/>
        <v>6180</v>
      </c>
      <c r="Q51" s="44"/>
    </row>
    <row r="52" spans="1:17" ht="9.75" customHeight="1" x14ac:dyDescent="0.3">
      <c r="A52" s="30">
        <v>13</v>
      </c>
      <c r="B52" s="44"/>
      <c r="C52" s="44"/>
      <c r="E52" s="30">
        <v>1</v>
      </c>
      <c r="F52" s="30">
        <v>1</v>
      </c>
      <c r="K52" s="30">
        <v>1</v>
      </c>
      <c r="L52" s="30">
        <v>1</v>
      </c>
      <c r="O52" s="30">
        <f t="shared" si="6"/>
        <v>24960</v>
      </c>
      <c r="P52" s="30" t="str">
        <f t="shared" si="7"/>
        <v>6180</v>
      </c>
      <c r="Q52" s="44"/>
    </row>
    <row r="53" spans="1:17" ht="9.75" customHeight="1" x14ac:dyDescent="0.3">
      <c r="A53" s="30">
        <v>14</v>
      </c>
      <c r="B53" s="44"/>
      <c r="C53" s="44"/>
      <c r="E53" s="30">
        <v>1</v>
      </c>
      <c r="F53" s="30">
        <v>1</v>
      </c>
      <c r="K53" s="30">
        <v>1</v>
      </c>
      <c r="L53" s="30">
        <v>1</v>
      </c>
      <c r="O53" s="30">
        <f t="shared" si="6"/>
        <v>24960</v>
      </c>
      <c r="P53" s="30" t="str">
        <f t="shared" si="7"/>
        <v>6180</v>
      </c>
      <c r="Q53" s="44"/>
    </row>
    <row r="54" spans="1:17" ht="9.75" customHeight="1" x14ac:dyDescent="0.3">
      <c r="A54" s="30">
        <v>15</v>
      </c>
      <c r="B54" s="44"/>
      <c r="C54" s="44"/>
      <c r="E54" s="30">
        <v>1</v>
      </c>
      <c r="F54" s="30">
        <v>1</v>
      </c>
      <c r="K54" s="30">
        <v>1</v>
      </c>
      <c r="L54" s="30">
        <v>1</v>
      </c>
      <c r="O54" s="30">
        <f t="shared" si="6"/>
        <v>24960</v>
      </c>
      <c r="P54" s="30" t="str">
        <f t="shared" si="7"/>
        <v>6180</v>
      </c>
    </row>
    <row r="55" spans="1:17" ht="9.75" customHeight="1" x14ac:dyDescent="0.3">
      <c r="A55" s="30">
        <v>16</v>
      </c>
      <c r="B55" s="44"/>
      <c r="C55" s="44"/>
      <c r="O55" s="30">
        <f t="shared" si="6"/>
        <v>0</v>
      </c>
      <c r="P55" s="30" t="str">
        <f t="shared" si="7"/>
        <v>0000</v>
      </c>
    </row>
    <row r="56" spans="1:17" ht="9.75" customHeight="1" x14ac:dyDescent="0.3">
      <c r="A56" s="30">
        <v>17</v>
      </c>
      <c r="B56" s="44"/>
      <c r="C56" s="44"/>
      <c r="O56" s="30">
        <f t="shared" si="6"/>
        <v>0</v>
      </c>
      <c r="P56" s="30" t="str">
        <f t="shared" si="7"/>
        <v>0000</v>
      </c>
    </row>
    <row r="57" spans="1:17" ht="9.75" customHeight="1" x14ac:dyDescent="0.3">
      <c r="A57" s="30">
        <v>18</v>
      </c>
      <c r="B57" s="44"/>
      <c r="C57" s="44"/>
      <c r="O57" s="30">
        <f t="shared" si="6"/>
        <v>0</v>
      </c>
      <c r="P57" s="30" t="str">
        <f t="shared" si="7"/>
        <v>0000</v>
      </c>
    </row>
    <row r="59" spans="1:17" ht="9.75" customHeight="1" x14ac:dyDescent="0.3">
      <c r="A59" s="30">
        <v>1</v>
      </c>
      <c r="B59" s="42"/>
      <c r="C59" s="43" t="s">
        <v>132</v>
      </c>
      <c r="O59" s="30">
        <f>D59*D$1+E59*E$1+F59*F$1+G59*G$1+H59*H$1+I59*I$1+J59*J$1+K59*K$1+L59*L$1+M59*M$1+N59*N$1</f>
        <v>0</v>
      </c>
      <c r="P59" s="30" t="str">
        <f>DEC2HEX(O59,4)</f>
        <v>0000</v>
      </c>
      <c r="Q59" s="44" t="str">
        <f>CONCATENATE("0x",P59,",0x",P60,",0x",P61,",0x",P62,",0x",P63,",0x",P64,",0x",P65,",0x",P66,",0x",P67,",0x",P68,",0x",P69,",0x",P70,",0x",P71,",0x",P72,",0x",P73,",0x",P74,",0x",P75,",0x",P76,", //",C59)</f>
        <v>0x0000,0x3F00,0x7F80,0x6180,0x6180,0x6180,0x6180,0x6180,0x6180,0x6180,0x6180,0x6180,0x6180,0x7F80,0x3F00,0x0000,0x0000,0x0000, //O</v>
      </c>
    </row>
    <row r="60" spans="1:17" ht="9.75" customHeight="1" x14ac:dyDescent="0.3">
      <c r="A60" s="30">
        <v>2</v>
      </c>
      <c r="B60" s="44"/>
      <c r="C60" s="44"/>
      <c r="F60" s="30">
        <v>1</v>
      </c>
      <c r="G60" s="30">
        <v>1</v>
      </c>
      <c r="H60" s="30">
        <v>1</v>
      </c>
      <c r="I60" s="30">
        <v>1</v>
      </c>
      <c r="J60" s="30">
        <v>1</v>
      </c>
      <c r="K60" s="30">
        <v>1</v>
      </c>
      <c r="O60" s="30">
        <f t="shared" ref="O60:O76" si="8">D60*D$1+E60*E$1+F60*F$1+G60*G$1+H60*H$1+I60*I$1+J60*J$1+K60*K$1+L60*L$1+M60*M$1+N60*N$1</f>
        <v>16128</v>
      </c>
      <c r="P60" s="30" t="str">
        <f t="shared" ref="P60:P76" si="9">DEC2HEX(O60,4)</f>
        <v>3F00</v>
      </c>
      <c r="Q60" s="44"/>
    </row>
    <row r="61" spans="1:17" ht="9.75" customHeight="1" x14ac:dyDescent="0.3">
      <c r="A61" s="30">
        <v>3</v>
      </c>
      <c r="B61" s="44"/>
      <c r="C61" s="44"/>
      <c r="E61" s="30">
        <v>1</v>
      </c>
      <c r="F61" s="30">
        <v>1</v>
      </c>
      <c r="G61" s="30">
        <v>1</v>
      </c>
      <c r="H61" s="30">
        <v>1</v>
      </c>
      <c r="I61" s="30">
        <v>1</v>
      </c>
      <c r="J61" s="30">
        <v>1</v>
      </c>
      <c r="K61" s="30">
        <v>1</v>
      </c>
      <c r="L61" s="30">
        <v>1</v>
      </c>
      <c r="O61" s="30">
        <f t="shared" si="8"/>
        <v>32640</v>
      </c>
      <c r="P61" s="30" t="str">
        <f t="shared" si="9"/>
        <v>7F80</v>
      </c>
      <c r="Q61" s="44"/>
    </row>
    <row r="62" spans="1:17" ht="9.75" customHeight="1" x14ac:dyDescent="0.3">
      <c r="A62" s="30">
        <v>4</v>
      </c>
      <c r="B62" s="44"/>
      <c r="C62" s="44"/>
      <c r="E62" s="30">
        <v>1</v>
      </c>
      <c r="F62" s="30">
        <v>1</v>
      </c>
      <c r="K62" s="30">
        <v>1</v>
      </c>
      <c r="L62" s="30">
        <v>1</v>
      </c>
      <c r="O62" s="30">
        <f t="shared" si="8"/>
        <v>24960</v>
      </c>
      <c r="P62" s="30" t="str">
        <f t="shared" si="9"/>
        <v>6180</v>
      </c>
      <c r="Q62" s="44"/>
    </row>
    <row r="63" spans="1:17" ht="9.75" customHeight="1" x14ac:dyDescent="0.3">
      <c r="A63" s="30">
        <v>5</v>
      </c>
      <c r="B63" s="44"/>
      <c r="C63" s="44"/>
      <c r="E63" s="30">
        <v>1</v>
      </c>
      <c r="F63" s="30">
        <v>1</v>
      </c>
      <c r="K63" s="30">
        <v>1</v>
      </c>
      <c r="L63" s="30">
        <v>1</v>
      </c>
      <c r="O63" s="30">
        <f t="shared" si="8"/>
        <v>24960</v>
      </c>
      <c r="P63" s="30" t="str">
        <f t="shared" si="9"/>
        <v>6180</v>
      </c>
      <c r="Q63" s="44"/>
    </row>
    <row r="64" spans="1:17" ht="9.75" customHeight="1" x14ac:dyDescent="0.3">
      <c r="A64" s="30">
        <v>6</v>
      </c>
      <c r="B64" s="44"/>
      <c r="C64" s="44"/>
      <c r="E64" s="30">
        <v>1</v>
      </c>
      <c r="F64" s="30">
        <v>1</v>
      </c>
      <c r="K64" s="30">
        <v>1</v>
      </c>
      <c r="L64" s="30">
        <v>1</v>
      </c>
      <c r="O64" s="30">
        <f t="shared" si="8"/>
        <v>24960</v>
      </c>
      <c r="P64" s="30" t="str">
        <f t="shared" si="9"/>
        <v>6180</v>
      </c>
      <c r="Q64" s="44"/>
    </row>
    <row r="65" spans="1:17" ht="9.75" customHeight="1" x14ac:dyDescent="0.3">
      <c r="A65" s="30">
        <v>7</v>
      </c>
      <c r="B65" s="44"/>
      <c r="C65" s="44"/>
      <c r="E65" s="30">
        <v>1</v>
      </c>
      <c r="F65" s="30">
        <v>1</v>
      </c>
      <c r="K65" s="30">
        <v>1</v>
      </c>
      <c r="L65" s="30">
        <v>1</v>
      </c>
      <c r="O65" s="30">
        <f t="shared" si="8"/>
        <v>24960</v>
      </c>
      <c r="P65" s="30" t="str">
        <f t="shared" si="9"/>
        <v>6180</v>
      </c>
      <c r="Q65" s="44"/>
    </row>
    <row r="66" spans="1:17" ht="9.75" customHeight="1" x14ac:dyDescent="0.3">
      <c r="A66" s="30">
        <v>8</v>
      </c>
      <c r="B66" s="44"/>
      <c r="C66" s="44"/>
      <c r="E66" s="30">
        <v>1</v>
      </c>
      <c r="F66" s="30">
        <v>1</v>
      </c>
      <c r="K66" s="30">
        <v>1</v>
      </c>
      <c r="L66" s="30">
        <v>1</v>
      </c>
      <c r="O66" s="30">
        <f t="shared" si="8"/>
        <v>24960</v>
      </c>
      <c r="P66" s="30" t="str">
        <f t="shared" si="9"/>
        <v>6180</v>
      </c>
      <c r="Q66" s="44"/>
    </row>
    <row r="67" spans="1:17" ht="9.75" customHeight="1" x14ac:dyDescent="0.3">
      <c r="A67" s="30">
        <v>9</v>
      </c>
      <c r="B67" s="44"/>
      <c r="C67" s="44"/>
      <c r="E67" s="30">
        <v>1</v>
      </c>
      <c r="F67" s="30">
        <v>1</v>
      </c>
      <c r="K67" s="30">
        <v>1</v>
      </c>
      <c r="L67" s="30">
        <v>1</v>
      </c>
      <c r="O67" s="30">
        <f t="shared" si="8"/>
        <v>24960</v>
      </c>
      <c r="P67" s="30" t="str">
        <f t="shared" si="9"/>
        <v>6180</v>
      </c>
      <c r="Q67" s="44"/>
    </row>
    <row r="68" spans="1:17" ht="9.75" customHeight="1" x14ac:dyDescent="0.3">
      <c r="A68" s="30">
        <v>10</v>
      </c>
      <c r="B68" s="44"/>
      <c r="C68" s="44"/>
      <c r="E68" s="30">
        <v>1</v>
      </c>
      <c r="F68" s="30">
        <v>1</v>
      </c>
      <c r="K68" s="30">
        <v>1</v>
      </c>
      <c r="L68" s="30">
        <v>1</v>
      </c>
      <c r="O68" s="30">
        <f t="shared" si="8"/>
        <v>24960</v>
      </c>
      <c r="P68" s="30" t="str">
        <f t="shared" si="9"/>
        <v>6180</v>
      </c>
      <c r="Q68" s="44"/>
    </row>
    <row r="69" spans="1:17" ht="9.75" customHeight="1" x14ac:dyDescent="0.3">
      <c r="A69" s="30">
        <v>11</v>
      </c>
      <c r="B69" s="44"/>
      <c r="C69" s="44"/>
      <c r="E69" s="30">
        <v>1</v>
      </c>
      <c r="F69" s="30">
        <v>1</v>
      </c>
      <c r="K69" s="30">
        <v>1</v>
      </c>
      <c r="L69" s="30">
        <v>1</v>
      </c>
      <c r="O69" s="30">
        <f t="shared" si="8"/>
        <v>24960</v>
      </c>
      <c r="P69" s="30" t="str">
        <f t="shared" si="9"/>
        <v>6180</v>
      </c>
      <c r="Q69" s="44"/>
    </row>
    <row r="70" spans="1:17" ht="9.75" customHeight="1" x14ac:dyDescent="0.3">
      <c r="A70" s="30">
        <v>12</v>
      </c>
      <c r="B70" s="44"/>
      <c r="C70" s="44"/>
      <c r="E70" s="30">
        <v>1</v>
      </c>
      <c r="F70" s="30">
        <v>1</v>
      </c>
      <c r="K70" s="30">
        <v>1</v>
      </c>
      <c r="L70" s="30">
        <v>1</v>
      </c>
      <c r="O70" s="30">
        <f t="shared" si="8"/>
        <v>24960</v>
      </c>
      <c r="P70" s="30" t="str">
        <f t="shared" si="9"/>
        <v>6180</v>
      </c>
      <c r="Q70" s="44"/>
    </row>
    <row r="71" spans="1:17" ht="9.75" customHeight="1" x14ac:dyDescent="0.3">
      <c r="A71" s="30">
        <v>13</v>
      </c>
      <c r="B71" s="44"/>
      <c r="C71" s="44"/>
      <c r="E71" s="30">
        <v>1</v>
      </c>
      <c r="F71" s="30">
        <v>1</v>
      </c>
      <c r="K71" s="30">
        <v>1</v>
      </c>
      <c r="L71" s="30">
        <v>1</v>
      </c>
      <c r="O71" s="30">
        <f t="shared" si="8"/>
        <v>24960</v>
      </c>
      <c r="P71" s="30" t="str">
        <f t="shared" si="9"/>
        <v>6180</v>
      </c>
      <c r="Q71" s="44"/>
    </row>
    <row r="72" spans="1:17" ht="9.75" customHeight="1" x14ac:dyDescent="0.3">
      <c r="A72" s="30">
        <v>14</v>
      </c>
      <c r="B72" s="44"/>
      <c r="C72" s="44"/>
      <c r="E72" s="30">
        <v>1</v>
      </c>
      <c r="F72" s="30">
        <v>1</v>
      </c>
      <c r="G72" s="30">
        <v>1</v>
      </c>
      <c r="H72" s="30">
        <v>1</v>
      </c>
      <c r="I72" s="30">
        <v>1</v>
      </c>
      <c r="J72" s="30">
        <v>1</v>
      </c>
      <c r="K72" s="30">
        <v>1</v>
      </c>
      <c r="L72" s="30">
        <v>1</v>
      </c>
      <c r="O72" s="30">
        <f t="shared" si="8"/>
        <v>32640</v>
      </c>
      <c r="P72" s="30" t="str">
        <f t="shared" si="9"/>
        <v>7F80</v>
      </c>
      <c r="Q72" s="44"/>
    </row>
    <row r="73" spans="1:17" ht="9.75" customHeight="1" x14ac:dyDescent="0.3">
      <c r="A73" s="30">
        <v>15</v>
      </c>
      <c r="B73" s="44"/>
      <c r="C73" s="44"/>
      <c r="F73" s="30">
        <v>1</v>
      </c>
      <c r="G73" s="30">
        <v>1</v>
      </c>
      <c r="H73" s="30">
        <v>1</v>
      </c>
      <c r="I73" s="30">
        <v>1</v>
      </c>
      <c r="J73" s="30">
        <v>1</v>
      </c>
      <c r="K73" s="30">
        <v>1</v>
      </c>
      <c r="O73" s="30">
        <f t="shared" si="8"/>
        <v>16128</v>
      </c>
      <c r="P73" s="30" t="str">
        <f t="shared" si="9"/>
        <v>3F00</v>
      </c>
    </row>
    <row r="74" spans="1:17" ht="9.75" customHeight="1" x14ac:dyDescent="0.3">
      <c r="A74" s="30">
        <v>16</v>
      </c>
      <c r="B74" s="44"/>
      <c r="C74" s="44"/>
      <c r="O74" s="30">
        <f t="shared" si="8"/>
        <v>0</v>
      </c>
      <c r="P74" s="30" t="str">
        <f t="shared" si="9"/>
        <v>0000</v>
      </c>
    </row>
    <row r="75" spans="1:17" ht="9.75" customHeight="1" x14ac:dyDescent="0.3">
      <c r="A75" s="30">
        <v>17</v>
      </c>
      <c r="B75" s="44"/>
      <c r="C75" s="44"/>
      <c r="O75" s="30">
        <f t="shared" si="8"/>
        <v>0</v>
      </c>
      <c r="P75" s="30" t="str">
        <f t="shared" si="9"/>
        <v>0000</v>
      </c>
    </row>
    <row r="76" spans="1:17" ht="9.75" customHeight="1" x14ac:dyDescent="0.3">
      <c r="A76" s="30">
        <v>18</v>
      </c>
      <c r="B76" s="44"/>
      <c r="C76" s="44"/>
      <c r="O76" s="30">
        <f t="shared" si="8"/>
        <v>0</v>
      </c>
      <c r="P76" s="30" t="str">
        <f t="shared" si="9"/>
        <v>0000</v>
      </c>
    </row>
    <row r="78" spans="1:17" ht="9.75" customHeight="1" x14ac:dyDescent="0.3">
      <c r="A78" s="30">
        <v>1</v>
      </c>
      <c r="B78" s="42"/>
      <c r="C78" s="43" t="s">
        <v>133</v>
      </c>
      <c r="O78" s="30">
        <f>D78*D$1+E78*E$1+F78*F$1+G78*G$1+H78*H$1+I78*I$1+J78*J$1+K78*K$1+L78*L$1+M78*M$1+N78*N$1</f>
        <v>0</v>
      </c>
      <c r="P78" s="30" t="str">
        <f>DEC2HEX(O78,4)</f>
        <v>0000</v>
      </c>
      <c r="Q78" s="44" t="str">
        <f>CONCATENATE("0x",P78,",0x",P79,",0x",P80,",0x",P81,",0x",P82,",0x",P83,",0x",P84,",0x",P85,",0x",P86,",0x",P87,",0x",P88,",0x",P89,",0x",P90,",0x",P91,",0x",P92,",0x",P93,",0x",P94,",0x",P95,", //",C78)</f>
        <v>0x0000,0x7F00,0x7F80,0x6180,0x6180,0x6180,0x6180,0x6180,0x7F80,0x7F00,0x6000,0x6000,0x6000,0x6000,0x6000,0x0000,0x0000,0x0000, //P</v>
      </c>
    </row>
    <row r="79" spans="1:17" ht="9.75" customHeight="1" x14ac:dyDescent="0.3">
      <c r="A79" s="30">
        <v>2</v>
      </c>
      <c r="B79" s="44"/>
      <c r="C79" s="44"/>
      <c r="E79" s="30">
        <v>1</v>
      </c>
      <c r="F79" s="30">
        <v>1</v>
      </c>
      <c r="G79" s="30">
        <v>1</v>
      </c>
      <c r="H79" s="30">
        <v>1</v>
      </c>
      <c r="I79" s="30">
        <v>1</v>
      </c>
      <c r="J79" s="30">
        <v>1</v>
      </c>
      <c r="K79" s="30">
        <v>1</v>
      </c>
      <c r="O79" s="30">
        <f t="shared" ref="O79:O95" si="10">D79*D$1+E79*E$1+F79*F$1+G79*G$1+H79*H$1+I79*I$1+J79*J$1+K79*K$1+L79*L$1+M79*M$1+N79*N$1</f>
        <v>32512</v>
      </c>
      <c r="P79" s="30" t="str">
        <f t="shared" ref="P79:P95" si="11">DEC2HEX(O79,4)</f>
        <v>7F00</v>
      </c>
      <c r="Q79" s="44"/>
    </row>
    <row r="80" spans="1:17" ht="9.75" customHeight="1" x14ac:dyDescent="0.3">
      <c r="A80" s="30">
        <v>3</v>
      </c>
      <c r="B80" s="44"/>
      <c r="C80" s="44"/>
      <c r="E80" s="30">
        <v>1</v>
      </c>
      <c r="F80" s="30">
        <v>1</v>
      </c>
      <c r="G80" s="30">
        <v>1</v>
      </c>
      <c r="H80" s="30">
        <v>1</v>
      </c>
      <c r="I80" s="30">
        <v>1</v>
      </c>
      <c r="J80" s="30">
        <v>1</v>
      </c>
      <c r="K80" s="30">
        <v>1</v>
      </c>
      <c r="L80" s="30">
        <v>1</v>
      </c>
      <c r="O80" s="30">
        <f t="shared" si="10"/>
        <v>32640</v>
      </c>
      <c r="P80" s="30" t="str">
        <f t="shared" si="11"/>
        <v>7F80</v>
      </c>
      <c r="Q80" s="44"/>
    </row>
    <row r="81" spans="1:17" ht="9.75" customHeight="1" x14ac:dyDescent="0.3">
      <c r="A81" s="30">
        <v>4</v>
      </c>
      <c r="B81" s="44"/>
      <c r="C81" s="44"/>
      <c r="E81" s="30">
        <v>1</v>
      </c>
      <c r="F81" s="30">
        <v>1</v>
      </c>
      <c r="K81" s="30">
        <v>1</v>
      </c>
      <c r="L81" s="30">
        <v>1</v>
      </c>
      <c r="O81" s="30">
        <f t="shared" si="10"/>
        <v>24960</v>
      </c>
      <c r="P81" s="30" t="str">
        <f t="shared" si="11"/>
        <v>6180</v>
      </c>
      <c r="Q81" s="44"/>
    </row>
    <row r="82" spans="1:17" ht="9.75" customHeight="1" x14ac:dyDescent="0.3">
      <c r="A82" s="30">
        <v>5</v>
      </c>
      <c r="B82" s="44"/>
      <c r="C82" s="44"/>
      <c r="E82" s="30">
        <v>1</v>
      </c>
      <c r="F82" s="30">
        <v>1</v>
      </c>
      <c r="K82" s="30">
        <v>1</v>
      </c>
      <c r="L82" s="30">
        <v>1</v>
      </c>
      <c r="O82" s="30">
        <f t="shared" si="10"/>
        <v>24960</v>
      </c>
      <c r="P82" s="30" t="str">
        <f t="shared" si="11"/>
        <v>6180</v>
      </c>
      <c r="Q82" s="44"/>
    </row>
    <row r="83" spans="1:17" ht="9.75" customHeight="1" x14ac:dyDescent="0.3">
      <c r="A83" s="30">
        <v>6</v>
      </c>
      <c r="B83" s="44"/>
      <c r="C83" s="44"/>
      <c r="E83" s="30">
        <v>1</v>
      </c>
      <c r="F83" s="30">
        <v>1</v>
      </c>
      <c r="K83" s="30">
        <v>1</v>
      </c>
      <c r="L83" s="30">
        <v>1</v>
      </c>
      <c r="O83" s="30">
        <f t="shared" si="10"/>
        <v>24960</v>
      </c>
      <c r="P83" s="30" t="str">
        <f t="shared" si="11"/>
        <v>6180</v>
      </c>
      <c r="Q83" s="44"/>
    </row>
    <row r="84" spans="1:17" ht="9.75" customHeight="1" x14ac:dyDescent="0.3">
      <c r="A84" s="30">
        <v>7</v>
      </c>
      <c r="B84" s="44"/>
      <c r="C84" s="44"/>
      <c r="E84" s="30">
        <v>1</v>
      </c>
      <c r="F84" s="30">
        <v>1</v>
      </c>
      <c r="K84" s="30">
        <v>1</v>
      </c>
      <c r="L84" s="30">
        <v>1</v>
      </c>
      <c r="O84" s="30">
        <f t="shared" si="10"/>
        <v>24960</v>
      </c>
      <c r="P84" s="30" t="str">
        <f t="shared" si="11"/>
        <v>6180</v>
      </c>
      <c r="Q84" s="44"/>
    </row>
    <row r="85" spans="1:17" ht="9.75" customHeight="1" x14ac:dyDescent="0.3">
      <c r="A85" s="30">
        <v>8</v>
      </c>
      <c r="B85" s="44"/>
      <c r="C85" s="44"/>
      <c r="E85" s="30">
        <v>1</v>
      </c>
      <c r="F85" s="30">
        <v>1</v>
      </c>
      <c r="K85" s="30">
        <v>1</v>
      </c>
      <c r="L85" s="30">
        <v>1</v>
      </c>
      <c r="O85" s="30">
        <f t="shared" si="10"/>
        <v>24960</v>
      </c>
      <c r="P85" s="30" t="str">
        <f t="shared" si="11"/>
        <v>6180</v>
      </c>
      <c r="Q85" s="44"/>
    </row>
    <row r="86" spans="1:17" ht="9.75" customHeight="1" x14ac:dyDescent="0.3">
      <c r="A86" s="30">
        <v>9</v>
      </c>
      <c r="B86" s="44"/>
      <c r="C86" s="44"/>
      <c r="E86" s="30">
        <v>1</v>
      </c>
      <c r="F86" s="30">
        <v>1</v>
      </c>
      <c r="G86" s="30">
        <v>1</v>
      </c>
      <c r="H86" s="30">
        <v>1</v>
      </c>
      <c r="I86" s="30">
        <v>1</v>
      </c>
      <c r="J86" s="30">
        <v>1</v>
      </c>
      <c r="K86" s="30">
        <v>1</v>
      </c>
      <c r="L86" s="30">
        <v>1</v>
      </c>
      <c r="O86" s="30">
        <f t="shared" si="10"/>
        <v>32640</v>
      </c>
      <c r="P86" s="30" t="str">
        <f t="shared" si="11"/>
        <v>7F80</v>
      </c>
      <c r="Q86" s="44"/>
    </row>
    <row r="87" spans="1:17" ht="9.75" customHeight="1" x14ac:dyDescent="0.3">
      <c r="A87" s="30">
        <v>10</v>
      </c>
      <c r="B87" s="44"/>
      <c r="C87" s="44"/>
      <c r="E87" s="30">
        <v>1</v>
      </c>
      <c r="F87" s="30">
        <v>1</v>
      </c>
      <c r="G87" s="30">
        <v>1</v>
      </c>
      <c r="H87" s="30">
        <v>1</v>
      </c>
      <c r="I87" s="30">
        <v>1</v>
      </c>
      <c r="J87" s="30">
        <v>1</v>
      </c>
      <c r="K87" s="30">
        <v>1</v>
      </c>
      <c r="O87" s="30">
        <f t="shared" si="10"/>
        <v>32512</v>
      </c>
      <c r="P87" s="30" t="str">
        <f t="shared" si="11"/>
        <v>7F00</v>
      </c>
      <c r="Q87" s="44"/>
    </row>
    <row r="88" spans="1:17" ht="9.75" customHeight="1" x14ac:dyDescent="0.3">
      <c r="A88" s="30">
        <v>11</v>
      </c>
      <c r="B88" s="44"/>
      <c r="C88" s="44"/>
      <c r="E88" s="30">
        <v>1</v>
      </c>
      <c r="F88" s="30">
        <v>1</v>
      </c>
      <c r="O88" s="30">
        <f t="shared" si="10"/>
        <v>24576</v>
      </c>
      <c r="P88" s="30" t="str">
        <f t="shared" si="11"/>
        <v>6000</v>
      </c>
      <c r="Q88" s="44"/>
    </row>
    <row r="89" spans="1:17" ht="9.75" customHeight="1" x14ac:dyDescent="0.3">
      <c r="A89" s="30">
        <v>12</v>
      </c>
      <c r="B89" s="44"/>
      <c r="C89" s="44"/>
      <c r="E89" s="30">
        <v>1</v>
      </c>
      <c r="F89" s="30">
        <v>1</v>
      </c>
      <c r="O89" s="30">
        <f t="shared" si="10"/>
        <v>24576</v>
      </c>
      <c r="P89" s="30" t="str">
        <f t="shared" si="11"/>
        <v>6000</v>
      </c>
      <c r="Q89" s="44"/>
    </row>
    <row r="90" spans="1:17" ht="9.75" customHeight="1" x14ac:dyDescent="0.3">
      <c r="A90" s="30">
        <v>13</v>
      </c>
      <c r="B90" s="44"/>
      <c r="C90" s="44"/>
      <c r="E90" s="30">
        <v>1</v>
      </c>
      <c r="F90" s="30">
        <v>1</v>
      </c>
      <c r="O90" s="30">
        <f t="shared" si="10"/>
        <v>24576</v>
      </c>
      <c r="P90" s="30" t="str">
        <f t="shared" si="11"/>
        <v>6000</v>
      </c>
      <c r="Q90" s="44"/>
    </row>
    <row r="91" spans="1:17" ht="9.75" customHeight="1" x14ac:dyDescent="0.3">
      <c r="A91" s="30">
        <v>14</v>
      </c>
      <c r="B91" s="44"/>
      <c r="C91" s="44"/>
      <c r="E91" s="30">
        <v>1</v>
      </c>
      <c r="F91" s="30">
        <v>1</v>
      </c>
      <c r="O91" s="30">
        <f t="shared" si="10"/>
        <v>24576</v>
      </c>
      <c r="P91" s="30" t="str">
        <f t="shared" si="11"/>
        <v>6000</v>
      </c>
      <c r="Q91" s="44"/>
    </row>
    <row r="92" spans="1:17" ht="9.75" customHeight="1" x14ac:dyDescent="0.3">
      <c r="A92" s="30">
        <v>15</v>
      </c>
      <c r="B92" s="44"/>
      <c r="C92" s="44"/>
      <c r="E92" s="30">
        <v>1</v>
      </c>
      <c r="F92" s="30">
        <v>1</v>
      </c>
      <c r="O92" s="30">
        <f t="shared" si="10"/>
        <v>24576</v>
      </c>
      <c r="P92" s="30" t="str">
        <f t="shared" si="11"/>
        <v>6000</v>
      </c>
    </row>
    <row r="93" spans="1:17" ht="9.75" customHeight="1" x14ac:dyDescent="0.3">
      <c r="A93" s="30">
        <v>16</v>
      </c>
      <c r="B93" s="44"/>
      <c r="C93" s="44"/>
      <c r="O93" s="30">
        <f t="shared" si="10"/>
        <v>0</v>
      </c>
      <c r="P93" s="30" t="str">
        <f t="shared" si="11"/>
        <v>0000</v>
      </c>
    </row>
    <row r="94" spans="1:17" ht="9.75" customHeight="1" x14ac:dyDescent="0.3">
      <c r="A94" s="30">
        <v>17</v>
      </c>
      <c r="B94" s="44"/>
      <c r="C94" s="44"/>
      <c r="O94" s="30">
        <f t="shared" si="10"/>
        <v>0</v>
      </c>
      <c r="P94" s="30" t="str">
        <f t="shared" si="11"/>
        <v>0000</v>
      </c>
    </row>
    <row r="95" spans="1:17" ht="9.75" customHeight="1" x14ac:dyDescent="0.3">
      <c r="A95" s="30">
        <v>18</v>
      </c>
      <c r="B95" s="44"/>
      <c r="C95" s="44"/>
      <c r="O95" s="30">
        <f t="shared" si="10"/>
        <v>0</v>
      </c>
      <c r="P95" s="30" t="str">
        <f t="shared" si="11"/>
        <v>0000</v>
      </c>
    </row>
    <row r="97" spans="1:17" ht="9.75" customHeight="1" x14ac:dyDescent="0.3">
      <c r="A97" s="30">
        <v>1</v>
      </c>
      <c r="B97" s="42"/>
      <c r="C97" s="43" t="s">
        <v>135</v>
      </c>
      <c r="O97" s="30">
        <f>D97*D$1+E97*E$1+F97*F$1+G97*G$1+H97*H$1+I97*I$1+J97*J$1+K97*K$1+L97*L$1+M97*M$1+N97*N$1</f>
        <v>0</v>
      </c>
      <c r="P97" s="30" t="str">
        <f>DEC2HEX(O97,4)</f>
        <v>0000</v>
      </c>
      <c r="Q97" s="44" t="str">
        <f>CONCATENATE("0x",P97,",0x",P98,",0x",P99,",0x",P100,",0x",P101,",0x",P102,",0x",P103,",0x",P104,",0x",P105,",0x",P106,",0x",P107,",0x",P108,",0x",P109,",0x",P110,",0x",P111,",0x",P112,",0x",P113,",0x",P114,", //",C97)</f>
        <v>0x0000,0x7F00,0x7F80,0x6180,0x6180,0x6180,0x6180,0x6180,0x7F80,0x7F00,0x6300,0x6380,0x6180,0x6180,0x6180,0x0000,0x0000,0x0000, //R</v>
      </c>
    </row>
    <row r="98" spans="1:17" ht="9.75" customHeight="1" x14ac:dyDescent="0.3">
      <c r="A98" s="30">
        <v>2</v>
      </c>
      <c r="B98" s="44"/>
      <c r="C98" s="44"/>
      <c r="E98" s="30">
        <v>1</v>
      </c>
      <c r="F98" s="30">
        <v>1</v>
      </c>
      <c r="G98" s="30">
        <v>1</v>
      </c>
      <c r="H98" s="30">
        <v>1</v>
      </c>
      <c r="I98" s="30">
        <v>1</v>
      </c>
      <c r="J98" s="30">
        <v>1</v>
      </c>
      <c r="K98" s="30">
        <v>1</v>
      </c>
      <c r="O98" s="30">
        <f t="shared" ref="O98:O114" si="12">D98*D$1+E98*E$1+F98*F$1+G98*G$1+H98*H$1+I98*I$1+J98*J$1+K98*K$1+L98*L$1+M98*M$1+N98*N$1</f>
        <v>32512</v>
      </c>
      <c r="P98" s="30" t="str">
        <f t="shared" ref="P98:P114" si="13">DEC2HEX(O98,4)</f>
        <v>7F00</v>
      </c>
      <c r="Q98" s="44"/>
    </row>
    <row r="99" spans="1:17" ht="9.75" customHeight="1" x14ac:dyDescent="0.3">
      <c r="A99" s="30">
        <v>3</v>
      </c>
      <c r="B99" s="44"/>
      <c r="C99" s="44"/>
      <c r="E99" s="30">
        <v>1</v>
      </c>
      <c r="F99" s="30">
        <v>1</v>
      </c>
      <c r="G99" s="30">
        <v>1</v>
      </c>
      <c r="H99" s="30">
        <v>1</v>
      </c>
      <c r="I99" s="30">
        <v>1</v>
      </c>
      <c r="J99" s="30">
        <v>1</v>
      </c>
      <c r="K99" s="30">
        <v>1</v>
      </c>
      <c r="L99" s="30">
        <v>1</v>
      </c>
      <c r="O99" s="30">
        <f t="shared" si="12"/>
        <v>32640</v>
      </c>
      <c r="P99" s="30" t="str">
        <f t="shared" si="13"/>
        <v>7F80</v>
      </c>
      <c r="Q99" s="44"/>
    </row>
    <row r="100" spans="1:17" ht="9.75" customHeight="1" x14ac:dyDescent="0.3">
      <c r="A100" s="30">
        <v>4</v>
      </c>
      <c r="B100" s="44"/>
      <c r="C100" s="44"/>
      <c r="E100" s="30">
        <v>1</v>
      </c>
      <c r="F100" s="30">
        <v>1</v>
      </c>
      <c r="K100" s="30">
        <v>1</v>
      </c>
      <c r="L100" s="30">
        <v>1</v>
      </c>
      <c r="O100" s="30">
        <f t="shared" si="12"/>
        <v>24960</v>
      </c>
      <c r="P100" s="30" t="str">
        <f t="shared" si="13"/>
        <v>6180</v>
      </c>
      <c r="Q100" s="44"/>
    </row>
    <row r="101" spans="1:17" ht="9.75" customHeight="1" x14ac:dyDescent="0.3">
      <c r="A101" s="30">
        <v>5</v>
      </c>
      <c r="B101" s="44"/>
      <c r="C101" s="44"/>
      <c r="E101" s="30">
        <v>1</v>
      </c>
      <c r="F101" s="30">
        <v>1</v>
      </c>
      <c r="K101" s="30">
        <v>1</v>
      </c>
      <c r="L101" s="30">
        <v>1</v>
      </c>
      <c r="O101" s="30">
        <f t="shared" si="12"/>
        <v>24960</v>
      </c>
      <c r="P101" s="30" t="str">
        <f t="shared" si="13"/>
        <v>6180</v>
      </c>
      <c r="Q101" s="44"/>
    </row>
    <row r="102" spans="1:17" ht="9.75" customHeight="1" x14ac:dyDescent="0.3">
      <c r="A102" s="30">
        <v>6</v>
      </c>
      <c r="B102" s="44"/>
      <c r="C102" s="44"/>
      <c r="E102" s="30">
        <v>1</v>
      </c>
      <c r="F102" s="30">
        <v>1</v>
      </c>
      <c r="K102" s="30">
        <v>1</v>
      </c>
      <c r="L102" s="30">
        <v>1</v>
      </c>
      <c r="O102" s="30">
        <f t="shared" si="12"/>
        <v>24960</v>
      </c>
      <c r="P102" s="30" t="str">
        <f t="shared" si="13"/>
        <v>6180</v>
      </c>
      <c r="Q102" s="44"/>
    </row>
    <row r="103" spans="1:17" ht="9.75" customHeight="1" x14ac:dyDescent="0.3">
      <c r="A103" s="30">
        <v>7</v>
      </c>
      <c r="B103" s="44"/>
      <c r="C103" s="44"/>
      <c r="E103" s="30">
        <v>1</v>
      </c>
      <c r="F103" s="30">
        <v>1</v>
      </c>
      <c r="K103" s="30">
        <v>1</v>
      </c>
      <c r="L103" s="30">
        <v>1</v>
      </c>
      <c r="O103" s="30">
        <f t="shared" si="12"/>
        <v>24960</v>
      </c>
      <c r="P103" s="30" t="str">
        <f t="shared" si="13"/>
        <v>6180</v>
      </c>
      <c r="Q103" s="44"/>
    </row>
    <row r="104" spans="1:17" ht="9.75" customHeight="1" x14ac:dyDescent="0.3">
      <c r="A104" s="30">
        <v>8</v>
      </c>
      <c r="B104" s="44"/>
      <c r="C104" s="44"/>
      <c r="E104" s="30">
        <v>1</v>
      </c>
      <c r="F104" s="30">
        <v>1</v>
      </c>
      <c r="K104" s="30">
        <v>1</v>
      </c>
      <c r="L104" s="30">
        <v>1</v>
      </c>
      <c r="O104" s="30">
        <f t="shared" si="12"/>
        <v>24960</v>
      </c>
      <c r="P104" s="30" t="str">
        <f t="shared" si="13"/>
        <v>6180</v>
      </c>
      <c r="Q104" s="44"/>
    </row>
    <row r="105" spans="1:17" ht="9.75" customHeight="1" x14ac:dyDescent="0.3">
      <c r="A105" s="30">
        <v>9</v>
      </c>
      <c r="B105" s="44"/>
      <c r="C105" s="44"/>
      <c r="E105" s="30">
        <v>1</v>
      </c>
      <c r="F105" s="30">
        <v>1</v>
      </c>
      <c r="G105" s="30">
        <v>1</v>
      </c>
      <c r="H105" s="30">
        <v>1</v>
      </c>
      <c r="I105" s="30">
        <v>1</v>
      </c>
      <c r="J105" s="30">
        <v>1</v>
      </c>
      <c r="K105" s="30">
        <v>1</v>
      </c>
      <c r="L105" s="30">
        <v>1</v>
      </c>
      <c r="O105" s="30">
        <f t="shared" si="12"/>
        <v>32640</v>
      </c>
      <c r="P105" s="30" t="str">
        <f t="shared" si="13"/>
        <v>7F80</v>
      </c>
      <c r="Q105" s="44"/>
    </row>
    <row r="106" spans="1:17" ht="9.75" customHeight="1" x14ac:dyDescent="0.3">
      <c r="A106" s="30">
        <v>10</v>
      </c>
      <c r="B106" s="44"/>
      <c r="C106" s="44"/>
      <c r="E106" s="30">
        <v>1</v>
      </c>
      <c r="F106" s="30">
        <v>1</v>
      </c>
      <c r="G106" s="30">
        <v>1</v>
      </c>
      <c r="H106" s="30">
        <v>1</v>
      </c>
      <c r="I106" s="30">
        <v>1</v>
      </c>
      <c r="J106" s="30">
        <v>1</v>
      </c>
      <c r="K106" s="30">
        <v>1</v>
      </c>
      <c r="O106" s="30">
        <f t="shared" si="12"/>
        <v>32512</v>
      </c>
      <c r="P106" s="30" t="str">
        <f t="shared" si="13"/>
        <v>7F00</v>
      </c>
      <c r="Q106" s="44"/>
    </row>
    <row r="107" spans="1:17" ht="9.75" customHeight="1" x14ac:dyDescent="0.3">
      <c r="A107" s="30">
        <v>11</v>
      </c>
      <c r="B107" s="44"/>
      <c r="C107" s="44"/>
      <c r="E107" s="30">
        <v>1</v>
      </c>
      <c r="F107" s="30">
        <v>1</v>
      </c>
      <c r="J107" s="30">
        <v>1</v>
      </c>
      <c r="K107" s="30">
        <v>1</v>
      </c>
      <c r="O107" s="30">
        <f t="shared" si="12"/>
        <v>25344</v>
      </c>
      <c r="P107" s="30" t="str">
        <f t="shared" si="13"/>
        <v>6300</v>
      </c>
      <c r="Q107" s="44"/>
    </row>
    <row r="108" spans="1:17" ht="9.75" customHeight="1" x14ac:dyDescent="0.3">
      <c r="A108" s="30">
        <v>12</v>
      </c>
      <c r="B108" s="44"/>
      <c r="C108" s="44"/>
      <c r="E108" s="30">
        <v>1</v>
      </c>
      <c r="F108" s="30">
        <v>1</v>
      </c>
      <c r="J108" s="30">
        <v>1</v>
      </c>
      <c r="K108" s="30">
        <v>1</v>
      </c>
      <c r="L108" s="30">
        <v>1</v>
      </c>
      <c r="O108" s="30">
        <f t="shared" si="12"/>
        <v>25472</v>
      </c>
      <c r="P108" s="30" t="str">
        <f t="shared" si="13"/>
        <v>6380</v>
      </c>
      <c r="Q108" s="44"/>
    </row>
    <row r="109" spans="1:17" ht="9.75" customHeight="1" x14ac:dyDescent="0.3">
      <c r="A109" s="30">
        <v>13</v>
      </c>
      <c r="B109" s="44"/>
      <c r="C109" s="44"/>
      <c r="E109" s="30">
        <v>1</v>
      </c>
      <c r="F109" s="30">
        <v>1</v>
      </c>
      <c r="K109" s="30">
        <v>1</v>
      </c>
      <c r="L109" s="30">
        <v>1</v>
      </c>
      <c r="O109" s="30">
        <f t="shared" si="12"/>
        <v>24960</v>
      </c>
      <c r="P109" s="30" t="str">
        <f t="shared" si="13"/>
        <v>6180</v>
      </c>
      <c r="Q109" s="44"/>
    </row>
    <row r="110" spans="1:17" ht="9.75" customHeight="1" x14ac:dyDescent="0.3">
      <c r="A110" s="30">
        <v>14</v>
      </c>
      <c r="B110" s="44"/>
      <c r="C110" s="44"/>
      <c r="E110" s="30">
        <v>1</v>
      </c>
      <c r="F110" s="30">
        <v>1</v>
      </c>
      <c r="K110" s="30">
        <v>1</v>
      </c>
      <c r="L110" s="30">
        <v>1</v>
      </c>
      <c r="O110" s="30">
        <f t="shared" si="12"/>
        <v>24960</v>
      </c>
      <c r="P110" s="30" t="str">
        <f t="shared" si="13"/>
        <v>6180</v>
      </c>
      <c r="Q110" s="44"/>
    </row>
    <row r="111" spans="1:17" ht="9.75" customHeight="1" x14ac:dyDescent="0.3">
      <c r="A111" s="30">
        <v>15</v>
      </c>
      <c r="B111" s="44"/>
      <c r="C111" s="44"/>
      <c r="E111" s="30">
        <v>1</v>
      </c>
      <c r="F111" s="30">
        <v>1</v>
      </c>
      <c r="K111" s="30">
        <v>1</v>
      </c>
      <c r="L111" s="30">
        <v>1</v>
      </c>
      <c r="O111" s="30">
        <f t="shared" si="12"/>
        <v>24960</v>
      </c>
      <c r="P111" s="30" t="str">
        <f t="shared" si="13"/>
        <v>6180</v>
      </c>
    </row>
    <row r="112" spans="1:17" ht="9.75" customHeight="1" x14ac:dyDescent="0.3">
      <c r="A112" s="30">
        <v>16</v>
      </c>
      <c r="B112" s="44"/>
      <c r="C112" s="44"/>
      <c r="O112" s="30">
        <f t="shared" si="12"/>
        <v>0</v>
      </c>
      <c r="P112" s="30" t="str">
        <f t="shared" si="13"/>
        <v>0000</v>
      </c>
    </row>
    <row r="113" spans="1:17" ht="9.75" customHeight="1" x14ac:dyDescent="0.3">
      <c r="A113" s="30">
        <v>17</v>
      </c>
      <c r="B113" s="44"/>
      <c r="C113" s="44"/>
      <c r="O113" s="30">
        <f t="shared" si="12"/>
        <v>0</v>
      </c>
      <c r="P113" s="30" t="str">
        <f t="shared" si="13"/>
        <v>0000</v>
      </c>
    </row>
    <row r="114" spans="1:17" ht="9.75" customHeight="1" x14ac:dyDescent="0.3">
      <c r="A114" s="30">
        <v>18</v>
      </c>
      <c r="B114" s="44"/>
      <c r="C114" s="44"/>
      <c r="O114" s="30">
        <f t="shared" si="12"/>
        <v>0</v>
      </c>
      <c r="P114" s="30" t="str">
        <f t="shared" si="13"/>
        <v>0000</v>
      </c>
    </row>
    <row r="116" spans="1:17" ht="9.75" customHeight="1" x14ac:dyDescent="0.3">
      <c r="A116" s="30">
        <v>1</v>
      </c>
      <c r="B116" s="42"/>
      <c r="C116" s="43" t="s">
        <v>136</v>
      </c>
      <c r="O116" s="30">
        <f>D116*D$1+E116*E$1+F116*F$1+G116*G$1+H116*H$1+I116*I$1+J116*J$1+K116*K$1+L116*L$1+M116*M$1+N116*N$1</f>
        <v>0</v>
      </c>
      <c r="P116" s="30" t="str">
        <f>DEC2HEX(O116,4)</f>
        <v>0000</v>
      </c>
      <c r="Q116" s="44" t="str">
        <f>CONCATENATE("0x",P116,",0x",P117,",0x",P118,",0x",P119,",0x",P120,",0x",P121,",0x",P122,",0x",P123,",0x",P124,",0x",P125,",0x",P126,",0x",P127,",0x",P128,",0x",P129,",0x",P130,",0x",P131,",0x",P132,",0x",P133,", //",C116)</f>
        <v>0x0000,0x3F00,0x7F80,0x6180,0x6180,0x6000,0x6000,0x7F00,0x3F80,0x0180,0x0180,0x6180,0x6180,0x7F80,0x3F00,0x0000,0x0000,0x0000, //S</v>
      </c>
    </row>
    <row r="117" spans="1:17" ht="9.75" customHeight="1" x14ac:dyDescent="0.3">
      <c r="A117" s="30">
        <v>2</v>
      </c>
      <c r="B117" s="44"/>
      <c r="C117" s="44"/>
      <c r="F117" s="30">
        <v>1</v>
      </c>
      <c r="G117" s="30">
        <v>1</v>
      </c>
      <c r="H117" s="30">
        <v>1</v>
      </c>
      <c r="I117" s="30">
        <v>1</v>
      </c>
      <c r="J117" s="30">
        <v>1</v>
      </c>
      <c r="K117" s="30">
        <v>1</v>
      </c>
      <c r="O117" s="30">
        <f t="shared" ref="O117:O133" si="14">D117*D$1+E117*E$1+F117*F$1+G117*G$1+H117*H$1+I117*I$1+J117*J$1+K117*K$1+L117*L$1+M117*M$1+N117*N$1</f>
        <v>16128</v>
      </c>
      <c r="P117" s="30" t="str">
        <f t="shared" ref="P117:P133" si="15">DEC2HEX(O117,4)</f>
        <v>3F00</v>
      </c>
      <c r="Q117" s="44"/>
    </row>
    <row r="118" spans="1:17" ht="9.75" customHeight="1" x14ac:dyDescent="0.3">
      <c r="A118" s="30">
        <v>3</v>
      </c>
      <c r="B118" s="44"/>
      <c r="C118" s="44"/>
      <c r="E118" s="30">
        <v>1</v>
      </c>
      <c r="F118" s="30">
        <v>1</v>
      </c>
      <c r="G118" s="30">
        <v>1</v>
      </c>
      <c r="H118" s="30">
        <v>1</v>
      </c>
      <c r="I118" s="30">
        <v>1</v>
      </c>
      <c r="J118" s="30">
        <v>1</v>
      </c>
      <c r="K118" s="30">
        <v>1</v>
      </c>
      <c r="L118" s="30">
        <v>1</v>
      </c>
      <c r="O118" s="30">
        <f t="shared" si="14"/>
        <v>32640</v>
      </c>
      <c r="P118" s="30" t="str">
        <f t="shared" si="15"/>
        <v>7F80</v>
      </c>
      <c r="Q118" s="44"/>
    </row>
    <row r="119" spans="1:17" ht="9.75" customHeight="1" x14ac:dyDescent="0.3">
      <c r="A119" s="30">
        <v>4</v>
      </c>
      <c r="B119" s="44"/>
      <c r="C119" s="44"/>
      <c r="E119" s="30">
        <v>1</v>
      </c>
      <c r="F119" s="30">
        <v>1</v>
      </c>
      <c r="K119" s="30">
        <v>1</v>
      </c>
      <c r="L119" s="30">
        <v>1</v>
      </c>
      <c r="O119" s="30">
        <f t="shared" si="14"/>
        <v>24960</v>
      </c>
      <c r="P119" s="30" t="str">
        <f t="shared" si="15"/>
        <v>6180</v>
      </c>
      <c r="Q119" s="44"/>
    </row>
    <row r="120" spans="1:17" ht="9.75" customHeight="1" x14ac:dyDescent="0.3">
      <c r="A120" s="30">
        <v>5</v>
      </c>
      <c r="B120" s="44"/>
      <c r="C120" s="44"/>
      <c r="E120" s="30">
        <v>1</v>
      </c>
      <c r="F120" s="30">
        <v>1</v>
      </c>
      <c r="K120" s="30">
        <v>1</v>
      </c>
      <c r="L120" s="30">
        <v>1</v>
      </c>
      <c r="O120" s="30">
        <f t="shared" si="14"/>
        <v>24960</v>
      </c>
      <c r="P120" s="30" t="str">
        <f t="shared" si="15"/>
        <v>6180</v>
      </c>
      <c r="Q120" s="44"/>
    </row>
    <row r="121" spans="1:17" ht="9.75" customHeight="1" x14ac:dyDescent="0.3">
      <c r="A121" s="30">
        <v>6</v>
      </c>
      <c r="B121" s="44"/>
      <c r="C121" s="44"/>
      <c r="E121" s="30">
        <v>1</v>
      </c>
      <c r="F121" s="30">
        <v>1</v>
      </c>
      <c r="O121" s="30">
        <f t="shared" si="14"/>
        <v>24576</v>
      </c>
      <c r="P121" s="30" t="str">
        <f t="shared" si="15"/>
        <v>6000</v>
      </c>
      <c r="Q121" s="44"/>
    </row>
    <row r="122" spans="1:17" ht="9.75" customHeight="1" x14ac:dyDescent="0.3">
      <c r="A122" s="30">
        <v>7</v>
      </c>
      <c r="B122" s="44"/>
      <c r="C122" s="44"/>
      <c r="E122" s="30">
        <v>1</v>
      </c>
      <c r="F122" s="30">
        <v>1</v>
      </c>
      <c r="O122" s="30">
        <f t="shared" si="14"/>
        <v>24576</v>
      </c>
      <c r="P122" s="30" t="str">
        <f t="shared" si="15"/>
        <v>6000</v>
      </c>
      <c r="Q122" s="44"/>
    </row>
    <row r="123" spans="1:17" ht="9.75" customHeight="1" x14ac:dyDescent="0.3">
      <c r="A123" s="30">
        <v>8</v>
      </c>
      <c r="B123" s="44"/>
      <c r="C123" s="44"/>
      <c r="E123" s="30">
        <v>1</v>
      </c>
      <c r="F123" s="30">
        <v>1</v>
      </c>
      <c r="G123" s="30">
        <v>1</v>
      </c>
      <c r="H123" s="30">
        <v>1</v>
      </c>
      <c r="I123" s="30">
        <v>1</v>
      </c>
      <c r="J123" s="30">
        <v>1</v>
      </c>
      <c r="K123" s="30">
        <v>1</v>
      </c>
      <c r="O123" s="30">
        <f t="shared" si="14"/>
        <v>32512</v>
      </c>
      <c r="P123" s="30" t="str">
        <f t="shared" si="15"/>
        <v>7F00</v>
      </c>
      <c r="Q123" s="44"/>
    </row>
    <row r="124" spans="1:17" ht="9.75" customHeight="1" x14ac:dyDescent="0.3">
      <c r="A124" s="30">
        <v>9</v>
      </c>
      <c r="B124" s="44"/>
      <c r="C124" s="44"/>
      <c r="F124" s="30">
        <v>1</v>
      </c>
      <c r="G124" s="30">
        <v>1</v>
      </c>
      <c r="H124" s="30">
        <v>1</v>
      </c>
      <c r="I124" s="30">
        <v>1</v>
      </c>
      <c r="J124" s="30">
        <v>1</v>
      </c>
      <c r="K124" s="30">
        <v>1</v>
      </c>
      <c r="L124" s="30">
        <v>1</v>
      </c>
      <c r="O124" s="30">
        <f t="shared" si="14"/>
        <v>16256</v>
      </c>
      <c r="P124" s="30" t="str">
        <f t="shared" si="15"/>
        <v>3F80</v>
      </c>
      <c r="Q124" s="44"/>
    </row>
    <row r="125" spans="1:17" ht="9.75" customHeight="1" x14ac:dyDescent="0.3">
      <c r="A125" s="30">
        <v>10</v>
      </c>
      <c r="B125" s="44"/>
      <c r="C125" s="44"/>
      <c r="K125" s="30">
        <v>1</v>
      </c>
      <c r="L125" s="30">
        <v>1</v>
      </c>
      <c r="O125" s="30">
        <f t="shared" si="14"/>
        <v>384</v>
      </c>
      <c r="P125" s="30" t="str">
        <f t="shared" si="15"/>
        <v>0180</v>
      </c>
      <c r="Q125" s="44"/>
    </row>
    <row r="126" spans="1:17" ht="9.75" customHeight="1" x14ac:dyDescent="0.3">
      <c r="A126" s="30">
        <v>11</v>
      </c>
      <c r="B126" s="44"/>
      <c r="C126" s="44"/>
      <c r="K126" s="30">
        <v>1</v>
      </c>
      <c r="L126" s="30">
        <v>1</v>
      </c>
      <c r="O126" s="30">
        <f t="shared" si="14"/>
        <v>384</v>
      </c>
      <c r="P126" s="30" t="str">
        <f t="shared" si="15"/>
        <v>0180</v>
      </c>
      <c r="Q126" s="44"/>
    </row>
    <row r="127" spans="1:17" ht="9.75" customHeight="1" x14ac:dyDescent="0.3">
      <c r="A127" s="30">
        <v>12</v>
      </c>
      <c r="B127" s="44"/>
      <c r="C127" s="44"/>
      <c r="E127" s="30">
        <v>1</v>
      </c>
      <c r="F127" s="30">
        <v>1</v>
      </c>
      <c r="K127" s="30">
        <v>1</v>
      </c>
      <c r="L127" s="30">
        <v>1</v>
      </c>
      <c r="O127" s="30">
        <f t="shared" si="14"/>
        <v>24960</v>
      </c>
      <c r="P127" s="30" t="str">
        <f t="shared" si="15"/>
        <v>6180</v>
      </c>
      <c r="Q127" s="44"/>
    </row>
    <row r="128" spans="1:17" ht="9.75" customHeight="1" x14ac:dyDescent="0.3">
      <c r="A128" s="30">
        <v>13</v>
      </c>
      <c r="B128" s="44"/>
      <c r="C128" s="44"/>
      <c r="E128" s="30">
        <v>1</v>
      </c>
      <c r="F128" s="30">
        <v>1</v>
      </c>
      <c r="K128" s="30">
        <v>1</v>
      </c>
      <c r="L128" s="30">
        <v>1</v>
      </c>
      <c r="O128" s="30">
        <f t="shared" si="14"/>
        <v>24960</v>
      </c>
      <c r="P128" s="30" t="str">
        <f t="shared" si="15"/>
        <v>6180</v>
      </c>
      <c r="Q128" s="44"/>
    </row>
    <row r="129" spans="1:17" ht="9.75" customHeight="1" x14ac:dyDescent="0.3">
      <c r="A129" s="30">
        <v>14</v>
      </c>
      <c r="B129" s="44"/>
      <c r="C129" s="44"/>
      <c r="E129" s="30">
        <v>1</v>
      </c>
      <c r="F129" s="30">
        <v>1</v>
      </c>
      <c r="G129" s="30">
        <v>1</v>
      </c>
      <c r="H129" s="30">
        <v>1</v>
      </c>
      <c r="I129" s="30">
        <v>1</v>
      </c>
      <c r="J129" s="30">
        <v>1</v>
      </c>
      <c r="K129" s="30">
        <v>1</v>
      </c>
      <c r="L129" s="30">
        <v>1</v>
      </c>
      <c r="O129" s="30">
        <f t="shared" si="14"/>
        <v>32640</v>
      </c>
      <c r="P129" s="30" t="str">
        <f t="shared" si="15"/>
        <v>7F80</v>
      </c>
      <c r="Q129" s="44"/>
    </row>
    <row r="130" spans="1:17" ht="9.75" customHeight="1" x14ac:dyDescent="0.3">
      <c r="A130" s="30">
        <v>15</v>
      </c>
      <c r="B130" s="44"/>
      <c r="C130" s="44"/>
      <c r="F130" s="30">
        <v>1</v>
      </c>
      <c r="G130" s="30">
        <v>1</v>
      </c>
      <c r="H130" s="30">
        <v>1</v>
      </c>
      <c r="I130" s="30">
        <v>1</v>
      </c>
      <c r="J130" s="30">
        <v>1</v>
      </c>
      <c r="K130" s="30">
        <v>1</v>
      </c>
      <c r="O130" s="30">
        <f t="shared" si="14"/>
        <v>16128</v>
      </c>
      <c r="P130" s="30" t="str">
        <f t="shared" si="15"/>
        <v>3F00</v>
      </c>
    </row>
    <row r="131" spans="1:17" ht="9.75" customHeight="1" x14ac:dyDescent="0.3">
      <c r="A131" s="30">
        <v>16</v>
      </c>
      <c r="B131" s="44"/>
      <c r="C131" s="44"/>
      <c r="O131" s="30">
        <f t="shared" si="14"/>
        <v>0</v>
      </c>
      <c r="P131" s="30" t="str">
        <f t="shared" si="15"/>
        <v>0000</v>
      </c>
    </row>
    <row r="132" spans="1:17" ht="9.75" customHeight="1" x14ac:dyDescent="0.3">
      <c r="A132" s="30">
        <v>17</v>
      </c>
      <c r="B132" s="44"/>
      <c r="C132" s="44"/>
      <c r="O132" s="30">
        <f t="shared" si="14"/>
        <v>0</v>
      </c>
      <c r="P132" s="30" t="str">
        <f t="shared" si="15"/>
        <v>0000</v>
      </c>
    </row>
    <row r="133" spans="1:17" ht="9.75" customHeight="1" x14ac:dyDescent="0.3">
      <c r="A133" s="30">
        <v>18</v>
      </c>
      <c r="B133" s="44"/>
      <c r="C133" s="44"/>
      <c r="O133" s="30">
        <f t="shared" si="14"/>
        <v>0</v>
      </c>
      <c r="P133" s="30" t="str">
        <f t="shared" si="15"/>
        <v>0000</v>
      </c>
    </row>
    <row r="135" spans="1:17" ht="9.75" customHeight="1" x14ac:dyDescent="0.3">
      <c r="A135" s="30">
        <v>1</v>
      </c>
      <c r="B135" s="42"/>
      <c r="C135" s="43" t="s">
        <v>137</v>
      </c>
      <c r="O135" s="30">
        <f>D135*D$1+E135*E$1+F135*F$1+G135*G$1+H135*H$1+I135*I$1+J135*J$1+K135*K$1+L135*L$1+M135*M$1+N135*N$1</f>
        <v>0</v>
      </c>
      <c r="P135" s="30" t="str">
        <f>DEC2HEX(O135,4)</f>
        <v>0000</v>
      </c>
      <c r="Q135" s="44" t="str">
        <f>CONCATENATE("0x",P135,",0x",P136,",0x",P137,",0x",P138,",0x",P139,",0x",P140,",0x",P141,",0x",P142,",0x",P143,",0x",P144,",0x",P145,",0x",P146,",0x",P147,",0x",P148,",0x",P149,",0x",P150,",0x",P151,",0x",P152,", //",C135)</f>
        <v>0x0000,0x7F80,0x7F80,0x0C00,0x0C00,0x0C00,0x0C00,0x0C00,0x0C00,0x0C00,0x0C00,0x0C00,0x0C00,0x0C00,0x0C00,0x0000,0x0000,0x0000, //T</v>
      </c>
    </row>
    <row r="136" spans="1:17" ht="9.75" customHeight="1" x14ac:dyDescent="0.3">
      <c r="A136" s="30">
        <v>2</v>
      </c>
      <c r="B136" s="44"/>
      <c r="C136" s="44"/>
      <c r="E136" s="30">
        <v>1</v>
      </c>
      <c r="F136" s="30">
        <v>1</v>
      </c>
      <c r="G136" s="30">
        <v>1</v>
      </c>
      <c r="H136" s="30">
        <v>1</v>
      </c>
      <c r="I136" s="30">
        <v>1</v>
      </c>
      <c r="J136" s="30">
        <v>1</v>
      </c>
      <c r="K136" s="30">
        <v>1</v>
      </c>
      <c r="L136" s="30">
        <v>1</v>
      </c>
      <c r="O136" s="30">
        <f t="shared" ref="O136:O152" si="16">D136*D$1+E136*E$1+F136*F$1+G136*G$1+H136*H$1+I136*I$1+J136*J$1+K136*K$1+L136*L$1+M136*M$1+N136*N$1</f>
        <v>32640</v>
      </c>
      <c r="P136" s="30" t="str">
        <f t="shared" ref="P136:P152" si="17">DEC2HEX(O136,4)</f>
        <v>7F80</v>
      </c>
      <c r="Q136" s="44"/>
    </row>
    <row r="137" spans="1:17" ht="9.75" customHeight="1" x14ac:dyDescent="0.3">
      <c r="A137" s="30">
        <v>3</v>
      </c>
      <c r="B137" s="44"/>
      <c r="C137" s="44"/>
      <c r="E137" s="30">
        <v>1</v>
      </c>
      <c r="F137" s="30">
        <v>1</v>
      </c>
      <c r="G137" s="30">
        <v>1</v>
      </c>
      <c r="H137" s="30">
        <v>1</v>
      </c>
      <c r="I137" s="30">
        <v>1</v>
      </c>
      <c r="J137" s="30">
        <v>1</v>
      </c>
      <c r="K137" s="30">
        <v>1</v>
      </c>
      <c r="L137" s="30">
        <v>1</v>
      </c>
      <c r="O137" s="30">
        <f t="shared" si="16"/>
        <v>32640</v>
      </c>
      <c r="P137" s="30" t="str">
        <f t="shared" si="17"/>
        <v>7F80</v>
      </c>
      <c r="Q137" s="44"/>
    </row>
    <row r="138" spans="1:17" ht="9.75" customHeight="1" x14ac:dyDescent="0.3">
      <c r="A138" s="30">
        <v>4</v>
      </c>
      <c r="B138" s="44"/>
      <c r="C138" s="44"/>
      <c r="H138" s="30">
        <v>1</v>
      </c>
      <c r="I138" s="30">
        <v>1</v>
      </c>
      <c r="O138" s="30">
        <f t="shared" si="16"/>
        <v>3072</v>
      </c>
      <c r="P138" s="30" t="str">
        <f t="shared" si="17"/>
        <v>0C00</v>
      </c>
      <c r="Q138" s="44"/>
    </row>
    <row r="139" spans="1:17" ht="9.75" customHeight="1" x14ac:dyDescent="0.3">
      <c r="A139" s="30">
        <v>5</v>
      </c>
      <c r="B139" s="44"/>
      <c r="C139" s="44"/>
      <c r="H139" s="30">
        <v>1</v>
      </c>
      <c r="I139" s="30">
        <v>1</v>
      </c>
      <c r="O139" s="30">
        <f t="shared" si="16"/>
        <v>3072</v>
      </c>
      <c r="P139" s="30" t="str">
        <f t="shared" si="17"/>
        <v>0C00</v>
      </c>
      <c r="Q139" s="44"/>
    </row>
    <row r="140" spans="1:17" ht="9.75" customHeight="1" x14ac:dyDescent="0.3">
      <c r="A140" s="30">
        <v>6</v>
      </c>
      <c r="B140" s="44"/>
      <c r="C140" s="44"/>
      <c r="H140" s="30">
        <v>1</v>
      </c>
      <c r="I140" s="30">
        <v>1</v>
      </c>
      <c r="O140" s="30">
        <f t="shared" si="16"/>
        <v>3072</v>
      </c>
      <c r="P140" s="30" t="str">
        <f t="shared" si="17"/>
        <v>0C00</v>
      </c>
      <c r="Q140" s="44"/>
    </row>
    <row r="141" spans="1:17" ht="9.75" customHeight="1" x14ac:dyDescent="0.3">
      <c r="A141" s="30">
        <v>7</v>
      </c>
      <c r="B141" s="44"/>
      <c r="C141" s="44"/>
      <c r="H141" s="30">
        <v>1</v>
      </c>
      <c r="I141" s="30">
        <v>1</v>
      </c>
      <c r="O141" s="30">
        <f t="shared" si="16"/>
        <v>3072</v>
      </c>
      <c r="P141" s="30" t="str">
        <f t="shared" si="17"/>
        <v>0C00</v>
      </c>
      <c r="Q141" s="44"/>
    </row>
    <row r="142" spans="1:17" ht="9.75" customHeight="1" x14ac:dyDescent="0.3">
      <c r="A142" s="30">
        <v>8</v>
      </c>
      <c r="B142" s="44"/>
      <c r="C142" s="44"/>
      <c r="H142" s="30">
        <v>1</v>
      </c>
      <c r="I142" s="30">
        <v>1</v>
      </c>
      <c r="O142" s="30">
        <f t="shared" si="16"/>
        <v>3072</v>
      </c>
      <c r="P142" s="30" t="str">
        <f t="shared" si="17"/>
        <v>0C00</v>
      </c>
      <c r="Q142" s="44"/>
    </row>
    <row r="143" spans="1:17" ht="9.75" customHeight="1" x14ac:dyDescent="0.3">
      <c r="A143" s="30">
        <v>9</v>
      </c>
      <c r="B143" s="44"/>
      <c r="C143" s="44"/>
      <c r="H143" s="30">
        <v>1</v>
      </c>
      <c r="I143" s="30">
        <v>1</v>
      </c>
      <c r="O143" s="30">
        <f t="shared" si="16"/>
        <v>3072</v>
      </c>
      <c r="P143" s="30" t="str">
        <f t="shared" si="17"/>
        <v>0C00</v>
      </c>
      <c r="Q143" s="44"/>
    </row>
    <row r="144" spans="1:17" ht="9.75" customHeight="1" x14ac:dyDescent="0.3">
      <c r="A144" s="30">
        <v>10</v>
      </c>
      <c r="B144" s="44"/>
      <c r="C144" s="44"/>
      <c r="H144" s="30">
        <v>1</v>
      </c>
      <c r="I144" s="30">
        <v>1</v>
      </c>
      <c r="O144" s="30">
        <f t="shared" si="16"/>
        <v>3072</v>
      </c>
      <c r="P144" s="30" t="str">
        <f t="shared" si="17"/>
        <v>0C00</v>
      </c>
      <c r="Q144" s="44"/>
    </row>
    <row r="145" spans="1:17" ht="9.75" customHeight="1" x14ac:dyDescent="0.3">
      <c r="A145" s="30">
        <v>11</v>
      </c>
      <c r="B145" s="44"/>
      <c r="C145" s="44"/>
      <c r="H145" s="30">
        <v>1</v>
      </c>
      <c r="I145" s="30">
        <v>1</v>
      </c>
      <c r="O145" s="30">
        <f t="shared" si="16"/>
        <v>3072</v>
      </c>
      <c r="P145" s="30" t="str">
        <f t="shared" si="17"/>
        <v>0C00</v>
      </c>
      <c r="Q145" s="44"/>
    </row>
    <row r="146" spans="1:17" ht="9.75" customHeight="1" x14ac:dyDescent="0.3">
      <c r="A146" s="30">
        <v>12</v>
      </c>
      <c r="B146" s="44"/>
      <c r="C146" s="44"/>
      <c r="H146" s="30">
        <v>1</v>
      </c>
      <c r="I146" s="30">
        <v>1</v>
      </c>
      <c r="O146" s="30">
        <f t="shared" si="16"/>
        <v>3072</v>
      </c>
      <c r="P146" s="30" t="str">
        <f t="shared" si="17"/>
        <v>0C00</v>
      </c>
      <c r="Q146" s="44"/>
    </row>
    <row r="147" spans="1:17" ht="9.75" customHeight="1" x14ac:dyDescent="0.3">
      <c r="A147" s="30">
        <v>13</v>
      </c>
      <c r="B147" s="44"/>
      <c r="C147" s="44"/>
      <c r="H147" s="30">
        <v>1</v>
      </c>
      <c r="I147" s="30">
        <v>1</v>
      </c>
      <c r="O147" s="30">
        <f t="shared" si="16"/>
        <v>3072</v>
      </c>
      <c r="P147" s="30" t="str">
        <f t="shared" si="17"/>
        <v>0C00</v>
      </c>
      <c r="Q147" s="44"/>
    </row>
    <row r="148" spans="1:17" ht="9.75" customHeight="1" x14ac:dyDescent="0.3">
      <c r="A148" s="30">
        <v>14</v>
      </c>
      <c r="B148" s="44"/>
      <c r="C148" s="44"/>
      <c r="H148" s="30">
        <v>1</v>
      </c>
      <c r="I148" s="30">
        <v>1</v>
      </c>
      <c r="O148" s="30">
        <f t="shared" si="16"/>
        <v>3072</v>
      </c>
      <c r="P148" s="30" t="str">
        <f t="shared" si="17"/>
        <v>0C00</v>
      </c>
      <c r="Q148" s="44"/>
    </row>
    <row r="149" spans="1:17" ht="9.75" customHeight="1" x14ac:dyDescent="0.3">
      <c r="A149" s="30">
        <v>15</v>
      </c>
      <c r="B149" s="44"/>
      <c r="C149" s="44"/>
      <c r="H149" s="30">
        <v>1</v>
      </c>
      <c r="I149" s="30">
        <v>1</v>
      </c>
      <c r="O149" s="30">
        <f t="shared" si="16"/>
        <v>3072</v>
      </c>
      <c r="P149" s="30" t="str">
        <f t="shared" si="17"/>
        <v>0C00</v>
      </c>
    </row>
    <row r="150" spans="1:17" ht="9.75" customHeight="1" x14ac:dyDescent="0.3">
      <c r="A150" s="30">
        <v>16</v>
      </c>
      <c r="B150" s="44"/>
      <c r="C150" s="44"/>
      <c r="O150" s="30">
        <f t="shared" si="16"/>
        <v>0</v>
      </c>
      <c r="P150" s="30" t="str">
        <f t="shared" si="17"/>
        <v>0000</v>
      </c>
    </row>
    <row r="151" spans="1:17" ht="9.75" customHeight="1" x14ac:dyDescent="0.3">
      <c r="A151" s="30">
        <v>17</v>
      </c>
      <c r="B151" s="44"/>
      <c r="C151" s="44"/>
      <c r="O151" s="30">
        <f t="shared" si="16"/>
        <v>0</v>
      </c>
      <c r="P151" s="30" t="str">
        <f t="shared" si="17"/>
        <v>0000</v>
      </c>
    </row>
    <row r="152" spans="1:17" ht="9.75" customHeight="1" x14ac:dyDescent="0.3">
      <c r="A152" s="30">
        <v>18</v>
      </c>
      <c r="B152" s="44"/>
      <c r="C152" s="44"/>
      <c r="O152" s="30">
        <f t="shared" si="16"/>
        <v>0</v>
      </c>
      <c r="P152" s="30" t="str">
        <f t="shared" si="17"/>
        <v>0000</v>
      </c>
    </row>
  </sheetData>
  <mergeCells count="32">
    <mergeCell ref="Q135:Q141"/>
    <mergeCell ref="Q142:Q148"/>
    <mergeCell ref="Q21:Q27"/>
    <mergeCell ref="Q28:Q34"/>
    <mergeCell ref="B78:B95"/>
    <mergeCell ref="C78:C95"/>
    <mergeCell ref="Q78:Q84"/>
    <mergeCell ref="Q85:Q91"/>
    <mergeCell ref="B59:B76"/>
    <mergeCell ref="C59:C76"/>
    <mergeCell ref="Q59:Q65"/>
    <mergeCell ref="Q66:Q72"/>
    <mergeCell ref="Q40:Q46"/>
    <mergeCell ref="Q47:Q53"/>
    <mergeCell ref="B116:B133"/>
    <mergeCell ref="C116:C133"/>
    <mergeCell ref="B2:B19"/>
    <mergeCell ref="C2:C19"/>
    <mergeCell ref="Q9:Q15"/>
    <mergeCell ref="Q2:Q8"/>
    <mergeCell ref="B135:B152"/>
    <mergeCell ref="C135:C152"/>
    <mergeCell ref="B40:B57"/>
    <mergeCell ref="C40:C57"/>
    <mergeCell ref="B21:B38"/>
    <mergeCell ref="C21:C38"/>
    <mergeCell ref="Q116:Q122"/>
    <mergeCell ref="Q123:Q129"/>
    <mergeCell ref="B97:B114"/>
    <mergeCell ref="C97:C114"/>
    <mergeCell ref="Q97:Q103"/>
    <mergeCell ref="Q104:Q110"/>
  </mergeCells>
  <conditionalFormatting sqref="D17:H17">
    <cfRule type="expression" dxfId="202" priority="206">
      <formula>D17=1</formula>
    </cfRule>
  </conditionalFormatting>
  <conditionalFormatting sqref="D9:H16">
    <cfRule type="expression" dxfId="201" priority="199">
      <formula>D9=1</formula>
    </cfRule>
  </conditionalFormatting>
  <conditionalFormatting sqref="I17:J17 N17">
    <cfRule type="expression" dxfId="200" priority="118">
      <formula>I17=1</formula>
    </cfRule>
  </conditionalFormatting>
  <conditionalFormatting sqref="I9:J16 N9:N16">
    <cfRule type="expression" dxfId="199" priority="117">
      <formula>I9=1</formula>
    </cfRule>
  </conditionalFormatting>
  <conditionalFormatting sqref="D2:H8">
    <cfRule type="expression" dxfId="198" priority="116">
      <formula>D2=1</formula>
    </cfRule>
  </conditionalFormatting>
  <conditionalFormatting sqref="I2:J8 N2:N8">
    <cfRule type="expression" dxfId="197" priority="115">
      <formula>I2=1</formula>
    </cfRule>
  </conditionalFormatting>
  <conditionalFormatting sqref="M17">
    <cfRule type="expression" dxfId="196" priority="114">
      <formula>M17=1</formula>
    </cfRule>
  </conditionalFormatting>
  <conditionalFormatting sqref="M9:M16">
    <cfRule type="expression" dxfId="195" priority="113">
      <formula>M9=1</formula>
    </cfRule>
  </conditionalFormatting>
  <conditionalFormatting sqref="M2:M8">
    <cfRule type="expression" dxfId="194" priority="112">
      <formula>M2=1</formula>
    </cfRule>
  </conditionalFormatting>
  <conditionalFormatting sqref="L17">
    <cfRule type="expression" dxfId="193" priority="111">
      <formula>L17=1</formula>
    </cfRule>
  </conditionalFormatting>
  <conditionalFormatting sqref="L9:L16">
    <cfRule type="expression" dxfId="192" priority="110">
      <formula>L9=1</formula>
    </cfRule>
  </conditionalFormatting>
  <conditionalFormatting sqref="L2:L8">
    <cfRule type="expression" dxfId="191" priority="109">
      <formula>L2=1</formula>
    </cfRule>
  </conditionalFormatting>
  <conditionalFormatting sqref="K17">
    <cfRule type="expression" dxfId="190" priority="108">
      <formula>K17=1</formula>
    </cfRule>
  </conditionalFormatting>
  <conditionalFormatting sqref="K9:K16">
    <cfRule type="expression" dxfId="189" priority="107">
      <formula>K9=1</formula>
    </cfRule>
  </conditionalFormatting>
  <conditionalFormatting sqref="K2:K8">
    <cfRule type="expression" dxfId="188" priority="106">
      <formula>K2=1</formula>
    </cfRule>
  </conditionalFormatting>
  <conditionalFormatting sqref="D55:H55">
    <cfRule type="expression" dxfId="187" priority="105">
      <formula>D55=1</formula>
    </cfRule>
  </conditionalFormatting>
  <conditionalFormatting sqref="D47:H54">
    <cfRule type="expression" dxfId="186" priority="104">
      <formula>D47=1</formula>
    </cfRule>
  </conditionalFormatting>
  <conditionalFormatting sqref="I55:J55 N55">
    <cfRule type="expression" dxfId="185" priority="103">
      <formula>I55=1</formula>
    </cfRule>
  </conditionalFormatting>
  <conditionalFormatting sqref="I47:J54 N47:N54">
    <cfRule type="expression" dxfId="184" priority="102">
      <formula>I47=1</formula>
    </cfRule>
  </conditionalFormatting>
  <conditionalFormatting sqref="D40:H46">
    <cfRule type="expression" dxfId="183" priority="101">
      <formula>D40=1</formula>
    </cfRule>
  </conditionalFormatting>
  <conditionalFormatting sqref="I40:J46 N40:N46">
    <cfRule type="expression" dxfId="182" priority="100">
      <formula>I40=1</formula>
    </cfRule>
  </conditionalFormatting>
  <conditionalFormatting sqref="M55">
    <cfRule type="expression" dxfId="181" priority="99">
      <formula>M55=1</formula>
    </cfRule>
  </conditionalFormatting>
  <conditionalFormatting sqref="M47:M54">
    <cfRule type="expression" dxfId="180" priority="98">
      <formula>M47=1</formula>
    </cfRule>
  </conditionalFormatting>
  <conditionalFormatting sqref="M40:M46">
    <cfRule type="expression" dxfId="179" priority="97">
      <formula>M40=1</formula>
    </cfRule>
  </conditionalFormatting>
  <conditionalFormatting sqref="L55">
    <cfRule type="expression" dxfId="178" priority="96">
      <formula>L55=1</formula>
    </cfRule>
  </conditionalFormatting>
  <conditionalFormatting sqref="L47:L54">
    <cfRule type="expression" dxfId="177" priority="95">
      <formula>L47=1</formula>
    </cfRule>
  </conditionalFormatting>
  <conditionalFormatting sqref="L40:L46">
    <cfRule type="expression" dxfId="176" priority="94">
      <formula>L40=1</formula>
    </cfRule>
  </conditionalFormatting>
  <conditionalFormatting sqref="K55">
    <cfRule type="expression" dxfId="175" priority="93">
      <formula>K55=1</formula>
    </cfRule>
  </conditionalFormatting>
  <conditionalFormatting sqref="K47:K54">
    <cfRule type="expression" dxfId="174" priority="92">
      <formula>K47=1</formula>
    </cfRule>
  </conditionalFormatting>
  <conditionalFormatting sqref="K40:K46">
    <cfRule type="expression" dxfId="173" priority="91">
      <formula>K40=1</formula>
    </cfRule>
  </conditionalFormatting>
  <conditionalFormatting sqref="D131:H131">
    <cfRule type="expression" dxfId="172" priority="90">
      <formula>D131=1</formula>
    </cfRule>
  </conditionalFormatting>
  <conditionalFormatting sqref="D123:H130">
    <cfRule type="expression" dxfId="171" priority="89">
      <formula>D123=1</formula>
    </cfRule>
  </conditionalFormatting>
  <conditionalFormatting sqref="I131:J131 N131">
    <cfRule type="expression" dxfId="170" priority="88">
      <formula>I131=1</formula>
    </cfRule>
  </conditionalFormatting>
  <conditionalFormatting sqref="I123:J130 N123:N130">
    <cfRule type="expression" dxfId="169" priority="87">
      <formula>I123=1</formula>
    </cfRule>
  </conditionalFormatting>
  <conditionalFormatting sqref="D116:H122">
    <cfRule type="expression" dxfId="168" priority="86">
      <formula>D116=1</formula>
    </cfRule>
  </conditionalFormatting>
  <conditionalFormatting sqref="I116:J122 N116:N122">
    <cfRule type="expression" dxfId="167" priority="85">
      <formula>I116=1</formula>
    </cfRule>
  </conditionalFormatting>
  <conditionalFormatting sqref="M131">
    <cfRule type="expression" dxfId="166" priority="84">
      <formula>M131=1</formula>
    </cfRule>
  </conditionalFormatting>
  <conditionalFormatting sqref="M123:M130">
    <cfRule type="expression" dxfId="165" priority="83">
      <formula>M123=1</formula>
    </cfRule>
  </conditionalFormatting>
  <conditionalFormatting sqref="M116:M122">
    <cfRule type="expression" dxfId="164" priority="82">
      <formula>M116=1</formula>
    </cfRule>
  </conditionalFormatting>
  <conditionalFormatting sqref="L131">
    <cfRule type="expression" dxfId="163" priority="81">
      <formula>L131=1</formula>
    </cfRule>
  </conditionalFormatting>
  <conditionalFormatting sqref="L123:L130">
    <cfRule type="expression" dxfId="162" priority="80">
      <formula>L123=1</formula>
    </cfRule>
  </conditionalFormatting>
  <conditionalFormatting sqref="L116:L122">
    <cfRule type="expression" dxfId="161" priority="79">
      <formula>L116=1</formula>
    </cfRule>
  </conditionalFormatting>
  <conditionalFormatting sqref="K131">
    <cfRule type="expression" dxfId="160" priority="78">
      <formula>K131=1</formula>
    </cfRule>
  </conditionalFormatting>
  <conditionalFormatting sqref="K123:K130">
    <cfRule type="expression" dxfId="159" priority="77">
      <formula>K123=1</formula>
    </cfRule>
  </conditionalFormatting>
  <conditionalFormatting sqref="K116:K122">
    <cfRule type="expression" dxfId="158" priority="76">
      <formula>K116=1</formula>
    </cfRule>
  </conditionalFormatting>
  <conditionalFormatting sqref="D36:H36">
    <cfRule type="expression" dxfId="157" priority="75">
      <formula>D36=1</formula>
    </cfRule>
  </conditionalFormatting>
  <conditionalFormatting sqref="D28:H35">
    <cfRule type="expression" dxfId="156" priority="74">
      <formula>D28=1</formula>
    </cfRule>
  </conditionalFormatting>
  <conditionalFormatting sqref="I36:J36 N36">
    <cfRule type="expression" dxfId="155" priority="73">
      <formula>I36=1</formula>
    </cfRule>
  </conditionalFormatting>
  <conditionalFormatting sqref="I28:J35 N28:N35">
    <cfRule type="expression" dxfId="154" priority="72">
      <formula>I28=1</formula>
    </cfRule>
  </conditionalFormatting>
  <conditionalFormatting sqref="D21:H27">
    <cfRule type="expression" dxfId="153" priority="71">
      <formula>D21=1</formula>
    </cfRule>
  </conditionalFormatting>
  <conditionalFormatting sqref="I21:J27 N21:N27">
    <cfRule type="expression" dxfId="152" priority="70">
      <formula>I21=1</formula>
    </cfRule>
  </conditionalFormatting>
  <conditionalFormatting sqref="M36">
    <cfRule type="expression" dxfId="151" priority="69">
      <formula>M36=1</formula>
    </cfRule>
  </conditionalFormatting>
  <conditionalFormatting sqref="M28:M35">
    <cfRule type="expression" dxfId="150" priority="68">
      <formula>M28=1</formula>
    </cfRule>
  </conditionalFormatting>
  <conditionalFormatting sqref="M21:M27">
    <cfRule type="expression" dxfId="149" priority="67">
      <formula>M21=1</formula>
    </cfRule>
  </conditionalFormatting>
  <conditionalFormatting sqref="L36">
    <cfRule type="expression" dxfId="148" priority="66">
      <formula>L36=1</formula>
    </cfRule>
  </conditionalFormatting>
  <conditionalFormatting sqref="L28:L35">
    <cfRule type="expression" dxfId="147" priority="65">
      <formula>L28=1</formula>
    </cfRule>
  </conditionalFormatting>
  <conditionalFormatting sqref="L21:L27">
    <cfRule type="expression" dxfId="146" priority="64">
      <formula>L21=1</formula>
    </cfRule>
  </conditionalFormatting>
  <conditionalFormatting sqref="K36">
    <cfRule type="expression" dxfId="145" priority="63">
      <formula>K36=1</formula>
    </cfRule>
  </conditionalFormatting>
  <conditionalFormatting sqref="K28:K35">
    <cfRule type="expression" dxfId="144" priority="62">
      <formula>K28=1</formula>
    </cfRule>
  </conditionalFormatting>
  <conditionalFormatting sqref="K21:K27">
    <cfRule type="expression" dxfId="143" priority="61">
      <formula>K21=1</formula>
    </cfRule>
  </conditionalFormatting>
  <conditionalFormatting sqref="D93:H93">
    <cfRule type="expression" dxfId="142" priority="60">
      <formula>D93=1</formula>
    </cfRule>
  </conditionalFormatting>
  <conditionalFormatting sqref="D85:H92">
    <cfRule type="expression" dxfId="141" priority="59">
      <formula>D85=1</formula>
    </cfRule>
  </conditionalFormatting>
  <conditionalFormatting sqref="I93:J93 N93">
    <cfRule type="expression" dxfId="140" priority="58">
      <formula>I93=1</formula>
    </cfRule>
  </conditionalFormatting>
  <conditionalFormatting sqref="I85:J92 N85:N92">
    <cfRule type="expression" dxfId="139" priority="57">
      <formula>I85=1</formula>
    </cfRule>
  </conditionalFormatting>
  <conditionalFormatting sqref="D78:H84">
    <cfRule type="expression" dxfId="138" priority="56">
      <formula>D78=1</formula>
    </cfRule>
  </conditionalFormatting>
  <conditionalFormatting sqref="I78:J84 N78:N84">
    <cfRule type="expression" dxfId="137" priority="55">
      <formula>I78=1</formula>
    </cfRule>
  </conditionalFormatting>
  <conditionalFormatting sqref="M93">
    <cfRule type="expression" dxfId="136" priority="54">
      <formula>M93=1</formula>
    </cfRule>
  </conditionalFormatting>
  <conditionalFormatting sqref="M85:M92">
    <cfRule type="expression" dxfId="135" priority="53">
      <formula>M85=1</formula>
    </cfRule>
  </conditionalFormatting>
  <conditionalFormatting sqref="M78:M84">
    <cfRule type="expression" dxfId="134" priority="52">
      <formula>M78=1</formula>
    </cfRule>
  </conditionalFormatting>
  <conditionalFormatting sqref="L93">
    <cfRule type="expression" dxfId="133" priority="51">
      <formula>L93=1</formula>
    </cfRule>
  </conditionalFormatting>
  <conditionalFormatting sqref="L85:L92">
    <cfRule type="expression" dxfId="132" priority="50">
      <formula>L85=1</formula>
    </cfRule>
  </conditionalFormatting>
  <conditionalFormatting sqref="L78:L84">
    <cfRule type="expression" dxfId="131" priority="49">
      <formula>L78=1</formula>
    </cfRule>
  </conditionalFormatting>
  <conditionalFormatting sqref="K93">
    <cfRule type="expression" dxfId="130" priority="48">
      <formula>K93=1</formula>
    </cfRule>
  </conditionalFormatting>
  <conditionalFormatting sqref="K85:K92">
    <cfRule type="expression" dxfId="129" priority="47">
      <formula>K85=1</formula>
    </cfRule>
  </conditionalFormatting>
  <conditionalFormatting sqref="K78:K84">
    <cfRule type="expression" dxfId="128" priority="46">
      <formula>K78=1</formula>
    </cfRule>
  </conditionalFormatting>
  <conditionalFormatting sqref="D112:H112">
    <cfRule type="expression" dxfId="127" priority="45">
      <formula>D112=1</formula>
    </cfRule>
  </conditionalFormatting>
  <conditionalFormatting sqref="D104:H111">
    <cfRule type="expression" dxfId="126" priority="44">
      <formula>D104=1</formula>
    </cfRule>
  </conditionalFormatting>
  <conditionalFormatting sqref="I112:J112 N112">
    <cfRule type="expression" dxfId="125" priority="43">
      <formula>I112=1</formula>
    </cfRule>
  </conditionalFormatting>
  <conditionalFormatting sqref="I104:J111 N104:N111">
    <cfRule type="expression" dxfId="124" priority="42">
      <formula>I104=1</formula>
    </cfRule>
  </conditionalFormatting>
  <conditionalFormatting sqref="D97:H103">
    <cfRule type="expression" dxfId="123" priority="41">
      <formula>D97=1</formula>
    </cfRule>
  </conditionalFormatting>
  <conditionalFormatting sqref="I97:J103 N97:N103">
    <cfRule type="expression" dxfId="122" priority="40">
      <formula>I97=1</formula>
    </cfRule>
  </conditionalFormatting>
  <conditionalFormatting sqref="M112">
    <cfRule type="expression" dxfId="121" priority="39">
      <formula>M112=1</formula>
    </cfRule>
  </conditionalFormatting>
  <conditionalFormatting sqref="M104:M111">
    <cfRule type="expression" dxfId="120" priority="38">
      <formula>M104=1</formula>
    </cfRule>
  </conditionalFormatting>
  <conditionalFormatting sqref="M97:M103">
    <cfRule type="expression" dxfId="119" priority="37">
      <formula>M97=1</formula>
    </cfRule>
  </conditionalFormatting>
  <conditionalFormatting sqref="L112">
    <cfRule type="expression" dxfId="118" priority="36">
      <formula>L112=1</formula>
    </cfRule>
  </conditionalFormatting>
  <conditionalFormatting sqref="L104:L111">
    <cfRule type="expression" dxfId="117" priority="35">
      <formula>L104=1</formula>
    </cfRule>
  </conditionalFormatting>
  <conditionalFormatting sqref="L97:L103">
    <cfRule type="expression" dxfId="116" priority="34">
      <formula>L97=1</formula>
    </cfRule>
  </conditionalFormatting>
  <conditionalFormatting sqref="K112">
    <cfRule type="expression" dxfId="115" priority="33">
      <formula>K112=1</formula>
    </cfRule>
  </conditionalFormatting>
  <conditionalFormatting sqref="K104:K111">
    <cfRule type="expression" dxfId="114" priority="32">
      <formula>K104=1</formula>
    </cfRule>
  </conditionalFormatting>
  <conditionalFormatting sqref="K97:K103">
    <cfRule type="expression" dxfId="113" priority="31">
      <formula>K97=1</formula>
    </cfRule>
  </conditionalFormatting>
  <conditionalFormatting sqref="D74:H74">
    <cfRule type="expression" dxfId="112" priority="30">
      <formula>D74=1</formula>
    </cfRule>
  </conditionalFormatting>
  <conditionalFormatting sqref="D66:H73">
    <cfRule type="expression" dxfId="111" priority="29">
      <formula>D66=1</formula>
    </cfRule>
  </conditionalFormatting>
  <conditionalFormatting sqref="I74:J74 N74">
    <cfRule type="expression" dxfId="110" priority="28">
      <formula>I74=1</formula>
    </cfRule>
  </conditionalFormatting>
  <conditionalFormatting sqref="I66:J73 N66:N73">
    <cfRule type="expression" dxfId="109" priority="27">
      <formula>I66=1</formula>
    </cfRule>
  </conditionalFormatting>
  <conditionalFormatting sqref="D59:H65">
    <cfRule type="expression" dxfId="108" priority="26">
      <formula>D59=1</formula>
    </cfRule>
  </conditionalFormatting>
  <conditionalFormatting sqref="I59:J65 N59:N65">
    <cfRule type="expression" dxfId="107" priority="25">
      <formula>I59=1</formula>
    </cfRule>
  </conditionalFormatting>
  <conditionalFormatting sqref="M74">
    <cfRule type="expression" dxfId="106" priority="24">
      <formula>M74=1</formula>
    </cfRule>
  </conditionalFormatting>
  <conditionalFormatting sqref="M66:M73">
    <cfRule type="expression" dxfId="105" priority="23">
      <formula>M66=1</formula>
    </cfRule>
  </conditionalFormatting>
  <conditionalFormatting sqref="M59:M65">
    <cfRule type="expression" dxfId="104" priority="22">
      <formula>M59=1</formula>
    </cfRule>
  </conditionalFormatting>
  <conditionalFormatting sqref="L74">
    <cfRule type="expression" dxfId="103" priority="21">
      <formula>L74=1</formula>
    </cfRule>
  </conditionalFormatting>
  <conditionalFormatting sqref="L66:L73">
    <cfRule type="expression" dxfId="102" priority="20">
      <formula>L66=1</formula>
    </cfRule>
  </conditionalFormatting>
  <conditionalFormatting sqref="L59:L65">
    <cfRule type="expression" dxfId="101" priority="19">
      <formula>L59=1</formula>
    </cfRule>
  </conditionalFormatting>
  <conditionalFormatting sqref="K74">
    <cfRule type="expression" dxfId="100" priority="18">
      <formula>K74=1</formula>
    </cfRule>
  </conditionalFormatting>
  <conditionalFormatting sqref="K66:K73">
    <cfRule type="expression" dxfId="99" priority="17">
      <formula>K66=1</formula>
    </cfRule>
  </conditionalFormatting>
  <conditionalFormatting sqref="K59:K65">
    <cfRule type="expression" dxfId="98" priority="16">
      <formula>K59=1</formula>
    </cfRule>
  </conditionalFormatting>
  <conditionalFormatting sqref="D150:H150">
    <cfRule type="expression" dxfId="97" priority="15">
      <formula>D150=1</formula>
    </cfRule>
  </conditionalFormatting>
  <conditionalFormatting sqref="D142:H149">
    <cfRule type="expression" dxfId="96" priority="14">
      <formula>D142=1</formula>
    </cfRule>
  </conditionalFormatting>
  <conditionalFormatting sqref="I150:J150 N150">
    <cfRule type="expression" dxfId="95" priority="13">
      <formula>I150=1</formula>
    </cfRule>
  </conditionalFormatting>
  <conditionalFormatting sqref="I142:J149 N142:N149">
    <cfRule type="expression" dxfId="94" priority="12">
      <formula>I142=1</formula>
    </cfRule>
  </conditionalFormatting>
  <conditionalFormatting sqref="D135:H141">
    <cfRule type="expression" dxfId="93" priority="11">
      <formula>D135=1</formula>
    </cfRule>
  </conditionalFormatting>
  <conditionalFormatting sqref="I135:J141 N135:N141">
    <cfRule type="expression" dxfId="92" priority="10">
      <formula>I135=1</formula>
    </cfRule>
  </conditionalFormatting>
  <conditionalFormatting sqref="M150">
    <cfRule type="expression" dxfId="91" priority="9">
      <formula>M150=1</formula>
    </cfRule>
  </conditionalFormatting>
  <conditionalFormatting sqref="M142:M149">
    <cfRule type="expression" dxfId="90" priority="8">
      <formula>M142=1</formula>
    </cfRule>
  </conditionalFormatting>
  <conditionalFormatting sqref="M135:M141">
    <cfRule type="expression" dxfId="89" priority="7">
      <formula>M135=1</formula>
    </cfRule>
  </conditionalFormatting>
  <conditionalFormatting sqref="L150">
    <cfRule type="expression" dxfId="88" priority="6">
      <formula>L150=1</formula>
    </cfRule>
  </conditionalFormatting>
  <conditionalFormatting sqref="L142:L149">
    <cfRule type="expression" dxfId="87" priority="5">
      <formula>L142=1</formula>
    </cfRule>
  </conditionalFormatting>
  <conditionalFormatting sqref="L135:L141">
    <cfRule type="expression" dxfId="86" priority="4">
      <formula>L135=1</formula>
    </cfRule>
  </conditionalFormatting>
  <conditionalFormatting sqref="K150">
    <cfRule type="expression" dxfId="85" priority="3">
      <formula>K150=1</formula>
    </cfRule>
  </conditionalFormatting>
  <conditionalFormatting sqref="K142:K149">
    <cfRule type="expression" dxfId="84" priority="2">
      <formula>K142=1</formula>
    </cfRule>
  </conditionalFormatting>
  <conditionalFormatting sqref="K135:K141">
    <cfRule type="expression" dxfId="83" priority="1">
      <formula>K135=1</formula>
    </cfRule>
  </conditionalFormatting>
  <pageMargins left="0.7" right="0.7" top="0.75" bottom="0.75" header="0.3" footer="0.3"/>
  <pageSetup orientation="portrait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C5F1B-9E58-473D-9ECD-1B363B102E55}">
  <sheetPr codeName="Sheet4"/>
  <dimension ref="A1:EX66"/>
  <sheetViews>
    <sheetView showGridLines="0" zoomScale="55" zoomScaleNormal="55" workbookViewId="0">
      <selection activeCell="AU3" sqref="AU3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" si="4">BX1*2</f>
        <v>32768</v>
      </c>
      <c r="BX1" s="2">
        <f t="shared" ref="BX1" si="5">BY1*2</f>
        <v>16384</v>
      </c>
      <c r="BY1" s="2">
        <f t="shared" ref="BY1" si="6">BZ1*2</f>
        <v>8192</v>
      </c>
      <c r="BZ1" s="2">
        <f t="shared" ref="BZ1" si="7">CA1*2</f>
        <v>4096</v>
      </c>
      <c r="CA1" s="2">
        <f t="shared" ref="CA1" si="8">CB1*2</f>
        <v>2048</v>
      </c>
      <c r="CB1" s="2">
        <f t="shared" ref="CB1" si="9">CC1*2</f>
        <v>1024</v>
      </c>
      <c r="CC1" s="2">
        <f t="shared" ref="CC1" si="10">CD1*2</f>
        <v>512</v>
      </c>
      <c r="CD1" s="2">
        <f t="shared" ref="CD1" si="11">CE1*2</f>
        <v>256</v>
      </c>
      <c r="CE1" s="2">
        <f t="shared" ref="CE1" si="12">CF1*2</f>
        <v>128</v>
      </c>
      <c r="CF1" s="2">
        <f t="shared" ref="CF1" si="13">CG1*2</f>
        <v>64</v>
      </c>
      <c r="CG1" s="2">
        <f t="shared" ref="CG1" si="14">CH1*2</f>
        <v>32</v>
      </c>
      <c r="CH1" s="2">
        <f t="shared" ref="CH1" si="15">CI1*2</f>
        <v>16</v>
      </c>
      <c r="CI1" s="2">
        <f t="shared" ref="CI1" si="16">CJ1*2</f>
        <v>8</v>
      </c>
      <c r="CJ1" s="2">
        <f t="shared" ref="CJ1" si="17">CK1*2</f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Y3" s="3"/>
      <c r="Z3" s="3"/>
      <c r="CM3" t="str">
        <f>CONCATENATE("0x",DEC2HEX(Z3*Z$1+Y3*Y$1+X3*X$1+W3*W$1+V3*V$1+U3*U$1+T3*T$1+S3*S$1+R3*R$1+Q3*Q$1+P3*P$1+O3*O$1+N3*N$1+M3*M$1+L3*L$1+K3*K$1,4))</f>
        <v>0x0000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>CONCATENATE("0x",DEC2HEX(AP3*AP$1+AO3*AO$1+AN3*AN$1+AM3*AM$1+AL3*AL$1+AK3*AK$1+AJ3*AJ$1+AI3*AI$1+AH3*AH$1+AG3*AG$1+AF3*AF$1+AE3*AE$1+AD3*AD$1+AC3*AC$1+AB3*AB$1+AA3*AA$1,4))</f>
        <v>0x0000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CM4" t="str">
        <f t="shared" ref="CM4:CM12" si="18">CONCATENATE("0x",DEC2HEX(Z4*Z$1+Y4*Y$1+X4*X$1+W4*W$1+V4*V$1+U4*U$1+T4*T$1+S4*S$1+R4*R$1+Q4*Q$1+P4*P$1+O4*O$1+N4*N$1+M4*M$1+L4*L$1+K4*K$1,4))</f>
        <v>0x0000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ref="DC4:DC12" si="19">CONCATENATE("0x",DEC2HEX(AP4*AP$1+AO4*AO$1+AN4*AN$1+AM4*AM$1+AL4*AL$1+AK4*AK$1+AJ4*AJ$1+AI4*AI$1+AH4*AH$1+AG4*AG$1+AF4*AF$1+AE4*AE$1+AD4*AD$1+AC4*AC$1+AB4*AB$1+AA4*AA$1,4))</f>
        <v>0x0000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12" si="20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12" si="21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CM5" t="str">
        <f t="shared" si="18"/>
        <v>0x0000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19"/>
        <v>0x0000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20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21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CM6" t="str">
        <f t="shared" si="18"/>
        <v>0x0000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19"/>
        <v>0x0000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20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21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CM7" t="str">
        <f t="shared" si="18"/>
        <v>0x0000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19"/>
        <v>0x0000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20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21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CM8" t="str">
        <f t="shared" si="18"/>
        <v>0x0000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19"/>
        <v>0x0000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20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21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CM9" t="str">
        <f t="shared" si="18"/>
        <v>0x0000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19"/>
        <v>0x0000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20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21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CM10" t="str">
        <f t="shared" si="18"/>
        <v>0x0000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19"/>
        <v>0x0000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20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21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CM11" t="str">
        <f t="shared" si="18"/>
        <v>0x0000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19"/>
        <v>0x0000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20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21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CM12" t="str">
        <f t="shared" si="18"/>
        <v>0x0000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19"/>
        <v>0x0000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20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21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>
        <v>1</v>
      </c>
      <c r="AH13">
        <v>1</v>
      </c>
      <c r="AI13">
        <v>1</v>
      </c>
      <c r="AJ13">
        <v>1</v>
      </c>
      <c r="AK13">
        <v>1</v>
      </c>
      <c r="CM13" t="str">
        <f t="shared" ref="CM13:CM66" si="22">CONCATENATE("0x",DEC2HEX(Z13*Z$1+Y13*Y$1+X13*X$1+W13*W$1+V13*V$1+U13*U$1+T13*T$1+S13*S$1+R13*R$1+Q13*Q$1+P13*P$1+O13*O$1+N13*N$1+M13*M$1+L13*L$1+K13*K$1,4))</f>
        <v>0x003F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ref="DC13:DC66" si="23">CONCATENATE("0x",DEC2HEX(AP13*AP$1+AO13*AO$1+AN13*AN$1+AM13*AM$1+AL13*AL$1+AK13*AK$1+AJ13*AJ$1+AI13*AI$1+AH13*AH$1+AG13*AG$1+AF13*AF$1+AE13*AE$1+AD13*AD$1+AC13*AC$1+AB13*AB$1+AA13*AA$1,4))</f>
        <v>0xFFE0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ref="DS13:DS66" si="24">CONCATENATE("0x",DEC2HEX(BF13*BF$1+BE13*BE$1+BD13*BD$1+BC13*BC$1+BB13*BB$1+BA13*BA$1+AZ13*AZ$1+AY13*AY$1+AX13*AX$1+AW13*AW$1+AV13*AV$1+AU13*AU$1+AT13*AT$1+AS13*AS$1+AR13*AR$1+AQ13*AQ$1,4))</f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ref="EI13:EI66" si="25">CONCATENATE("0x",DEC2HEX(BV13*BV$1+BU13*BU$1+BT13*BT$1+BS13*BS$1+BR13*BR$1+BQ13*BQ$1+BP13*BP$1+BO13*BO$1+BN13*BN$1+BM13*BM$1+BL13*BL$1+BK13*BK$1+BJ13*BJ$1+BI13*BI$1+BH13*BH$1+BG13*BG$1,4))</f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U14">
        <v>1</v>
      </c>
      <c r="V14">
        <v>1</v>
      </c>
      <c r="W14">
        <v>1</v>
      </c>
      <c r="X14">
        <v>1</v>
      </c>
      <c r="Y14">
        <v>1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CM14" t="str">
        <f t="shared" si="22"/>
        <v>0x003F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23"/>
        <v>0xFFE0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24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25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U15">
        <v>1</v>
      </c>
      <c r="V15">
        <v>1</v>
      </c>
      <c r="W15">
        <v>1</v>
      </c>
      <c r="X15">
        <v>1</v>
      </c>
      <c r="Y15">
        <v>1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>
        <v>1</v>
      </c>
      <c r="AH15">
        <v>1</v>
      </c>
      <c r="AI15">
        <v>1</v>
      </c>
      <c r="AJ15">
        <v>1</v>
      </c>
      <c r="AK15">
        <v>1</v>
      </c>
      <c r="CM15" t="str">
        <f t="shared" si="22"/>
        <v>0x003F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23"/>
        <v>0xFFE0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24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25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CM16" t="str">
        <f t="shared" si="22"/>
        <v>0x003F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>CONCATENATE("0x",DEC2HEX(AP16*AP$1+AO16*AO$1+AN16*AN$1+AM16*AM$1+AL16*AL$1+AK16*AK$1+AJ16*AJ$1+AI16*AI$1+AH16*AH$1+AG16*AG$1+AF16*AF$1+AE16*AE$1+AD16*AD$1+AC16*AC$1+AB16*AB$1+AA16*AA$1,4))</f>
        <v>0x83E0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24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25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C17">
        <v>1</v>
      </c>
      <c r="AD17">
        <v>1</v>
      </c>
      <c r="AE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CM17" t="str">
        <f t="shared" si="22"/>
        <v>0x003F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23"/>
        <v>0xBBE0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24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25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C18">
        <v>1</v>
      </c>
      <c r="AD18">
        <v>1</v>
      </c>
      <c r="AE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CM18" t="str">
        <f t="shared" si="22"/>
        <v>0x003F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23"/>
        <v>0xBBE0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24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25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>
        <v>1</v>
      </c>
      <c r="L19">
        <v>1</v>
      </c>
      <c r="M19">
        <v>1</v>
      </c>
      <c r="N19">
        <v>1</v>
      </c>
      <c r="O19">
        <v>1</v>
      </c>
      <c r="P19">
        <v>1</v>
      </c>
      <c r="Q19">
        <v>1</v>
      </c>
      <c r="R19">
        <v>1</v>
      </c>
      <c r="S19">
        <v>1</v>
      </c>
      <c r="U19">
        <v>1</v>
      </c>
      <c r="V19">
        <v>1</v>
      </c>
      <c r="W19">
        <v>1</v>
      </c>
      <c r="X19">
        <v>1</v>
      </c>
      <c r="Y19">
        <v>1</v>
      </c>
      <c r="Z19">
        <v>1</v>
      </c>
      <c r="AA19">
        <v>1</v>
      </c>
      <c r="AC19">
        <v>1</v>
      </c>
      <c r="AD19">
        <v>1</v>
      </c>
      <c r="AE19">
        <v>1</v>
      </c>
      <c r="AG19">
        <v>1</v>
      </c>
      <c r="AH19">
        <v>1</v>
      </c>
      <c r="AI19">
        <v>1</v>
      </c>
      <c r="AJ19">
        <v>1</v>
      </c>
      <c r="AK19">
        <v>1</v>
      </c>
      <c r="CM19" t="str">
        <f t="shared" si="22"/>
        <v>0xFFBF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23"/>
        <v>0xBBE0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24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25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>
        <v>1</v>
      </c>
      <c r="M20">
        <v>1</v>
      </c>
      <c r="O20">
        <v>1</v>
      </c>
      <c r="Q20">
        <v>1</v>
      </c>
      <c r="S20">
        <v>1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C20">
        <v>1</v>
      </c>
      <c r="AD20">
        <v>1</v>
      </c>
      <c r="AE20">
        <v>1</v>
      </c>
      <c r="AG20">
        <v>1</v>
      </c>
      <c r="AH20">
        <v>1</v>
      </c>
      <c r="AI20">
        <v>1</v>
      </c>
      <c r="AJ20">
        <v>1</v>
      </c>
      <c r="AK20">
        <v>1</v>
      </c>
      <c r="CM20" t="str">
        <f t="shared" si="22"/>
        <v>0xAABF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23"/>
        <v>0xBBE0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24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25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>
        <v>1</v>
      </c>
      <c r="L21">
        <v>1</v>
      </c>
      <c r="N21">
        <v>1</v>
      </c>
      <c r="O21">
        <v>1</v>
      </c>
      <c r="P21">
        <v>1</v>
      </c>
      <c r="Q21">
        <v>1</v>
      </c>
      <c r="R21">
        <v>1</v>
      </c>
      <c r="S21">
        <v>1</v>
      </c>
      <c r="T21">
        <v>1</v>
      </c>
      <c r="U21">
        <v>1</v>
      </c>
      <c r="V21">
        <v>1</v>
      </c>
      <c r="W21">
        <v>1</v>
      </c>
      <c r="X21">
        <v>1</v>
      </c>
      <c r="Y21">
        <v>1</v>
      </c>
      <c r="Z21">
        <v>1</v>
      </c>
      <c r="AA21">
        <v>1</v>
      </c>
      <c r="AC21">
        <v>1</v>
      </c>
      <c r="AD21">
        <v>1</v>
      </c>
      <c r="AE21">
        <v>1</v>
      </c>
      <c r="AG21">
        <v>1</v>
      </c>
      <c r="AH21">
        <v>1</v>
      </c>
      <c r="AI21">
        <v>1</v>
      </c>
      <c r="AJ21">
        <v>1</v>
      </c>
      <c r="AK21">
        <v>1</v>
      </c>
      <c r="CM21" t="str">
        <f t="shared" si="22"/>
        <v>0xDFFF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23"/>
        <v>0xBBE0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24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25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>
        <v>1</v>
      </c>
      <c r="M22">
        <v>1</v>
      </c>
      <c r="O22">
        <v>1</v>
      </c>
      <c r="Y22">
        <v>1</v>
      </c>
      <c r="Z22">
        <v>1</v>
      </c>
      <c r="AA22">
        <v>1</v>
      </c>
      <c r="AC22">
        <v>1</v>
      </c>
      <c r="AD22">
        <v>1</v>
      </c>
      <c r="AE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CM22" t="str">
        <f t="shared" ref="CM22:CM46" si="26">CONCATENATE("0x",DEC2HEX(Z22*Z$1+Y22*Y$1+X22*X$1+W22*W$1+V22*V$1+U22*U$1+T22*T$1+S22*S$1+R22*R$1+Q22*Q$1+P22*P$1+O22*O$1+N22*N$1+M22*M$1+L22*L$1+K22*K$1,4))</f>
        <v>0xA803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ref="DC22:DC46" si="27">CONCATENATE("0x",DEC2HEX(AP22*AP$1+AO22*AO$1+AN22*AN$1+AM22*AM$1+AL22*AL$1+AK22*AK$1+AJ22*AJ$1+AI22*AI$1+AH22*AH$1+AG22*AG$1+AF22*AF$1+AE22*AE$1+AD22*AD$1+AC22*AC$1+AB22*AB$1+AA22*AA$1,4))</f>
        <v>0xBBE0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ref="DS22:DS46" si="28">CONCATENATE("0x",DEC2HEX(BF22*BF$1+BE22*BE$1+BD22*BD$1+BC22*BC$1+BB22*BB$1+BA22*BA$1+AZ22*AZ$1+AY22*AY$1+AX22*AX$1+AW22*AW$1+AV22*AV$1+AU22*AU$1+AT22*AT$1+AS22*AS$1+AR22*AR$1+AQ22*AQ$1,4))</f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ref="EI22:EI46" si="29">CONCATENATE("0x",DEC2HEX(BV22*BV$1+BU22*BU$1+BT22*BT$1+BS22*BS$1+BR22*BR$1+BQ22*BQ$1+BP22*BP$1+BO22*BO$1+BN22*BN$1+BM22*BM$1+BL22*BL$1+BK22*BK$1+BJ22*BJ$1+BI22*BI$1+BH22*BH$1+BG22*BG$1,4))</f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>
        <v>1</v>
      </c>
      <c r="L23">
        <v>1</v>
      </c>
      <c r="N23">
        <v>1</v>
      </c>
      <c r="O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  <c r="Y23">
        <v>1</v>
      </c>
      <c r="Z23">
        <v>1</v>
      </c>
      <c r="AA23">
        <v>1</v>
      </c>
      <c r="AD23">
        <v>1</v>
      </c>
      <c r="AG23">
        <v>1</v>
      </c>
      <c r="AH23">
        <v>1</v>
      </c>
      <c r="AI23">
        <v>1</v>
      </c>
      <c r="AJ23">
        <v>1</v>
      </c>
      <c r="AK23">
        <v>1</v>
      </c>
      <c r="CM23" t="str">
        <f t="shared" si="26"/>
        <v>0xDBFB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si="27"/>
        <v>0x93E0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28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29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>
        <v>1</v>
      </c>
      <c r="M24">
        <v>1</v>
      </c>
      <c r="O24">
        <v>1</v>
      </c>
      <c r="Q24">
        <v>1</v>
      </c>
      <c r="R24">
        <v>1</v>
      </c>
      <c r="S24">
        <v>1</v>
      </c>
      <c r="T24">
        <v>1</v>
      </c>
      <c r="U24">
        <v>1</v>
      </c>
      <c r="V24">
        <v>1</v>
      </c>
      <c r="W24">
        <v>1</v>
      </c>
      <c r="Y24">
        <v>1</v>
      </c>
      <c r="Z24">
        <v>1</v>
      </c>
      <c r="AA24">
        <v>1</v>
      </c>
      <c r="AB24">
        <v>1</v>
      </c>
      <c r="AD24">
        <v>1</v>
      </c>
      <c r="AF24">
        <v>1</v>
      </c>
      <c r="AG24">
        <v>1</v>
      </c>
      <c r="AH24">
        <v>1</v>
      </c>
      <c r="AI24">
        <v>1</v>
      </c>
      <c r="AJ24">
        <v>1</v>
      </c>
      <c r="AK24">
        <v>1</v>
      </c>
      <c r="CM24" t="str">
        <f t="shared" si="26"/>
        <v>0xABFB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27"/>
        <v>0xD7E0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28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29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>
        <v>1</v>
      </c>
      <c r="L25">
        <v>1</v>
      </c>
      <c r="N25">
        <v>1</v>
      </c>
      <c r="O25">
        <v>1</v>
      </c>
      <c r="Q25">
        <v>1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Y25">
        <v>1</v>
      </c>
      <c r="Z25">
        <v>1</v>
      </c>
      <c r="AA25">
        <v>1</v>
      </c>
      <c r="AB25">
        <v>1</v>
      </c>
      <c r="AD25">
        <v>1</v>
      </c>
      <c r="AF25">
        <v>1</v>
      </c>
      <c r="CM25" t="str">
        <f t="shared" si="26"/>
        <v>0xDBFB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27"/>
        <v>0xD400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28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29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>
        <v>1</v>
      </c>
      <c r="M26">
        <v>1</v>
      </c>
      <c r="O26">
        <v>1</v>
      </c>
      <c r="Q26">
        <v>1</v>
      </c>
      <c r="R26">
        <v>1</v>
      </c>
      <c r="S26">
        <v>1</v>
      </c>
      <c r="T26">
        <v>1</v>
      </c>
      <c r="U26">
        <v>1</v>
      </c>
      <c r="V26">
        <v>1</v>
      </c>
      <c r="W26">
        <v>1</v>
      </c>
      <c r="Y26">
        <v>1</v>
      </c>
      <c r="Z26">
        <v>1</v>
      </c>
      <c r="AA26">
        <v>1</v>
      </c>
      <c r="AB26">
        <v>1</v>
      </c>
      <c r="AD26">
        <v>1</v>
      </c>
      <c r="AF26">
        <v>1</v>
      </c>
      <c r="AG26">
        <v>1</v>
      </c>
      <c r="AH26">
        <v>1</v>
      </c>
      <c r="AI26">
        <v>1</v>
      </c>
      <c r="AJ26">
        <v>1</v>
      </c>
      <c r="AK26">
        <v>1</v>
      </c>
      <c r="AL26">
        <v>1</v>
      </c>
      <c r="AM26">
        <v>1</v>
      </c>
      <c r="AN26">
        <v>1</v>
      </c>
      <c r="AO26">
        <v>1</v>
      </c>
      <c r="AP26">
        <v>1</v>
      </c>
      <c r="AQ26">
        <v>1</v>
      </c>
      <c r="AR26">
        <v>1</v>
      </c>
      <c r="AS26">
        <v>1</v>
      </c>
      <c r="AT26">
        <v>1</v>
      </c>
      <c r="AU26">
        <v>1</v>
      </c>
      <c r="CM26" t="str">
        <f t="shared" si="26"/>
        <v>0xABFB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27"/>
        <v>0xD7FF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28"/>
        <v>0xF800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29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>
        <v>1</v>
      </c>
      <c r="L27">
        <v>1</v>
      </c>
      <c r="N27">
        <v>1</v>
      </c>
      <c r="O27">
        <v>1</v>
      </c>
      <c r="Q27">
        <v>1</v>
      </c>
      <c r="R27">
        <v>1</v>
      </c>
      <c r="S27">
        <v>1</v>
      </c>
      <c r="T27">
        <v>1</v>
      </c>
      <c r="U27">
        <v>1</v>
      </c>
      <c r="V27">
        <v>1</v>
      </c>
      <c r="W27">
        <v>1</v>
      </c>
      <c r="Y27">
        <v>1</v>
      </c>
      <c r="Z27">
        <v>1</v>
      </c>
      <c r="AA27">
        <v>1</v>
      </c>
      <c r="AB27">
        <v>1</v>
      </c>
      <c r="AD27">
        <v>1</v>
      </c>
      <c r="AF27">
        <v>1</v>
      </c>
      <c r="AU27">
        <v>1</v>
      </c>
      <c r="CM27" t="str">
        <f t="shared" si="26"/>
        <v>0xDBFB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27"/>
        <v>0xD400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28"/>
        <v>0x0800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29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>
        <v>1</v>
      </c>
      <c r="M28">
        <v>1</v>
      </c>
      <c r="O28">
        <v>1</v>
      </c>
      <c r="Q28">
        <v>1</v>
      </c>
      <c r="R28">
        <v>1</v>
      </c>
      <c r="S28">
        <v>1</v>
      </c>
      <c r="T28">
        <v>1</v>
      </c>
      <c r="U28">
        <v>1</v>
      </c>
      <c r="V28">
        <v>1</v>
      </c>
      <c r="W28">
        <v>1</v>
      </c>
      <c r="Y28">
        <v>1</v>
      </c>
      <c r="Z28">
        <v>1</v>
      </c>
      <c r="AA28">
        <v>1</v>
      </c>
      <c r="AB28">
        <v>1</v>
      </c>
      <c r="AD28">
        <v>1</v>
      </c>
      <c r="AF28">
        <v>1</v>
      </c>
      <c r="AG28">
        <v>1</v>
      </c>
      <c r="AU28">
        <v>1</v>
      </c>
      <c r="CM28" t="str">
        <f t="shared" si="26"/>
        <v>0xABFB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27"/>
        <v>0xD600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28"/>
        <v>0x0800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29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>
        <v>1</v>
      </c>
      <c r="L29">
        <v>1</v>
      </c>
      <c r="N29">
        <v>1</v>
      </c>
      <c r="O29">
        <v>1</v>
      </c>
      <c r="R29">
        <v>1</v>
      </c>
      <c r="S29">
        <v>1</v>
      </c>
      <c r="T29">
        <v>1</v>
      </c>
      <c r="U29">
        <v>1</v>
      </c>
      <c r="V29">
        <v>1</v>
      </c>
      <c r="Y29">
        <v>1</v>
      </c>
      <c r="Z29">
        <v>1</v>
      </c>
      <c r="AA29">
        <v>1</v>
      </c>
      <c r="AD29">
        <v>1</v>
      </c>
      <c r="AG29">
        <v>1</v>
      </c>
      <c r="AJ29">
        <v>1</v>
      </c>
      <c r="AK29">
        <v>1</v>
      </c>
      <c r="AL29">
        <v>1</v>
      </c>
      <c r="AM29">
        <v>1</v>
      </c>
      <c r="AN29">
        <v>1</v>
      </c>
      <c r="AO29">
        <v>1</v>
      </c>
      <c r="AU29">
        <v>1</v>
      </c>
      <c r="CM29" t="str">
        <f t="shared" si="26"/>
        <v>0xD9F3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27"/>
        <v>0x927E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28"/>
        <v>0x0800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29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>
        <v>1</v>
      </c>
      <c r="M30">
        <v>1</v>
      </c>
      <c r="O30">
        <v>1</v>
      </c>
      <c r="P30">
        <v>1</v>
      </c>
      <c r="R30">
        <v>1</v>
      </c>
      <c r="S30">
        <v>1</v>
      </c>
      <c r="T30">
        <v>1</v>
      </c>
      <c r="U30">
        <v>1</v>
      </c>
      <c r="V30">
        <v>1</v>
      </c>
      <c r="X30">
        <v>1</v>
      </c>
      <c r="Y30">
        <v>1</v>
      </c>
      <c r="Z30">
        <v>1</v>
      </c>
      <c r="AA30">
        <v>1</v>
      </c>
      <c r="AC30">
        <v>1</v>
      </c>
      <c r="AD30">
        <v>1</v>
      </c>
      <c r="AE30">
        <v>1</v>
      </c>
      <c r="AG30">
        <v>1</v>
      </c>
      <c r="AJ30">
        <v>1</v>
      </c>
      <c r="AK30">
        <v>1</v>
      </c>
      <c r="AL30">
        <v>1</v>
      </c>
      <c r="AM30">
        <v>1</v>
      </c>
      <c r="AN30">
        <v>1</v>
      </c>
      <c r="AO30">
        <v>1</v>
      </c>
      <c r="AU30">
        <v>1</v>
      </c>
      <c r="CM30" t="str">
        <f t="shared" si="26"/>
        <v>0xADF7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27"/>
        <v>0xBA7E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28"/>
        <v>0x0800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29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>
        <v>1</v>
      </c>
      <c r="L31">
        <v>1</v>
      </c>
      <c r="N31">
        <v>1</v>
      </c>
      <c r="P31">
        <v>1</v>
      </c>
      <c r="R31">
        <v>1</v>
      </c>
      <c r="S31">
        <v>1</v>
      </c>
      <c r="T31">
        <v>1</v>
      </c>
      <c r="U31">
        <v>1</v>
      </c>
      <c r="V31">
        <v>1</v>
      </c>
      <c r="X31">
        <v>1</v>
      </c>
      <c r="Y31">
        <v>1</v>
      </c>
      <c r="Z31">
        <v>1</v>
      </c>
      <c r="AA31">
        <v>1</v>
      </c>
      <c r="AC31">
        <v>1</v>
      </c>
      <c r="AD31">
        <v>1</v>
      </c>
      <c r="AE31">
        <v>1</v>
      </c>
      <c r="AG31">
        <v>1</v>
      </c>
      <c r="AJ31">
        <v>1</v>
      </c>
      <c r="AK31">
        <v>1</v>
      </c>
      <c r="AL31">
        <v>1</v>
      </c>
      <c r="AM31">
        <v>1</v>
      </c>
      <c r="AN31">
        <v>1</v>
      </c>
      <c r="AO31">
        <v>1</v>
      </c>
      <c r="AU31">
        <v>1</v>
      </c>
      <c r="CM31" t="str">
        <f t="shared" si="26"/>
        <v>0xD5F7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27"/>
        <v>0xBA7E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28"/>
        <v>0x0800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29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>
        <v>1</v>
      </c>
      <c r="M32">
        <v>1</v>
      </c>
      <c r="O32">
        <v>1</v>
      </c>
      <c r="P32">
        <v>1</v>
      </c>
      <c r="R32">
        <v>1</v>
      </c>
      <c r="S32">
        <v>1</v>
      </c>
      <c r="T32">
        <v>1</v>
      </c>
      <c r="U32">
        <v>1</v>
      </c>
      <c r="V32">
        <v>1</v>
      </c>
      <c r="X32">
        <v>1</v>
      </c>
      <c r="Y32">
        <v>1</v>
      </c>
      <c r="Z32">
        <v>1</v>
      </c>
      <c r="AA32">
        <v>1</v>
      </c>
      <c r="AC32">
        <v>1</v>
      </c>
      <c r="AD32">
        <v>1</v>
      </c>
      <c r="AE32">
        <v>1</v>
      </c>
      <c r="AG32">
        <v>1</v>
      </c>
      <c r="AJ32">
        <v>1</v>
      </c>
      <c r="AK32">
        <v>1</v>
      </c>
      <c r="AL32">
        <v>1</v>
      </c>
      <c r="AM32">
        <v>1</v>
      </c>
      <c r="AN32">
        <v>1</v>
      </c>
      <c r="AO32">
        <v>1</v>
      </c>
      <c r="AU32">
        <v>1</v>
      </c>
      <c r="CM32" t="str">
        <f t="shared" si="26"/>
        <v>0xADF7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27"/>
        <v>0xBA7E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28"/>
        <v>0x0800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29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>
        <v>1</v>
      </c>
      <c r="L33">
        <v>1</v>
      </c>
      <c r="N33">
        <v>1</v>
      </c>
      <c r="P33">
        <v>1</v>
      </c>
      <c r="R33">
        <v>1</v>
      </c>
      <c r="S33">
        <v>1</v>
      </c>
      <c r="T33">
        <v>1</v>
      </c>
      <c r="U33">
        <v>1</v>
      </c>
      <c r="V33">
        <v>1</v>
      </c>
      <c r="X33">
        <v>1</v>
      </c>
      <c r="Y33">
        <v>1</v>
      </c>
      <c r="Z33">
        <v>1</v>
      </c>
      <c r="AA33">
        <v>1</v>
      </c>
      <c r="AC33">
        <v>1</v>
      </c>
      <c r="AD33">
        <v>1</v>
      </c>
      <c r="AE33">
        <v>1</v>
      </c>
      <c r="AG33">
        <v>1</v>
      </c>
      <c r="AJ33">
        <v>1</v>
      </c>
      <c r="AK33">
        <v>1</v>
      </c>
      <c r="AL33">
        <v>1</v>
      </c>
      <c r="AM33">
        <v>1</v>
      </c>
      <c r="AN33">
        <v>1</v>
      </c>
      <c r="AO33">
        <v>1</v>
      </c>
      <c r="AU33">
        <v>1</v>
      </c>
      <c r="CM33" t="str">
        <f t="shared" si="26"/>
        <v>0xD5F7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27"/>
        <v>0xBA7E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28"/>
        <v>0x0800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29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>
        <v>1</v>
      </c>
      <c r="M34">
        <v>1</v>
      </c>
      <c r="O34">
        <v>1</v>
      </c>
      <c r="P34">
        <v>1</v>
      </c>
      <c r="S34">
        <v>1</v>
      </c>
      <c r="T34">
        <v>1</v>
      </c>
      <c r="U34">
        <v>1</v>
      </c>
      <c r="X34">
        <v>1</v>
      </c>
      <c r="Y34">
        <v>1</v>
      </c>
      <c r="Z34">
        <v>1</v>
      </c>
      <c r="AA34">
        <v>1</v>
      </c>
      <c r="AC34">
        <v>1</v>
      </c>
      <c r="AD34">
        <v>1</v>
      </c>
      <c r="AE34">
        <v>1</v>
      </c>
      <c r="AG34">
        <v>1</v>
      </c>
      <c r="AJ34">
        <v>1</v>
      </c>
      <c r="AK34">
        <v>1</v>
      </c>
      <c r="AL34">
        <v>1</v>
      </c>
      <c r="AM34">
        <v>1</v>
      </c>
      <c r="AN34">
        <v>1</v>
      </c>
      <c r="AO34">
        <v>1</v>
      </c>
      <c r="AU34">
        <v>1</v>
      </c>
      <c r="CM34" t="str">
        <f t="shared" si="26"/>
        <v>0xACE7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27"/>
        <v>0xBA7E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28"/>
        <v>0x0800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29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>
        <v>1</v>
      </c>
      <c r="L35">
        <v>1</v>
      </c>
      <c r="N35">
        <v>1</v>
      </c>
      <c r="P35">
        <v>1</v>
      </c>
      <c r="Q35">
        <v>1</v>
      </c>
      <c r="S35">
        <v>1</v>
      </c>
      <c r="T35">
        <v>1</v>
      </c>
      <c r="U35">
        <v>1</v>
      </c>
      <c r="W35">
        <v>1</v>
      </c>
      <c r="X35">
        <v>1</v>
      </c>
      <c r="Y35">
        <v>1</v>
      </c>
      <c r="Z35">
        <v>1</v>
      </c>
      <c r="AA35">
        <v>1</v>
      </c>
      <c r="AC35">
        <v>1</v>
      </c>
      <c r="AD35">
        <v>1</v>
      </c>
      <c r="AE35">
        <v>1</v>
      </c>
      <c r="AG35">
        <v>1</v>
      </c>
      <c r="AK35">
        <v>1</v>
      </c>
      <c r="AL35">
        <v>1</v>
      </c>
      <c r="AM35">
        <v>1</v>
      </c>
      <c r="AN35">
        <v>1</v>
      </c>
      <c r="AU35">
        <v>1</v>
      </c>
      <c r="CM35" t="str">
        <f t="shared" si="26"/>
        <v>0xD6EF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27"/>
        <v>0xBA3C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28"/>
        <v>0x0800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29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>
        <v>1</v>
      </c>
      <c r="M36">
        <v>1</v>
      </c>
      <c r="O36">
        <v>1</v>
      </c>
      <c r="Q36">
        <v>1</v>
      </c>
      <c r="S36">
        <v>1</v>
      </c>
      <c r="T36">
        <v>1</v>
      </c>
      <c r="U36">
        <v>1</v>
      </c>
      <c r="W36">
        <v>1</v>
      </c>
      <c r="X36">
        <v>1</v>
      </c>
      <c r="Y36">
        <v>1</v>
      </c>
      <c r="Z36">
        <v>1</v>
      </c>
      <c r="AA36">
        <v>1</v>
      </c>
      <c r="AC36">
        <v>1</v>
      </c>
      <c r="AD36">
        <v>1</v>
      </c>
      <c r="AE36">
        <v>1</v>
      </c>
      <c r="AG36">
        <v>1</v>
      </c>
      <c r="AK36">
        <v>1</v>
      </c>
      <c r="AL36">
        <v>1</v>
      </c>
      <c r="AM36">
        <v>1</v>
      </c>
      <c r="AN36">
        <v>1</v>
      </c>
      <c r="AU36">
        <v>1</v>
      </c>
      <c r="CM36" t="str">
        <f t="shared" si="26"/>
        <v>0xAAEF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27"/>
        <v>0xBA3C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28"/>
        <v>0x0800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29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>
        <v>1</v>
      </c>
      <c r="L37">
        <v>1</v>
      </c>
      <c r="N37">
        <v>1</v>
      </c>
      <c r="P37">
        <v>1</v>
      </c>
      <c r="Q37">
        <v>1</v>
      </c>
      <c r="S37">
        <v>1</v>
      </c>
      <c r="T37">
        <v>1</v>
      </c>
      <c r="U37">
        <v>1</v>
      </c>
      <c r="W37">
        <v>1</v>
      </c>
      <c r="X37">
        <v>1</v>
      </c>
      <c r="Y37">
        <v>1</v>
      </c>
      <c r="Z37">
        <v>1</v>
      </c>
      <c r="AA37">
        <v>1</v>
      </c>
      <c r="AC37">
        <v>1</v>
      </c>
      <c r="AD37">
        <v>1</v>
      </c>
      <c r="AE37">
        <v>1</v>
      </c>
      <c r="AG37">
        <v>1</v>
      </c>
      <c r="AK37">
        <v>1</v>
      </c>
      <c r="AL37">
        <v>1</v>
      </c>
      <c r="AM37">
        <v>1</v>
      </c>
      <c r="AN37">
        <v>1</v>
      </c>
      <c r="AU37">
        <v>1</v>
      </c>
      <c r="CM37" t="str">
        <f t="shared" si="26"/>
        <v>0xD6EF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27"/>
        <v>0xBA3C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28"/>
        <v>0x0800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29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>
        <v>1</v>
      </c>
      <c r="M38">
        <v>1</v>
      </c>
      <c r="O38">
        <v>1</v>
      </c>
      <c r="Q38">
        <v>1</v>
      </c>
      <c r="S38">
        <v>1</v>
      </c>
      <c r="T38">
        <v>1</v>
      </c>
      <c r="U38">
        <v>1</v>
      </c>
      <c r="W38">
        <v>1</v>
      </c>
      <c r="X38">
        <v>1</v>
      </c>
      <c r="Y38">
        <v>1</v>
      </c>
      <c r="Z38">
        <v>1</v>
      </c>
      <c r="AA38">
        <v>1</v>
      </c>
      <c r="AC38">
        <v>1</v>
      </c>
      <c r="AD38">
        <v>1</v>
      </c>
      <c r="AE38">
        <v>1</v>
      </c>
      <c r="AG38">
        <v>1</v>
      </c>
      <c r="AK38">
        <v>1</v>
      </c>
      <c r="AL38">
        <v>1</v>
      </c>
      <c r="AM38">
        <v>1</v>
      </c>
      <c r="AN38">
        <v>1</v>
      </c>
      <c r="AU38">
        <v>1</v>
      </c>
      <c r="CM38" t="str">
        <f t="shared" si="26"/>
        <v>0xAAEF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27"/>
        <v>0xBA3C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28"/>
        <v>0x0800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29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>
        <v>1</v>
      </c>
      <c r="L39">
        <v>1</v>
      </c>
      <c r="N39">
        <v>1</v>
      </c>
      <c r="P39">
        <v>1</v>
      </c>
      <c r="Q39">
        <v>1</v>
      </c>
      <c r="S39">
        <v>1</v>
      </c>
      <c r="T39">
        <v>1</v>
      </c>
      <c r="U39">
        <v>1</v>
      </c>
      <c r="W39">
        <v>1</v>
      </c>
      <c r="X39">
        <v>1</v>
      </c>
      <c r="Y39">
        <v>1</v>
      </c>
      <c r="Z39">
        <v>1</v>
      </c>
      <c r="AA39">
        <v>1</v>
      </c>
      <c r="AC39">
        <v>1</v>
      </c>
      <c r="AD39">
        <v>1</v>
      </c>
      <c r="AE39">
        <v>1</v>
      </c>
      <c r="AG39">
        <v>1</v>
      </c>
      <c r="AK39">
        <v>1</v>
      </c>
      <c r="AL39">
        <v>1</v>
      </c>
      <c r="AM39">
        <v>1</v>
      </c>
      <c r="AN39">
        <v>1</v>
      </c>
      <c r="AU39">
        <v>1</v>
      </c>
      <c r="CM39" t="str">
        <f t="shared" si="26"/>
        <v>0xD6EF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27"/>
        <v>0xBA3C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28"/>
        <v>0x0800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29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>
        <v>1</v>
      </c>
      <c r="M40">
        <v>1</v>
      </c>
      <c r="O40">
        <v>1</v>
      </c>
      <c r="P40">
        <v>1</v>
      </c>
      <c r="S40">
        <v>1</v>
      </c>
      <c r="T40">
        <v>1</v>
      </c>
      <c r="U40">
        <v>1</v>
      </c>
      <c r="X40">
        <v>1</v>
      </c>
      <c r="Y40">
        <v>1</v>
      </c>
      <c r="Z40">
        <v>1</v>
      </c>
      <c r="AA40">
        <v>1</v>
      </c>
      <c r="AC40">
        <v>1</v>
      </c>
      <c r="AD40">
        <v>1</v>
      </c>
      <c r="AE40">
        <v>1</v>
      </c>
      <c r="AG40">
        <v>1</v>
      </c>
      <c r="AK40">
        <v>1</v>
      </c>
      <c r="AL40">
        <v>1</v>
      </c>
      <c r="AM40">
        <v>1</v>
      </c>
      <c r="AN40">
        <v>1</v>
      </c>
      <c r="AU40">
        <v>1</v>
      </c>
      <c r="CM40" t="str">
        <f t="shared" si="26"/>
        <v>0xACE7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27"/>
        <v>0xBA3C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28"/>
        <v>0x0800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29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>
        <v>1</v>
      </c>
      <c r="L41">
        <v>1</v>
      </c>
      <c r="N41">
        <v>1</v>
      </c>
      <c r="P41">
        <v>1</v>
      </c>
      <c r="R41">
        <v>1</v>
      </c>
      <c r="S41">
        <v>1</v>
      </c>
      <c r="T41">
        <v>1</v>
      </c>
      <c r="U41">
        <v>1</v>
      </c>
      <c r="V41">
        <v>1</v>
      </c>
      <c r="X41">
        <v>1</v>
      </c>
      <c r="Y41">
        <v>1</v>
      </c>
      <c r="Z41">
        <v>1</v>
      </c>
      <c r="AA41">
        <v>1</v>
      </c>
      <c r="AC41">
        <v>1</v>
      </c>
      <c r="AD41">
        <v>1</v>
      </c>
      <c r="AE41">
        <v>1</v>
      </c>
      <c r="AG41">
        <v>1</v>
      </c>
      <c r="AK41">
        <v>1</v>
      </c>
      <c r="AL41">
        <v>1</v>
      </c>
      <c r="AM41">
        <v>1</v>
      </c>
      <c r="AN41">
        <v>1</v>
      </c>
      <c r="AU41">
        <v>1</v>
      </c>
      <c r="CM41" t="str">
        <f t="shared" si="26"/>
        <v>0xD5F7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27"/>
        <v>0xBA3C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28"/>
        <v>0x0800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29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>
        <v>1</v>
      </c>
      <c r="M42">
        <v>1</v>
      </c>
      <c r="O42">
        <v>1</v>
      </c>
      <c r="P42">
        <v>1</v>
      </c>
      <c r="R42">
        <v>1</v>
      </c>
      <c r="S42">
        <v>1</v>
      </c>
      <c r="T42">
        <v>1</v>
      </c>
      <c r="U42">
        <v>1</v>
      </c>
      <c r="V42">
        <v>1</v>
      </c>
      <c r="X42">
        <v>1</v>
      </c>
      <c r="Y42">
        <v>1</v>
      </c>
      <c r="Z42">
        <v>1</v>
      </c>
      <c r="AA42">
        <v>1</v>
      </c>
      <c r="AG42">
        <v>1</v>
      </c>
      <c r="AL42">
        <v>1</v>
      </c>
      <c r="AM42">
        <v>1</v>
      </c>
      <c r="AU42">
        <v>1</v>
      </c>
      <c r="CM42" t="str">
        <f t="shared" si="26"/>
        <v>0xADF7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27"/>
        <v>0x8218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28"/>
        <v>0x0800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29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>
        <v>1</v>
      </c>
      <c r="L43">
        <v>1</v>
      </c>
      <c r="N43">
        <v>1</v>
      </c>
      <c r="P43">
        <v>1</v>
      </c>
      <c r="R43">
        <v>1</v>
      </c>
      <c r="S43">
        <v>1</v>
      </c>
      <c r="T43">
        <v>1</v>
      </c>
      <c r="U43">
        <v>1</v>
      </c>
      <c r="V43">
        <v>1</v>
      </c>
      <c r="X43">
        <v>1</v>
      </c>
      <c r="Y43">
        <v>1</v>
      </c>
      <c r="Z43">
        <v>1</v>
      </c>
      <c r="AA43">
        <v>1</v>
      </c>
      <c r="AB43">
        <v>1</v>
      </c>
      <c r="AD43">
        <v>1</v>
      </c>
      <c r="AE43">
        <v>1</v>
      </c>
      <c r="AF43">
        <v>1</v>
      </c>
      <c r="AG43">
        <v>1</v>
      </c>
      <c r="AL43">
        <v>1</v>
      </c>
      <c r="AM43">
        <v>1</v>
      </c>
      <c r="AU43">
        <v>1</v>
      </c>
      <c r="CM43" t="str">
        <f t="shared" si="26"/>
        <v>0xD5F7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27"/>
        <v>0xDE18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28"/>
        <v>0x0800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29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>
        <v>1</v>
      </c>
      <c r="M44">
        <v>1</v>
      </c>
      <c r="O44">
        <v>1</v>
      </c>
      <c r="P44">
        <v>1</v>
      </c>
      <c r="S44">
        <v>1</v>
      </c>
      <c r="T44">
        <v>1</v>
      </c>
      <c r="U44">
        <v>1</v>
      </c>
      <c r="X44">
        <v>1</v>
      </c>
      <c r="AD44">
        <v>1</v>
      </c>
      <c r="AL44">
        <v>1</v>
      </c>
      <c r="AM44">
        <v>1</v>
      </c>
      <c r="AU44">
        <v>1</v>
      </c>
      <c r="CM44" t="str">
        <f t="shared" si="26"/>
        <v>0xACE4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27"/>
        <v>0x1018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28"/>
        <v>0x0800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29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>
        <v>1</v>
      </c>
      <c r="L45">
        <v>1</v>
      </c>
      <c r="N45">
        <v>1</v>
      </c>
      <c r="P45">
        <v>1</v>
      </c>
      <c r="Q45">
        <v>1</v>
      </c>
      <c r="S45">
        <v>1</v>
      </c>
      <c r="T45">
        <v>1</v>
      </c>
      <c r="U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D45">
        <v>1</v>
      </c>
      <c r="AL45">
        <v>1</v>
      </c>
      <c r="AM45">
        <v>1</v>
      </c>
      <c r="AU45">
        <v>1</v>
      </c>
      <c r="CM45" t="str">
        <f t="shared" si="26"/>
        <v>0xD6EF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27"/>
        <v>0xD018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28"/>
        <v>0x0800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29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>
        <v>1</v>
      </c>
      <c r="M46">
        <v>1</v>
      </c>
      <c r="O46">
        <v>1</v>
      </c>
      <c r="Q46">
        <v>1</v>
      </c>
      <c r="W46">
        <v>1</v>
      </c>
      <c r="Y46">
        <v>1</v>
      </c>
      <c r="AA46">
        <v>1</v>
      </c>
      <c r="AB46">
        <v>1</v>
      </c>
      <c r="AD46">
        <v>1</v>
      </c>
      <c r="AL46">
        <v>1</v>
      </c>
      <c r="AM46">
        <v>1</v>
      </c>
      <c r="AU46">
        <v>1</v>
      </c>
      <c r="CM46" t="str">
        <f t="shared" si="26"/>
        <v>0xAA0A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27"/>
        <v>0xD018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28"/>
        <v>0x0800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29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>
        <v>1</v>
      </c>
      <c r="L47">
        <v>1</v>
      </c>
      <c r="N47">
        <v>1</v>
      </c>
      <c r="P47">
        <v>1</v>
      </c>
      <c r="Q47">
        <v>1</v>
      </c>
      <c r="R47">
        <v>1</v>
      </c>
      <c r="S47">
        <v>1</v>
      </c>
      <c r="T47">
        <v>1</v>
      </c>
      <c r="U47">
        <v>1</v>
      </c>
      <c r="V47">
        <v>1</v>
      </c>
      <c r="W47">
        <v>1</v>
      </c>
      <c r="X47">
        <v>1</v>
      </c>
      <c r="Z47">
        <v>1</v>
      </c>
      <c r="AB47">
        <v>1</v>
      </c>
      <c r="AD47">
        <v>1</v>
      </c>
      <c r="AL47">
        <v>1</v>
      </c>
      <c r="AM47">
        <v>1</v>
      </c>
      <c r="AU47">
        <v>1</v>
      </c>
      <c r="CM47" t="str">
        <f t="shared" si="22"/>
        <v>0xD7FD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23"/>
        <v>0x5018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24"/>
        <v>0x0800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25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>
        <v>1</v>
      </c>
      <c r="M48">
        <v>1</v>
      </c>
      <c r="O48">
        <v>1</v>
      </c>
      <c r="Q48">
        <v>1</v>
      </c>
      <c r="S48">
        <v>1</v>
      </c>
      <c r="U48">
        <v>1</v>
      </c>
      <c r="W48">
        <v>1</v>
      </c>
      <c r="Y48">
        <v>1</v>
      </c>
      <c r="AA48">
        <v>1</v>
      </c>
      <c r="AB48">
        <v>1</v>
      </c>
      <c r="AD48">
        <v>1</v>
      </c>
      <c r="AL48">
        <v>1</v>
      </c>
      <c r="AM48">
        <v>1</v>
      </c>
      <c r="AU48">
        <v>1</v>
      </c>
      <c r="CM48" t="str">
        <f t="shared" si="22"/>
        <v>0xAAAA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23"/>
        <v>0xD018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24"/>
        <v>0x0800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25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>
        <v>1</v>
      </c>
      <c r="L49">
        <v>1</v>
      </c>
      <c r="N49">
        <v>1</v>
      </c>
      <c r="P49">
        <v>1</v>
      </c>
      <c r="R49">
        <v>1</v>
      </c>
      <c r="T49">
        <v>1</v>
      </c>
      <c r="V49">
        <v>1</v>
      </c>
      <c r="X49">
        <v>1</v>
      </c>
      <c r="Z49">
        <v>1</v>
      </c>
      <c r="AB49">
        <v>1</v>
      </c>
      <c r="AD49">
        <v>1</v>
      </c>
      <c r="AL49">
        <v>1</v>
      </c>
      <c r="AM49">
        <v>1</v>
      </c>
      <c r="AU49">
        <v>1</v>
      </c>
      <c r="CM49" t="str">
        <f t="shared" si="22"/>
        <v>0xD555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23"/>
        <v>0x5018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24"/>
        <v>0x0800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25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>
        <v>1</v>
      </c>
      <c r="M50">
        <v>1</v>
      </c>
      <c r="O50">
        <v>1</v>
      </c>
      <c r="Q50">
        <v>1</v>
      </c>
      <c r="S50">
        <v>1</v>
      </c>
      <c r="U50">
        <v>1</v>
      </c>
      <c r="W50">
        <v>1</v>
      </c>
      <c r="Y50">
        <v>1</v>
      </c>
      <c r="AA50">
        <v>1</v>
      </c>
      <c r="AB50">
        <v>1</v>
      </c>
      <c r="AD50">
        <v>1</v>
      </c>
      <c r="AL50">
        <v>1</v>
      </c>
      <c r="AM50">
        <v>1</v>
      </c>
      <c r="AU50">
        <v>1</v>
      </c>
      <c r="CM50" t="str">
        <f t="shared" si="22"/>
        <v>0xAAAA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23"/>
        <v>0xD018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24"/>
        <v>0x0800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25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>
        <v>1</v>
      </c>
      <c r="L51">
        <v>1</v>
      </c>
      <c r="M51">
        <v>1</v>
      </c>
      <c r="N51">
        <v>1</v>
      </c>
      <c r="O51">
        <v>1</v>
      </c>
      <c r="P51">
        <v>1</v>
      </c>
      <c r="Q51">
        <v>1</v>
      </c>
      <c r="R51">
        <v>1</v>
      </c>
      <c r="S51">
        <v>1</v>
      </c>
      <c r="T51">
        <v>1</v>
      </c>
      <c r="U51">
        <v>1</v>
      </c>
      <c r="V51">
        <v>1</v>
      </c>
      <c r="W51">
        <v>1</v>
      </c>
      <c r="X51">
        <v>1</v>
      </c>
      <c r="Y51">
        <v>1</v>
      </c>
      <c r="Z51">
        <v>1</v>
      </c>
      <c r="AA51">
        <v>1</v>
      </c>
      <c r="AB51">
        <v>1</v>
      </c>
      <c r="AD51">
        <v>1</v>
      </c>
      <c r="AL51">
        <v>1</v>
      </c>
      <c r="AM51">
        <v>1</v>
      </c>
      <c r="AU51">
        <v>1</v>
      </c>
      <c r="CM51" t="str">
        <f t="shared" si="22"/>
        <v>0xFFFF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23"/>
        <v>0xD018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24"/>
        <v>0x0800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25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AD52">
        <v>1</v>
      </c>
      <c r="AU52">
        <v>1</v>
      </c>
      <c r="CM52" t="str">
        <f t="shared" si="22"/>
        <v>0x0000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23"/>
        <v>0x1000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24"/>
        <v>0x0800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25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AD53">
        <v>1</v>
      </c>
      <c r="AU53">
        <v>1</v>
      </c>
      <c r="CM53" t="str">
        <f t="shared" si="22"/>
        <v>0x0000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23"/>
        <v>0x1000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24"/>
        <v>0x0800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25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AD54">
        <v>1</v>
      </c>
      <c r="AU54">
        <v>1</v>
      </c>
      <c r="CM54" t="str">
        <f t="shared" si="22"/>
        <v>0x0000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23"/>
        <v>0x1000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24"/>
        <v>0x0800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25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AD55">
        <v>1</v>
      </c>
      <c r="AE55">
        <v>1</v>
      </c>
      <c r="AF55">
        <v>1</v>
      </c>
      <c r="AG55">
        <v>1</v>
      </c>
      <c r="AH55">
        <v>1</v>
      </c>
      <c r="AI55">
        <v>1</v>
      </c>
      <c r="AJ55">
        <v>1</v>
      </c>
      <c r="AK55">
        <v>1</v>
      </c>
      <c r="AL55">
        <v>1</v>
      </c>
      <c r="AM55">
        <v>1</v>
      </c>
      <c r="AN55">
        <v>1</v>
      </c>
      <c r="AO55">
        <v>1</v>
      </c>
      <c r="AP55">
        <v>1</v>
      </c>
      <c r="AQ55">
        <v>1</v>
      </c>
      <c r="AR55">
        <v>1</v>
      </c>
      <c r="AS55">
        <v>1</v>
      </c>
      <c r="AT55">
        <v>1</v>
      </c>
      <c r="AU55">
        <v>1</v>
      </c>
      <c r="CM55" t="str">
        <f t="shared" si="22"/>
        <v>0x0000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si="23"/>
        <v>0x1FFF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24"/>
        <v>0xF800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25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CM56" t="str">
        <f t="shared" si="22"/>
        <v>0x0000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23"/>
        <v>0x0000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24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25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CM57" t="str">
        <f t="shared" si="22"/>
        <v>0x0000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23"/>
        <v>0x0000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24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25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CM58" t="str">
        <f t="shared" si="22"/>
        <v>0x0000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23"/>
        <v>0x0000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24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25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CM59" t="str">
        <f t="shared" si="22"/>
        <v>0x0000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23"/>
        <v>0x0000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24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25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CM60" t="str">
        <f t="shared" si="22"/>
        <v>0x0000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23"/>
        <v>0x0000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24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25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CM61" t="str">
        <f t="shared" si="22"/>
        <v>0x0000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23"/>
        <v>0x0000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24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25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CM62" t="str">
        <f t="shared" si="22"/>
        <v>0x0000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23"/>
        <v>0x0000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24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25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63">
        <v>61</v>
      </c>
      <c r="B63" t="e">
        <f>HEX2BIN(#REF!,8)</f>
        <v>#REF!</v>
      </c>
      <c r="C63" t="e">
        <f>HEX2BIN(#REF!,8)</f>
        <v>#REF!</v>
      </c>
      <c r="D63" t="e">
        <f>HEX2BIN(#REF!,8)</f>
        <v>#REF!</v>
      </c>
      <c r="E63" t="e">
        <f>HEX2BIN(#REF!,8)</f>
        <v>#REF!</v>
      </c>
      <c r="F63" t="e">
        <f>HEX2BIN(#REF!,8)</f>
        <v>#REF!</v>
      </c>
      <c r="G63" t="e">
        <f>HEX2BIN(#REF!,8)</f>
        <v>#REF!</v>
      </c>
      <c r="H63" t="e">
        <f>HEX2BIN(#REF!,8)</f>
        <v>#REF!</v>
      </c>
      <c r="I63" t="e">
        <f>HEX2BIN(#REF!,8)</f>
        <v>#REF!</v>
      </c>
      <c r="CM63" t="str">
        <f t="shared" si="22"/>
        <v>0x0000</v>
      </c>
      <c r="CN63" s="1" t="s">
        <v>1</v>
      </c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t="str">
        <f t="shared" si="23"/>
        <v>0x0000</v>
      </c>
      <c r="DD63" s="1" t="s">
        <v>1</v>
      </c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t="str">
        <f t="shared" si="24"/>
        <v>0x0000</v>
      </c>
      <c r="DT63" s="1" t="s">
        <v>1</v>
      </c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t="str">
        <f t="shared" si="25"/>
        <v>0x0000</v>
      </c>
      <c r="EJ63" s="1" t="s">
        <v>1</v>
      </c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</row>
    <row r="64" spans="1:154" x14ac:dyDescent="0.3">
      <c r="A64">
        <v>62</v>
      </c>
      <c r="B64" t="e">
        <f>HEX2BIN(#REF!,8)</f>
        <v>#REF!</v>
      </c>
      <c r="C64" t="e">
        <f>HEX2BIN(#REF!,8)</f>
        <v>#REF!</v>
      </c>
      <c r="D64" t="e">
        <f>HEX2BIN(#REF!,8)</f>
        <v>#REF!</v>
      </c>
      <c r="E64" t="e">
        <f>HEX2BIN(#REF!,8)</f>
        <v>#REF!</v>
      </c>
      <c r="F64" t="e">
        <f>HEX2BIN(#REF!,8)</f>
        <v>#REF!</v>
      </c>
      <c r="G64" t="e">
        <f>HEX2BIN(#REF!,8)</f>
        <v>#REF!</v>
      </c>
      <c r="H64" t="e">
        <f>HEX2BIN(#REF!,8)</f>
        <v>#REF!</v>
      </c>
      <c r="I64" t="e">
        <f>HEX2BIN(#REF!,8)</f>
        <v>#REF!</v>
      </c>
      <c r="CM64" t="str">
        <f t="shared" si="22"/>
        <v>0x0000</v>
      </c>
      <c r="CN64" s="1" t="s">
        <v>1</v>
      </c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t="str">
        <f t="shared" si="23"/>
        <v>0x0000</v>
      </c>
      <c r="DD64" s="1" t="s">
        <v>1</v>
      </c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t="str">
        <f t="shared" si="24"/>
        <v>0x0000</v>
      </c>
      <c r="DT64" s="1" t="s">
        <v>1</v>
      </c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t="str">
        <f t="shared" si="25"/>
        <v>0x0000</v>
      </c>
      <c r="EJ64" s="1" t="s">
        <v>1</v>
      </c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</row>
    <row r="65" spans="1:154" x14ac:dyDescent="0.3">
      <c r="A65">
        <v>63</v>
      </c>
      <c r="B65" t="e">
        <f>HEX2BIN(#REF!,8)</f>
        <v>#REF!</v>
      </c>
      <c r="C65" t="e">
        <f>HEX2BIN(#REF!,8)</f>
        <v>#REF!</v>
      </c>
      <c r="D65" t="e">
        <f>HEX2BIN(#REF!,8)</f>
        <v>#REF!</v>
      </c>
      <c r="E65" t="e">
        <f>HEX2BIN(#REF!,8)</f>
        <v>#REF!</v>
      </c>
      <c r="F65" t="e">
        <f>HEX2BIN(#REF!,8)</f>
        <v>#REF!</v>
      </c>
      <c r="G65" t="e">
        <f>HEX2BIN(#REF!,8)</f>
        <v>#REF!</v>
      </c>
      <c r="H65" t="e">
        <f>HEX2BIN(#REF!,8)</f>
        <v>#REF!</v>
      </c>
      <c r="I65" t="e">
        <f>HEX2BIN(#REF!,8)</f>
        <v>#REF!</v>
      </c>
      <c r="CM65" t="str">
        <f t="shared" si="22"/>
        <v>0x0000</v>
      </c>
      <c r="CN65" s="1" t="s">
        <v>1</v>
      </c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t="str">
        <f t="shared" si="23"/>
        <v>0x0000</v>
      </c>
      <c r="DD65" s="1" t="s">
        <v>1</v>
      </c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t="str">
        <f t="shared" si="24"/>
        <v>0x0000</v>
      </c>
      <c r="DT65" s="1" t="s">
        <v>1</v>
      </c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t="str">
        <f t="shared" si="25"/>
        <v>0x0000</v>
      </c>
      <c r="EJ65" s="1" t="s">
        <v>1</v>
      </c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</row>
    <row r="66" spans="1:154" x14ac:dyDescent="0.3">
      <c r="A66">
        <v>64</v>
      </c>
      <c r="B66" t="e">
        <f>HEX2BIN(#REF!,8)</f>
        <v>#REF!</v>
      </c>
      <c r="C66" t="e">
        <f>HEX2BIN(#REF!,8)</f>
        <v>#REF!</v>
      </c>
      <c r="D66" t="e">
        <f>HEX2BIN(#REF!,8)</f>
        <v>#REF!</v>
      </c>
      <c r="E66" t="e">
        <f>HEX2BIN(#REF!,8)</f>
        <v>#REF!</v>
      </c>
      <c r="F66" t="e">
        <f>HEX2BIN(#REF!,8)</f>
        <v>#REF!</v>
      </c>
      <c r="G66" t="e">
        <f>HEX2BIN(#REF!,8)</f>
        <v>#REF!</v>
      </c>
      <c r="H66" t="e">
        <f>HEX2BIN(#REF!,8)</f>
        <v>#REF!</v>
      </c>
      <c r="I66" t="e">
        <f>HEX2BIN(#REF!,8)</f>
        <v>#REF!</v>
      </c>
      <c r="CM66" t="str">
        <f t="shared" si="22"/>
        <v>0x0000</v>
      </c>
      <c r="CN66" s="1" t="s">
        <v>1</v>
      </c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t="str">
        <f t="shared" si="23"/>
        <v>0x0000</v>
      </c>
      <c r="DD66" s="1" t="s">
        <v>1</v>
      </c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t="str">
        <f t="shared" si="24"/>
        <v>0x0000</v>
      </c>
      <c r="DT66" s="1" t="s">
        <v>1</v>
      </c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t="str">
        <f t="shared" si="25"/>
        <v>0x0000</v>
      </c>
      <c r="EJ66" s="1" t="s">
        <v>1</v>
      </c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</row>
  </sheetData>
  <conditionalFormatting sqref="BE63:BM68">
    <cfRule type="expression" dxfId="82" priority="36">
      <formula>BE63=""</formula>
    </cfRule>
    <cfRule type="expression" dxfId="81" priority="37">
      <formula>BE63&lt;&gt;""</formula>
    </cfRule>
  </conditionalFormatting>
  <conditionalFormatting sqref="AN59:AV64 AN56:AN61">
    <cfRule type="expression" dxfId="80" priority="34">
      <formula>AN56=""</formula>
    </cfRule>
    <cfRule type="expression" dxfId="79" priority="35">
      <formula>AN56&lt;&gt;""</formula>
    </cfRule>
  </conditionalFormatting>
  <conditionalFormatting sqref="AN53:AV58 AQ56:AT61 AN50:AN55 AM50:AM52 AH35:AJ42 AQ26:AU34 AG28:AG43 AH26:AU27 AF26:AP28 AN42:AQ52 AO35:AU52 AI36:AJ43 AP27:AQ35 AI29:AP29">
    <cfRule type="expression" dxfId="78" priority="32">
      <formula>AF26=""</formula>
    </cfRule>
    <cfRule type="expression" dxfId="77" priority="33">
      <formula>AF26&lt;&gt;""</formula>
    </cfRule>
  </conditionalFormatting>
  <conditionalFormatting sqref="AQ26:AU55 AG28:AG43 AH26:AU27 AM47:AV52 AH35:AK42 AJ28:AQ28 AI36:AK43 AP27:AQ52 AI29:AQ29 AI28:AI36 AF28:AF42 AE26:AP28">
    <cfRule type="expression" dxfId="76" priority="30">
      <formula>AE26=""</formula>
    </cfRule>
    <cfRule type="expression" dxfId="75" priority="31">
      <formula>AE26&lt;&gt;""</formula>
    </cfRule>
  </conditionalFormatting>
  <conditionalFormatting sqref="AQ41:AV46 AQ44:AU49 AQ26:AU41 AG28:AG43 AH26:AU27 AH35:AJ42 AJ28:AQ28 AI36:AJ43 AP27:AQ49 AI29:AQ29 AI28:AI36 AF28:AF42 AE26:AP28">
    <cfRule type="expression" dxfId="74" priority="28">
      <formula>AE26=""</formula>
    </cfRule>
    <cfRule type="expression" dxfId="73" priority="29">
      <formula>AE26&lt;&gt;""</formula>
    </cfRule>
  </conditionalFormatting>
  <conditionalFormatting sqref="AR35:AV40 AQ26:AU43 AG28:AG43 AH26:AU27 AH35:AJ42 AJ28:AQ28 AI36:AJ43 AP27:AQ43 AI29:AQ29 AI28:AI36 AF28:AF42 AE26:AP28">
    <cfRule type="expression" dxfId="72" priority="26">
      <formula>AE26=""</formula>
    </cfRule>
    <cfRule type="expression" dxfId="71" priority="27">
      <formula>AE26&lt;&gt;""</formula>
    </cfRule>
  </conditionalFormatting>
  <conditionalFormatting sqref="AR29:AV34 AQ26:AU37 AG28:AG43 AH26:AU27 AH35:AJ42 AJ28:AQ28 AI36:AJ43 AP27:AQ38 AI29:AQ29 AI28:AI36 AF28:AF42 AE26:AP28">
    <cfRule type="expression" dxfId="70" priority="24">
      <formula>AE26=""</formula>
    </cfRule>
    <cfRule type="expression" dxfId="69" priority="25">
      <formula>AE26&lt;&gt;""</formula>
    </cfRule>
  </conditionalFormatting>
  <conditionalFormatting sqref="CD63:CL66 BW3:CL62">
    <cfRule type="expression" dxfId="68" priority="22">
      <formula>BW3=""</formula>
    </cfRule>
    <cfRule type="expression" dxfId="67" priority="23">
      <formula>BW3&lt;&gt;""</formula>
    </cfRule>
  </conditionalFormatting>
  <conditionalFormatting sqref="BW63:CC68">
    <cfRule type="expression" dxfId="66" priority="20">
      <formula>BW63=""</formula>
    </cfRule>
    <cfRule type="expression" dxfId="65" priority="21">
      <formula>BW63&lt;&gt;""</formula>
    </cfRule>
  </conditionalFormatting>
  <conditionalFormatting sqref="K3:CL66">
    <cfRule type="expression" dxfId="64" priority="19">
      <formula>AND(K3&lt;&gt;1,K3&lt;&gt;"")</formula>
    </cfRule>
    <cfRule type="expression" dxfId="63" priority="38">
      <formula>K3=""</formula>
    </cfRule>
    <cfRule type="expression" dxfId="62" priority="39">
      <formula>K3=1</formula>
    </cfRule>
  </conditionalFormatting>
  <conditionalFormatting sqref="AI35:AI43">
    <cfRule type="expression" dxfId="61" priority="17">
      <formula>AI35=""</formula>
    </cfRule>
    <cfRule type="expression" dxfId="60" priority="18">
      <formula>AI35&lt;&gt;""</formula>
    </cfRule>
  </conditionalFormatting>
  <conditionalFormatting sqref="AI35:AI43">
    <cfRule type="expression" dxfId="59" priority="15">
      <formula>AI35=""</formula>
    </cfRule>
    <cfRule type="expression" dxfId="58" priority="16">
      <formula>AI35&lt;&gt;""</formula>
    </cfRule>
  </conditionalFormatting>
  <conditionalFormatting sqref="AI35:AI43">
    <cfRule type="expression" dxfId="57" priority="13">
      <formula>AI35=""</formula>
    </cfRule>
    <cfRule type="expression" dxfId="56" priority="14">
      <formula>AI35&lt;&gt;""</formula>
    </cfRule>
  </conditionalFormatting>
  <conditionalFormatting sqref="AJ35:AJ43">
    <cfRule type="expression" dxfId="55" priority="11">
      <formula>AJ35=""</formula>
    </cfRule>
    <cfRule type="expression" dxfId="54" priority="12">
      <formula>AJ35&lt;&gt;""</formula>
    </cfRule>
  </conditionalFormatting>
  <conditionalFormatting sqref="AJ35:AJ43">
    <cfRule type="expression" dxfId="53" priority="9">
      <formula>AJ35=""</formula>
    </cfRule>
    <cfRule type="expression" dxfId="52" priority="10">
      <formula>AJ35&lt;&gt;""</formula>
    </cfRule>
  </conditionalFormatting>
  <conditionalFormatting sqref="AJ35:AJ43">
    <cfRule type="expression" dxfId="51" priority="7">
      <formula>AJ35=""</formula>
    </cfRule>
    <cfRule type="expression" dxfId="50" priority="8">
      <formula>AJ35&lt;&gt;""</formula>
    </cfRule>
  </conditionalFormatting>
  <conditionalFormatting sqref="AI35:AI43">
    <cfRule type="expression" dxfId="49" priority="5">
      <formula>AI35=""</formula>
    </cfRule>
    <cfRule type="expression" dxfId="48" priority="6">
      <formula>AI35&lt;&gt;""</formula>
    </cfRule>
  </conditionalFormatting>
  <conditionalFormatting sqref="AI35:AI43">
    <cfRule type="expression" dxfId="47" priority="3">
      <formula>AI35=""</formula>
    </cfRule>
    <cfRule type="expression" dxfId="46" priority="4">
      <formula>AI35&lt;&gt;""</formula>
    </cfRule>
  </conditionalFormatting>
  <conditionalFormatting sqref="AI35:AI43">
    <cfRule type="expression" dxfId="45" priority="1">
      <formula>AI35=""</formula>
    </cfRule>
    <cfRule type="expression" dxfId="44" priority="2">
      <formula>AI35&lt;&gt;""</formula>
    </cfRule>
  </conditionalFormatting>
  <pageMargins left="0.7" right="0.7" top="0.75" bottom="0.75" header="0.3" footer="0.3"/>
  <pageSetup orientation="portrait" copies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AF35F-CC3C-4449-BE4B-85F3426EB622}">
  <sheetPr codeName="Sheet5"/>
  <dimension ref="A1:EX63"/>
  <sheetViews>
    <sheetView zoomScale="70" zoomScaleNormal="70" workbookViewId="0">
      <selection activeCell="AM11" sqref="AM11"/>
    </sheetView>
  </sheetViews>
  <sheetFormatPr defaultRowHeight="12.4" x14ac:dyDescent="0.3"/>
  <cols>
    <col min="2" max="9" width="0" hidden="1" customWidth="1"/>
    <col min="10" max="10" width="2.64453125" customWidth="1"/>
    <col min="11" max="90" width="2.1171875" customWidth="1"/>
    <col min="92" max="92" width="1.1171875" customWidth="1"/>
    <col min="93" max="106" width="1.1171875" hidden="1" customWidth="1"/>
    <col min="108" max="108" width="1.1171875" customWidth="1"/>
    <col min="109" max="122" width="1.1171875" hidden="1" customWidth="1"/>
    <col min="123" max="123" width="9" customWidth="1"/>
    <col min="124" max="124" width="1.1171875" customWidth="1"/>
    <col min="125" max="138" width="1.1171875" hidden="1" customWidth="1"/>
    <col min="139" max="139" width="9" customWidth="1"/>
    <col min="140" max="140" width="1.1171875" customWidth="1"/>
    <col min="141" max="154" width="1.1171875" hidden="1" customWidth="1"/>
    <col min="155" max="155" width="9" customWidth="1"/>
  </cols>
  <sheetData>
    <row r="1" spans="1:154" s="2" customFormat="1" ht="42.75" customHeight="1" x14ac:dyDescent="0.3">
      <c r="K1" s="2">
        <f t="shared" ref="K1:X1" si="0">L1*2</f>
        <v>32768</v>
      </c>
      <c r="L1" s="2">
        <f t="shared" si="0"/>
        <v>16384</v>
      </c>
      <c r="M1" s="2">
        <f t="shared" si="0"/>
        <v>8192</v>
      </c>
      <c r="N1" s="2">
        <f t="shared" si="0"/>
        <v>4096</v>
      </c>
      <c r="O1" s="2">
        <f t="shared" si="0"/>
        <v>2048</v>
      </c>
      <c r="P1" s="2">
        <f t="shared" si="0"/>
        <v>1024</v>
      </c>
      <c r="Q1" s="2">
        <f t="shared" si="0"/>
        <v>512</v>
      </c>
      <c r="R1" s="2">
        <f t="shared" si="0"/>
        <v>256</v>
      </c>
      <c r="S1" s="2">
        <f t="shared" si="0"/>
        <v>128</v>
      </c>
      <c r="T1" s="2">
        <f t="shared" si="0"/>
        <v>64</v>
      </c>
      <c r="U1" s="2">
        <f t="shared" si="0"/>
        <v>32</v>
      </c>
      <c r="V1" s="2">
        <f t="shared" si="0"/>
        <v>16</v>
      </c>
      <c r="W1" s="2">
        <f t="shared" si="0"/>
        <v>8</v>
      </c>
      <c r="X1" s="2">
        <f t="shared" si="0"/>
        <v>4</v>
      </c>
      <c r="Y1" s="2">
        <f>Z1*2</f>
        <v>2</v>
      </c>
      <c r="Z1" s="2">
        <v>1</v>
      </c>
      <c r="AA1" s="2">
        <f t="shared" ref="AA1:AN1" si="1">AB1*2</f>
        <v>32768</v>
      </c>
      <c r="AB1" s="2">
        <f t="shared" si="1"/>
        <v>16384</v>
      </c>
      <c r="AC1" s="2">
        <f t="shared" si="1"/>
        <v>8192</v>
      </c>
      <c r="AD1" s="2">
        <f t="shared" si="1"/>
        <v>4096</v>
      </c>
      <c r="AE1" s="2">
        <f t="shared" si="1"/>
        <v>2048</v>
      </c>
      <c r="AF1" s="2">
        <f t="shared" si="1"/>
        <v>1024</v>
      </c>
      <c r="AG1" s="2">
        <f t="shared" si="1"/>
        <v>512</v>
      </c>
      <c r="AH1" s="2">
        <f t="shared" si="1"/>
        <v>256</v>
      </c>
      <c r="AI1" s="2">
        <f t="shared" si="1"/>
        <v>128</v>
      </c>
      <c r="AJ1" s="2">
        <f t="shared" si="1"/>
        <v>64</v>
      </c>
      <c r="AK1" s="2">
        <f t="shared" si="1"/>
        <v>32</v>
      </c>
      <c r="AL1" s="2">
        <f t="shared" si="1"/>
        <v>16</v>
      </c>
      <c r="AM1" s="2">
        <f t="shared" si="1"/>
        <v>8</v>
      </c>
      <c r="AN1" s="2">
        <f t="shared" si="1"/>
        <v>4</v>
      </c>
      <c r="AO1" s="2">
        <f>AP1*2</f>
        <v>2</v>
      </c>
      <c r="AP1" s="2">
        <v>1</v>
      </c>
      <c r="AQ1" s="2">
        <f t="shared" ref="AQ1:BD1" si="2">AR1*2</f>
        <v>32768</v>
      </c>
      <c r="AR1" s="2">
        <f t="shared" si="2"/>
        <v>16384</v>
      </c>
      <c r="AS1" s="2">
        <f t="shared" si="2"/>
        <v>8192</v>
      </c>
      <c r="AT1" s="2">
        <f t="shared" si="2"/>
        <v>4096</v>
      </c>
      <c r="AU1" s="2">
        <f t="shared" si="2"/>
        <v>2048</v>
      </c>
      <c r="AV1" s="2">
        <f t="shared" si="2"/>
        <v>1024</v>
      </c>
      <c r="AW1" s="2">
        <f t="shared" si="2"/>
        <v>512</v>
      </c>
      <c r="AX1" s="2">
        <f t="shared" si="2"/>
        <v>256</v>
      </c>
      <c r="AY1" s="2">
        <f t="shared" si="2"/>
        <v>128</v>
      </c>
      <c r="AZ1" s="2">
        <f t="shared" si="2"/>
        <v>64</v>
      </c>
      <c r="BA1" s="2">
        <f t="shared" si="2"/>
        <v>32</v>
      </c>
      <c r="BB1" s="2">
        <f t="shared" si="2"/>
        <v>16</v>
      </c>
      <c r="BC1" s="2">
        <f t="shared" si="2"/>
        <v>8</v>
      </c>
      <c r="BD1" s="2">
        <f t="shared" si="2"/>
        <v>4</v>
      </c>
      <c r="BE1" s="2">
        <f>BF1*2</f>
        <v>2</v>
      </c>
      <c r="BF1" s="2">
        <v>1</v>
      </c>
      <c r="BG1" s="2">
        <f t="shared" ref="BG1:BT1" si="3">BH1*2</f>
        <v>32768</v>
      </c>
      <c r="BH1" s="2">
        <f t="shared" si="3"/>
        <v>16384</v>
      </c>
      <c r="BI1" s="2">
        <f t="shared" si="3"/>
        <v>8192</v>
      </c>
      <c r="BJ1" s="2">
        <f t="shared" si="3"/>
        <v>4096</v>
      </c>
      <c r="BK1" s="2">
        <f t="shared" si="3"/>
        <v>2048</v>
      </c>
      <c r="BL1" s="2">
        <f t="shared" si="3"/>
        <v>1024</v>
      </c>
      <c r="BM1" s="2">
        <f t="shared" si="3"/>
        <v>512</v>
      </c>
      <c r="BN1" s="2">
        <f t="shared" si="3"/>
        <v>256</v>
      </c>
      <c r="BO1" s="2">
        <f t="shared" si="3"/>
        <v>128</v>
      </c>
      <c r="BP1" s="2">
        <f t="shared" si="3"/>
        <v>64</v>
      </c>
      <c r="BQ1" s="2">
        <f t="shared" si="3"/>
        <v>32</v>
      </c>
      <c r="BR1" s="2">
        <f t="shared" si="3"/>
        <v>16</v>
      </c>
      <c r="BS1" s="2">
        <f t="shared" si="3"/>
        <v>8</v>
      </c>
      <c r="BT1" s="2">
        <f t="shared" si="3"/>
        <v>4</v>
      </c>
      <c r="BU1" s="2">
        <f>BV1*2</f>
        <v>2</v>
      </c>
      <c r="BV1" s="2">
        <v>1</v>
      </c>
      <c r="BW1" s="2">
        <f t="shared" ref="BW1:CJ1" si="4">BX1*2</f>
        <v>32768</v>
      </c>
      <c r="BX1" s="2">
        <f t="shared" si="4"/>
        <v>16384</v>
      </c>
      <c r="BY1" s="2">
        <f t="shared" si="4"/>
        <v>8192</v>
      </c>
      <c r="BZ1" s="2">
        <f t="shared" si="4"/>
        <v>4096</v>
      </c>
      <c r="CA1" s="2">
        <f t="shared" si="4"/>
        <v>2048</v>
      </c>
      <c r="CB1" s="2">
        <f t="shared" si="4"/>
        <v>1024</v>
      </c>
      <c r="CC1" s="2">
        <f t="shared" si="4"/>
        <v>512</v>
      </c>
      <c r="CD1" s="2">
        <f t="shared" si="4"/>
        <v>256</v>
      </c>
      <c r="CE1" s="2">
        <f t="shared" si="4"/>
        <v>128</v>
      </c>
      <c r="CF1" s="2">
        <f t="shared" si="4"/>
        <v>64</v>
      </c>
      <c r="CG1" s="2">
        <f t="shared" si="4"/>
        <v>32</v>
      </c>
      <c r="CH1" s="2">
        <f t="shared" si="4"/>
        <v>16</v>
      </c>
      <c r="CI1" s="2">
        <f t="shared" si="4"/>
        <v>8</v>
      </c>
      <c r="CJ1" s="2">
        <f t="shared" si="4"/>
        <v>4</v>
      </c>
      <c r="CK1" s="2">
        <f>CL1*2</f>
        <v>2</v>
      </c>
      <c r="CL1" s="2">
        <v>1</v>
      </c>
    </row>
    <row r="2" spans="1:154" ht="17.649999999999999" x14ac:dyDescent="0.3">
      <c r="K2" s="2">
        <v>1</v>
      </c>
      <c r="L2" s="2">
        <v>2</v>
      </c>
      <c r="M2" s="2">
        <v>3</v>
      </c>
      <c r="N2" s="2">
        <v>4</v>
      </c>
      <c r="O2" s="2">
        <v>5</v>
      </c>
      <c r="P2" s="2">
        <v>6</v>
      </c>
      <c r="Q2" s="2">
        <v>7</v>
      </c>
      <c r="R2" s="2">
        <v>8</v>
      </c>
      <c r="S2" s="2">
        <v>9</v>
      </c>
      <c r="T2" s="2">
        <v>10</v>
      </c>
      <c r="U2" s="2">
        <v>11</v>
      </c>
      <c r="V2" s="2">
        <v>12</v>
      </c>
      <c r="W2" s="2">
        <v>13</v>
      </c>
      <c r="X2" s="2">
        <v>14</v>
      </c>
      <c r="Y2" s="2">
        <v>15</v>
      </c>
      <c r="Z2" s="2">
        <v>16</v>
      </c>
      <c r="AA2" s="2">
        <v>17</v>
      </c>
      <c r="AB2" s="2">
        <v>18</v>
      </c>
      <c r="AC2" s="2">
        <v>19</v>
      </c>
      <c r="AD2" s="2">
        <v>20</v>
      </c>
      <c r="AE2" s="2">
        <v>21</v>
      </c>
      <c r="AF2" s="2">
        <v>22</v>
      </c>
      <c r="AG2" s="2">
        <v>23</v>
      </c>
      <c r="AH2" s="2">
        <v>24</v>
      </c>
      <c r="AI2" s="2">
        <v>25</v>
      </c>
      <c r="AJ2" s="2">
        <v>26</v>
      </c>
      <c r="AK2" s="2">
        <v>27</v>
      </c>
      <c r="AL2" s="2">
        <v>28</v>
      </c>
      <c r="AM2" s="2">
        <v>29</v>
      </c>
      <c r="AN2" s="2">
        <v>30</v>
      </c>
      <c r="AO2" s="2">
        <v>31</v>
      </c>
      <c r="AP2" s="2">
        <v>32</v>
      </c>
      <c r="AQ2" s="2">
        <v>33</v>
      </c>
      <c r="AR2" s="2">
        <v>34</v>
      </c>
      <c r="AS2" s="2">
        <v>35</v>
      </c>
      <c r="AT2" s="2">
        <v>36</v>
      </c>
      <c r="AU2" s="2">
        <v>37</v>
      </c>
      <c r="AV2" s="2">
        <v>38</v>
      </c>
      <c r="AW2" s="2">
        <v>39</v>
      </c>
      <c r="AX2" s="2">
        <v>40</v>
      </c>
      <c r="AY2" s="2">
        <v>41</v>
      </c>
      <c r="AZ2" s="2">
        <v>42</v>
      </c>
      <c r="BA2" s="2">
        <v>43</v>
      </c>
      <c r="BB2" s="2">
        <v>44</v>
      </c>
      <c r="BC2" s="2">
        <v>45</v>
      </c>
      <c r="BD2" s="2">
        <v>46</v>
      </c>
      <c r="BE2" s="2">
        <v>47</v>
      </c>
      <c r="BF2" s="2">
        <v>48</v>
      </c>
      <c r="BG2" s="2">
        <v>49</v>
      </c>
      <c r="BH2" s="2">
        <v>50</v>
      </c>
      <c r="BI2" s="2">
        <v>51</v>
      </c>
      <c r="BJ2" s="2">
        <v>52</v>
      </c>
      <c r="BK2" s="2">
        <v>53</v>
      </c>
      <c r="BL2" s="2">
        <v>54</v>
      </c>
      <c r="BM2" s="2">
        <v>55</v>
      </c>
      <c r="BN2" s="2">
        <v>56</v>
      </c>
      <c r="BO2" s="2">
        <v>57</v>
      </c>
      <c r="BP2" s="2">
        <v>58</v>
      </c>
      <c r="BQ2" s="2">
        <v>59</v>
      </c>
      <c r="BR2" s="2">
        <v>60</v>
      </c>
      <c r="BS2" s="2">
        <v>61</v>
      </c>
      <c r="BT2" s="2">
        <v>62</v>
      </c>
      <c r="BU2" s="2">
        <v>63</v>
      </c>
      <c r="BV2" s="2">
        <v>64</v>
      </c>
      <c r="BW2" s="2">
        <v>49</v>
      </c>
      <c r="BX2" s="2">
        <v>50</v>
      </c>
      <c r="BY2" s="2">
        <v>51</v>
      </c>
      <c r="BZ2" s="2">
        <v>52</v>
      </c>
      <c r="CA2" s="2">
        <v>53</v>
      </c>
      <c r="CB2" s="2">
        <v>54</v>
      </c>
      <c r="CC2" s="2">
        <v>55</v>
      </c>
      <c r="CD2" s="2">
        <v>56</v>
      </c>
      <c r="CE2" s="2">
        <v>57</v>
      </c>
      <c r="CF2" s="2">
        <v>58</v>
      </c>
      <c r="CG2" s="2">
        <v>59</v>
      </c>
      <c r="CH2" s="2">
        <v>60</v>
      </c>
      <c r="CI2" s="2">
        <v>61</v>
      </c>
      <c r="CJ2" s="2">
        <v>62</v>
      </c>
      <c r="CK2" s="2">
        <v>63</v>
      </c>
      <c r="CL2" s="2">
        <v>64</v>
      </c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</row>
    <row r="3" spans="1:154" x14ac:dyDescent="0.3">
      <c r="A3">
        <v>1</v>
      </c>
      <c r="B3" t="e">
        <f>HEX2BIN(#REF!,8)</f>
        <v>#REF!</v>
      </c>
      <c r="C3" t="e">
        <f>HEX2BIN(#REF!,8)</f>
        <v>#REF!</v>
      </c>
      <c r="D3" t="e">
        <f>HEX2BIN(#REF!,8)</f>
        <v>#REF!</v>
      </c>
      <c r="E3" t="e">
        <f>HEX2BIN(#REF!,8)</f>
        <v>#REF!</v>
      </c>
      <c r="F3" t="e">
        <f>HEX2BIN(#REF!,8)</f>
        <v>#REF!</v>
      </c>
      <c r="G3" t="e">
        <f>HEX2BIN(#REF!,8)</f>
        <v>#REF!</v>
      </c>
      <c r="H3" t="e">
        <f>HEX2BIN(#REF!,8)</f>
        <v>#REF!</v>
      </c>
      <c r="I3" t="e">
        <f>HEX2BIN(#REF!,8)</f>
        <v>#REF!</v>
      </c>
      <c r="K3" s="31"/>
      <c r="L3" s="31">
        <v>1</v>
      </c>
      <c r="M3" s="31">
        <v>1</v>
      </c>
      <c r="N3" s="31">
        <v>1</v>
      </c>
      <c r="O3" s="31">
        <v>1</v>
      </c>
      <c r="P3" s="31">
        <v>1</v>
      </c>
      <c r="Q3" s="31">
        <v>1</v>
      </c>
      <c r="R3" s="31">
        <v>1</v>
      </c>
      <c r="S3" s="31">
        <v>1</v>
      </c>
      <c r="T3" s="31">
        <v>1</v>
      </c>
      <c r="U3" s="31">
        <v>1</v>
      </c>
      <c r="V3" s="31">
        <v>1</v>
      </c>
      <c r="W3" s="31">
        <v>1</v>
      </c>
      <c r="X3" s="31">
        <v>1</v>
      </c>
      <c r="Y3" s="31">
        <v>1</v>
      </c>
      <c r="Z3" s="31">
        <v>1</v>
      </c>
      <c r="AA3" s="31">
        <v>1</v>
      </c>
      <c r="AB3" s="31">
        <v>1</v>
      </c>
      <c r="AC3" s="31">
        <v>1</v>
      </c>
      <c r="AD3" s="41">
        <v>1</v>
      </c>
      <c r="AE3" s="41">
        <v>1</v>
      </c>
      <c r="CM3" t="str">
        <f t="shared" ref="CM3:CM22" si="5">CONCATENATE("0x",DEC2HEX(Z3*Z$1+Y3*Y$1+X3*X$1+W3*W$1+V3*V$1+U3*U$1+T3*T$1+S3*S$1+R3*R$1+Q3*Q$1+P3*P$1+O3*O$1+N3*N$1+M3*M$1+L3*L$1+K3*K$1,4))</f>
        <v>0x7FFF</v>
      </c>
      <c r="CN3" s="1" t="s">
        <v>1</v>
      </c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t="str">
        <f t="shared" ref="DC3:DC22" si="6">CONCATENATE("0x",DEC2HEX(AP3*AP$1+AO3*AO$1+AN3*AN$1+AM3*AM$1+AL3*AL$1+AK3*AK$1+AJ3*AJ$1+AI3*AI$1+AH3*AH$1+AG3*AG$1+AF3*AF$1+AE3*AE$1+AD3*AD$1+AC3*AC$1+AB3*AB$1+AA3*AA$1,4))</f>
        <v>0xF800</v>
      </c>
      <c r="DD3" s="1" t="s">
        <v>1</v>
      </c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t="str">
        <f>CONCATENATE("0x",DEC2HEX(BF3*BF$1+BE3*BE$1+BD3*BD$1+BC3*BC$1+BB3*BB$1+BA3*BA$1+AZ3*AZ$1+AY3*AY$1+AX3*AX$1+AW3*AW$1+AV3*AV$1+AU3*AU$1+AT3*AT$1+AS3*AS$1+AR3*AR$1+AQ3*AQ$1,4))</f>
        <v>0x0000</v>
      </c>
      <c r="DT3" s="1" t="s">
        <v>1</v>
      </c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t="str">
        <f>CONCATENATE("0x",DEC2HEX(BV3*BV$1+BU3*BU$1+BT3*BT$1+BS3*BS$1+BR3*BR$1+BQ3*BQ$1+BP3*BP$1+BO3*BO$1+BN3*BN$1+BM3*BM$1+BL3*BL$1+BK3*BK$1+BJ3*BJ$1+BI3*BI$1+BH3*BH$1+BG3*BG$1,4))</f>
        <v>0x0000</v>
      </c>
      <c r="EJ3" s="1" t="s">
        <v>1</v>
      </c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</row>
    <row r="4" spans="1:154" x14ac:dyDescent="0.3">
      <c r="A4">
        <v>2</v>
      </c>
      <c r="B4" t="e">
        <f>HEX2BIN(#REF!,8)</f>
        <v>#REF!</v>
      </c>
      <c r="C4" t="e">
        <f>HEX2BIN(#REF!,8)</f>
        <v>#REF!</v>
      </c>
      <c r="D4" t="e">
        <f>HEX2BIN(#REF!,8)</f>
        <v>#REF!</v>
      </c>
      <c r="E4" t="e">
        <f>HEX2BIN(#REF!,8)</f>
        <v>#REF!</v>
      </c>
      <c r="F4" t="e">
        <f>HEX2BIN(#REF!,8)</f>
        <v>#REF!</v>
      </c>
      <c r="G4" t="e">
        <f>HEX2BIN(#REF!,8)</f>
        <v>#REF!</v>
      </c>
      <c r="H4" t="e">
        <f>HEX2BIN(#REF!,8)</f>
        <v>#REF!</v>
      </c>
      <c r="I4" t="e">
        <f>HEX2BIN(#REF!,8)</f>
        <v>#REF!</v>
      </c>
      <c r="K4" s="41"/>
      <c r="L4" s="41">
        <v>1</v>
      </c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>
        <v>1</v>
      </c>
      <c r="CM4" t="str">
        <f t="shared" si="5"/>
        <v>0x4000</v>
      </c>
      <c r="CN4" s="1" t="s">
        <v>1</v>
      </c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t="str">
        <f t="shared" si="6"/>
        <v>0x0800</v>
      </c>
      <c r="DD4" s="1" t="s">
        <v>1</v>
      </c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t="str">
        <f t="shared" ref="DS4:DS62" si="7">CONCATENATE("0x",DEC2HEX(BF4*BF$1+BE4*BE$1+BD4*BD$1+BC4*BC$1+BB4*BB$1+BA4*BA$1+AZ4*AZ$1+AY4*AY$1+AX4*AX$1+AW4*AW$1+AV4*AV$1+AU4*AU$1+AT4*AT$1+AS4*AS$1+AR4*AR$1+AQ4*AQ$1,4))</f>
        <v>0x0000</v>
      </c>
      <c r="DT4" s="1" t="s">
        <v>1</v>
      </c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t="str">
        <f t="shared" ref="EI4:EI62" si="8">CONCATENATE("0x",DEC2HEX(BV4*BV$1+BU4*BU$1+BT4*BT$1+BS4*BS$1+BR4*BR$1+BQ4*BQ$1+BP4*BP$1+BO4*BO$1+BN4*BN$1+BM4*BM$1+BL4*BL$1+BK4*BK$1+BJ4*BJ$1+BI4*BI$1+BH4*BH$1+BG4*BG$1,4))</f>
        <v>0x0000</v>
      </c>
      <c r="EJ4" s="1" t="s">
        <v>1</v>
      </c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</row>
    <row r="5" spans="1:154" x14ac:dyDescent="0.3">
      <c r="A5">
        <v>3</v>
      </c>
      <c r="B5" t="e">
        <f>HEX2BIN(#REF!,8)</f>
        <v>#REF!</v>
      </c>
      <c r="C5" t="e">
        <f>HEX2BIN(#REF!,8)</f>
        <v>#REF!</v>
      </c>
      <c r="D5" t="e">
        <f>HEX2BIN(#REF!,8)</f>
        <v>#REF!</v>
      </c>
      <c r="E5" t="e">
        <f>HEX2BIN(#REF!,8)</f>
        <v>#REF!</v>
      </c>
      <c r="F5" t="e">
        <f>HEX2BIN(#REF!,8)</f>
        <v>#REF!</v>
      </c>
      <c r="G5" t="e">
        <f>HEX2BIN(#REF!,8)</f>
        <v>#REF!</v>
      </c>
      <c r="H5" t="e">
        <f>HEX2BIN(#REF!,8)</f>
        <v>#REF!</v>
      </c>
      <c r="I5" t="e">
        <f>HEX2BIN(#REF!,8)</f>
        <v>#REF!</v>
      </c>
      <c r="K5" s="41"/>
      <c r="L5" s="41">
        <v>1</v>
      </c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>
        <v>1</v>
      </c>
      <c r="CM5" t="str">
        <f t="shared" si="5"/>
        <v>0x4000</v>
      </c>
      <c r="CN5" s="1" t="s">
        <v>1</v>
      </c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t="str">
        <f t="shared" si="6"/>
        <v>0x0800</v>
      </c>
      <c r="DD5" s="1" t="s">
        <v>1</v>
      </c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t="str">
        <f t="shared" si="7"/>
        <v>0x0000</v>
      </c>
      <c r="DT5" s="1" t="s">
        <v>1</v>
      </c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t="str">
        <f t="shared" si="8"/>
        <v>0x0000</v>
      </c>
      <c r="EJ5" s="1" t="s">
        <v>1</v>
      </c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</row>
    <row r="6" spans="1:154" x14ac:dyDescent="0.3">
      <c r="A6">
        <v>4</v>
      </c>
      <c r="B6" t="e">
        <f>HEX2BIN(#REF!,8)</f>
        <v>#REF!</v>
      </c>
      <c r="C6" t="e">
        <f>HEX2BIN(#REF!,8)</f>
        <v>#REF!</v>
      </c>
      <c r="D6" t="e">
        <f>HEX2BIN(#REF!,8)</f>
        <v>#REF!</v>
      </c>
      <c r="E6" t="e">
        <f>HEX2BIN(#REF!,8)</f>
        <v>#REF!</v>
      </c>
      <c r="F6" t="e">
        <f>HEX2BIN(#REF!,8)</f>
        <v>#REF!</v>
      </c>
      <c r="G6" t="e">
        <f>HEX2BIN(#REF!,8)</f>
        <v>#REF!</v>
      </c>
      <c r="H6" t="e">
        <f>HEX2BIN(#REF!,8)</f>
        <v>#REF!</v>
      </c>
      <c r="I6" t="e">
        <f>HEX2BIN(#REF!,8)</f>
        <v>#REF!</v>
      </c>
      <c r="K6" s="41">
        <v>1</v>
      </c>
      <c r="L6" s="41">
        <v>1</v>
      </c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>
        <v>1</v>
      </c>
      <c r="CM6" t="str">
        <f t="shared" si="5"/>
        <v>0xC000</v>
      </c>
      <c r="CN6" s="1" t="s">
        <v>1</v>
      </c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t="str">
        <f t="shared" si="6"/>
        <v>0x0800</v>
      </c>
      <c r="DD6" s="1" t="s">
        <v>1</v>
      </c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t="str">
        <f t="shared" si="7"/>
        <v>0x0000</v>
      </c>
      <c r="DT6" s="1" t="s">
        <v>1</v>
      </c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t="str">
        <f t="shared" si="8"/>
        <v>0x0000</v>
      </c>
      <c r="EJ6" s="1" t="s">
        <v>1</v>
      </c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</row>
    <row r="7" spans="1:154" x14ac:dyDescent="0.3">
      <c r="A7">
        <v>5</v>
      </c>
      <c r="B7" t="e">
        <f>HEX2BIN(#REF!,8)</f>
        <v>#REF!</v>
      </c>
      <c r="C7" t="e">
        <f>HEX2BIN(#REF!,8)</f>
        <v>#REF!</v>
      </c>
      <c r="D7" t="e">
        <f>HEX2BIN(#REF!,8)</f>
        <v>#REF!</v>
      </c>
      <c r="E7" t="e">
        <f>HEX2BIN(#REF!,8)</f>
        <v>#REF!</v>
      </c>
      <c r="F7" t="e">
        <f>HEX2BIN(#REF!,8)</f>
        <v>#REF!</v>
      </c>
      <c r="G7" t="e">
        <f>HEX2BIN(#REF!,8)</f>
        <v>#REF!</v>
      </c>
      <c r="H7" t="e">
        <f>HEX2BIN(#REF!,8)</f>
        <v>#REF!</v>
      </c>
      <c r="I7" t="e">
        <f>HEX2BIN(#REF!,8)</f>
        <v>#REF!</v>
      </c>
      <c r="K7" s="41">
        <v>1</v>
      </c>
      <c r="L7" s="41">
        <v>1</v>
      </c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>
        <v>1</v>
      </c>
      <c r="CM7" t="str">
        <f t="shared" si="5"/>
        <v>0xC000</v>
      </c>
      <c r="CN7" s="1" t="s">
        <v>1</v>
      </c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t="str">
        <f t="shared" si="6"/>
        <v>0x0800</v>
      </c>
      <c r="DD7" s="1" t="s">
        <v>1</v>
      </c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t="str">
        <f t="shared" si="7"/>
        <v>0x0000</v>
      </c>
      <c r="DT7" s="1" t="s">
        <v>1</v>
      </c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t="str">
        <f t="shared" si="8"/>
        <v>0x0000</v>
      </c>
      <c r="EJ7" s="1" t="s">
        <v>1</v>
      </c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</row>
    <row r="8" spans="1:154" x14ac:dyDescent="0.3">
      <c r="A8">
        <v>6</v>
      </c>
      <c r="B8" t="e">
        <f>HEX2BIN(#REF!,8)</f>
        <v>#REF!</v>
      </c>
      <c r="C8" t="e">
        <f>HEX2BIN(#REF!,8)</f>
        <v>#REF!</v>
      </c>
      <c r="D8" t="e">
        <f>HEX2BIN(#REF!,8)</f>
        <v>#REF!</v>
      </c>
      <c r="E8" t="e">
        <f>HEX2BIN(#REF!,8)</f>
        <v>#REF!</v>
      </c>
      <c r="F8" t="e">
        <f>HEX2BIN(#REF!,8)</f>
        <v>#REF!</v>
      </c>
      <c r="G8" t="e">
        <f>HEX2BIN(#REF!,8)</f>
        <v>#REF!</v>
      </c>
      <c r="H8" t="e">
        <f>HEX2BIN(#REF!,8)</f>
        <v>#REF!</v>
      </c>
      <c r="I8" t="e">
        <f>HEX2BIN(#REF!,8)</f>
        <v>#REF!</v>
      </c>
      <c r="K8" s="41">
        <v>1</v>
      </c>
      <c r="L8" s="41">
        <v>1</v>
      </c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>
        <v>1</v>
      </c>
      <c r="CM8" t="str">
        <f t="shared" si="5"/>
        <v>0xC000</v>
      </c>
      <c r="CN8" s="1" t="s">
        <v>1</v>
      </c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t="str">
        <f t="shared" si="6"/>
        <v>0x0800</v>
      </c>
      <c r="DD8" s="1" t="s">
        <v>1</v>
      </c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t="str">
        <f t="shared" si="7"/>
        <v>0x0000</v>
      </c>
      <c r="DT8" s="1" t="s">
        <v>1</v>
      </c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t="str">
        <f t="shared" si="8"/>
        <v>0x0000</v>
      </c>
      <c r="EJ8" s="1" t="s">
        <v>1</v>
      </c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</row>
    <row r="9" spans="1:154" x14ac:dyDescent="0.3">
      <c r="A9">
        <v>7</v>
      </c>
      <c r="B9" t="e">
        <f>HEX2BIN(#REF!,8)</f>
        <v>#REF!</v>
      </c>
      <c r="C9" t="e">
        <f>HEX2BIN(#REF!,8)</f>
        <v>#REF!</v>
      </c>
      <c r="D9" t="e">
        <f>HEX2BIN(#REF!,8)</f>
        <v>#REF!</v>
      </c>
      <c r="E9" t="e">
        <f>HEX2BIN(#REF!,8)</f>
        <v>#REF!</v>
      </c>
      <c r="F9" t="e">
        <f>HEX2BIN(#REF!,8)</f>
        <v>#REF!</v>
      </c>
      <c r="G9" t="e">
        <f>HEX2BIN(#REF!,8)</f>
        <v>#REF!</v>
      </c>
      <c r="H9" t="e">
        <f>HEX2BIN(#REF!,8)</f>
        <v>#REF!</v>
      </c>
      <c r="I9" t="e">
        <f>HEX2BIN(#REF!,8)</f>
        <v>#REF!</v>
      </c>
      <c r="K9" s="41">
        <v>1</v>
      </c>
      <c r="L9" s="41">
        <v>1</v>
      </c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>
        <v>1</v>
      </c>
      <c r="CM9" t="str">
        <f t="shared" si="5"/>
        <v>0xC000</v>
      </c>
      <c r="CN9" s="1" t="s">
        <v>1</v>
      </c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t="str">
        <f t="shared" si="6"/>
        <v>0x0800</v>
      </c>
      <c r="DD9" s="1" t="s">
        <v>1</v>
      </c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t="str">
        <f t="shared" si="7"/>
        <v>0x0000</v>
      </c>
      <c r="DT9" s="1" t="s">
        <v>1</v>
      </c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t="str">
        <f t="shared" si="8"/>
        <v>0x0000</v>
      </c>
      <c r="EJ9" s="1" t="s">
        <v>1</v>
      </c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</row>
    <row r="10" spans="1:154" x14ac:dyDescent="0.3">
      <c r="A10">
        <v>8</v>
      </c>
      <c r="B10" t="e">
        <f>HEX2BIN(#REF!,8)</f>
        <v>#REF!</v>
      </c>
      <c r="C10" t="e">
        <f>HEX2BIN(#REF!,8)</f>
        <v>#REF!</v>
      </c>
      <c r="D10" t="e">
        <f>HEX2BIN(#REF!,8)</f>
        <v>#REF!</v>
      </c>
      <c r="E10" t="e">
        <f>HEX2BIN(#REF!,8)</f>
        <v>#REF!</v>
      </c>
      <c r="F10" t="e">
        <f>HEX2BIN(#REF!,8)</f>
        <v>#REF!</v>
      </c>
      <c r="G10" t="e">
        <f>HEX2BIN(#REF!,8)</f>
        <v>#REF!</v>
      </c>
      <c r="H10" t="e">
        <f>HEX2BIN(#REF!,8)</f>
        <v>#REF!</v>
      </c>
      <c r="I10" t="e">
        <f>HEX2BIN(#REF!,8)</f>
        <v>#REF!</v>
      </c>
      <c r="K10" s="41"/>
      <c r="L10" s="41">
        <v>1</v>
      </c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>
        <v>1</v>
      </c>
      <c r="CM10" t="str">
        <f t="shared" si="5"/>
        <v>0x4000</v>
      </c>
      <c r="CN10" s="1" t="s">
        <v>1</v>
      </c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t="str">
        <f t="shared" si="6"/>
        <v>0x0800</v>
      </c>
      <c r="DD10" s="1" t="s">
        <v>1</v>
      </c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t="str">
        <f t="shared" si="7"/>
        <v>0x0000</v>
      </c>
      <c r="DT10" s="1" t="s">
        <v>1</v>
      </c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t="str">
        <f t="shared" si="8"/>
        <v>0x0000</v>
      </c>
      <c r="EJ10" s="1" t="s">
        <v>1</v>
      </c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</row>
    <row r="11" spans="1:154" x14ac:dyDescent="0.3">
      <c r="A11">
        <v>9</v>
      </c>
      <c r="B11" t="e">
        <f>HEX2BIN(#REF!,8)</f>
        <v>#REF!</v>
      </c>
      <c r="C11" t="e">
        <f>HEX2BIN(#REF!,8)</f>
        <v>#REF!</v>
      </c>
      <c r="D11" t="e">
        <f>HEX2BIN(#REF!,8)</f>
        <v>#REF!</v>
      </c>
      <c r="E11" t="e">
        <f>HEX2BIN(#REF!,8)</f>
        <v>#REF!</v>
      </c>
      <c r="F11" t="e">
        <f>HEX2BIN(#REF!,8)</f>
        <v>#REF!</v>
      </c>
      <c r="G11" t="e">
        <f>HEX2BIN(#REF!,8)</f>
        <v>#REF!</v>
      </c>
      <c r="H11" t="e">
        <f>HEX2BIN(#REF!,8)</f>
        <v>#REF!</v>
      </c>
      <c r="I11" t="e">
        <f>HEX2BIN(#REF!,8)</f>
        <v>#REF!</v>
      </c>
      <c r="K11" s="41"/>
      <c r="L11" s="41">
        <v>1</v>
      </c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>
        <v>1</v>
      </c>
      <c r="CM11" t="str">
        <f t="shared" si="5"/>
        <v>0x4000</v>
      </c>
      <c r="CN11" s="1" t="s">
        <v>1</v>
      </c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t="str">
        <f t="shared" si="6"/>
        <v>0x0800</v>
      </c>
      <c r="DD11" s="1" t="s">
        <v>1</v>
      </c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t="str">
        <f t="shared" si="7"/>
        <v>0x0000</v>
      </c>
      <c r="DT11" s="1" t="s">
        <v>1</v>
      </c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t="str">
        <f t="shared" si="8"/>
        <v>0x0000</v>
      </c>
      <c r="EJ11" s="1" t="s">
        <v>1</v>
      </c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</row>
    <row r="12" spans="1:154" x14ac:dyDescent="0.3">
      <c r="A12">
        <v>10</v>
      </c>
      <c r="B12" t="e">
        <f>HEX2BIN(#REF!,8)</f>
        <v>#REF!</v>
      </c>
      <c r="C12" t="e">
        <f>HEX2BIN(#REF!,8)</f>
        <v>#REF!</v>
      </c>
      <c r="D12" t="e">
        <f>HEX2BIN(#REF!,8)</f>
        <v>#REF!</v>
      </c>
      <c r="E12" t="e">
        <f>HEX2BIN(#REF!,8)</f>
        <v>#REF!</v>
      </c>
      <c r="F12" t="e">
        <f>HEX2BIN(#REF!,8)</f>
        <v>#REF!</v>
      </c>
      <c r="G12" t="e">
        <f>HEX2BIN(#REF!,8)</f>
        <v>#REF!</v>
      </c>
      <c r="H12" t="e">
        <f>HEX2BIN(#REF!,8)</f>
        <v>#REF!</v>
      </c>
      <c r="I12" t="e">
        <f>HEX2BIN(#REF!,8)</f>
        <v>#REF!</v>
      </c>
      <c r="K12" s="41"/>
      <c r="L12" s="41">
        <v>1</v>
      </c>
      <c r="M12" s="41">
        <v>1</v>
      </c>
      <c r="N12" s="41">
        <v>1</v>
      </c>
      <c r="O12" s="41">
        <v>1</v>
      </c>
      <c r="P12" s="41">
        <v>1</v>
      </c>
      <c r="Q12" s="41">
        <v>1</v>
      </c>
      <c r="R12" s="41">
        <v>1</v>
      </c>
      <c r="S12" s="41">
        <v>1</v>
      </c>
      <c r="T12" s="41">
        <v>1</v>
      </c>
      <c r="U12" s="41">
        <v>1</v>
      </c>
      <c r="V12" s="41">
        <v>1</v>
      </c>
      <c r="W12" s="41">
        <v>1</v>
      </c>
      <c r="X12" s="41">
        <v>1</v>
      </c>
      <c r="Y12" s="41">
        <v>1</v>
      </c>
      <c r="Z12" s="41">
        <v>1</v>
      </c>
      <c r="AA12" s="41">
        <v>1</v>
      </c>
      <c r="AB12" s="41">
        <v>1</v>
      </c>
      <c r="AC12" s="41">
        <v>1</v>
      </c>
      <c r="AD12" s="41">
        <v>1</v>
      </c>
      <c r="AE12" s="41">
        <v>1</v>
      </c>
      <c r="CM12" t="str">
        <f t="shared" si="5"/>
        <v>0x7FFF</v>
      </c>
      <c r="CN12" s="1" t="s">
        <v>1</v>
      </c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t="str">
        <f t="shared" si="6"/>
        <v>0xF800</v>
      </c>
      <c r="DD12" s="1" t="s">
        <v>1</v>
      </c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t="str">
        <f t="shared" si="7"/>
        <v>0x0000</v>
      </c>
      <c r="DT12" s="1" t="s">
        <v>1</v>
      </c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t="str">
        <f t="shared" si="8"/>
        <v>0x0000</v>
      </c>
      <c r="EJ12" s="1" t="s">
        <v>1</v>
      </c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</row>
    <row r="13" spans="1:154" x14ac:dyDescent="0.3">
      <c r="A13">
        <v>11</v>
      </c>
      <c r="B13" t="e">
        <f>HEX2BIN(#REF!,8)</f>
        <v>#REF!</v>
      </c>
      <c r="C13" t="e">
        <f>HEX2BIN(#REF!,8)</f>
        <v>#REF!</v>
      </c>
      <c r="D13" t="e">
        <f>HEX2BIN(#REF!,8)</f>
        <v>#REF!</v>
      </c>
      <c r="E13" t="e">
        <f>HEX2BIN(#REF!,8)</f>
        <v>#REF!</v>
      </c>
      <c r="F13" t="e">
        <f>HEX2BIN(#REF!,8)</f>
        <v>#REF!</v>
      </c>
      <c r="G13" t="e">
        <f>HEX2BIN(#REF!,8)</f>
        <v>#REF!</v>
      </c>
      <c r="H13" t="e">
        <f>HEX2BIN(#REF!,8)</f>
        <v>#REF!</v>
      </c>
      <c r="I13" t="e">
        <f>HEX2BIN(#REF!,8)</f>
        <v>#REF!</v>
      </c>
      <c r="K13" s="31"/>
      <c r="L13" s="31">
        <v>1</v>
      </c>
      <c r="M13" s="31">
        <v>1</v>
      </c>
      <c r="N13" s="31">
        <v>1</v>
      </c>
      <c r="O13" s="31">
        <v>1</v>
      </c>
      <c r="P13" s="31">
        <v>1</v>
      </c>
      <c r="Q13" s="31">
        <v>1</v>
      </c>
      <c r="R13" s="31">
        <v>1</v>
      </c>
      <c r="S13" s="31">
        <v>1</v>
      </c>
      <c r="T13" s="31">
        <v>1</v>
      </c>
      <c r="U13" s="31">
        <v>1</v>
      </c>
      <c r="V13" s="31">
        <v>1</v>
      </c>
      <c r="W13" s="31">
        <v>1</v>
      </c>
      <c r="X13" s="31">
        <v>1</v>
      </c>
      <c r="Y13" s="31">
        <v>1</v>
      </c>
      <c r="Z13" s="31">
        <v>1</v>
      </c>
      <c r="AA13" s="31">
        <v>1</v>
      </c>
      <c r="AB13" s="31">
        <v>1</v>
      </c>
      <c r="AC13" s="31">
        <v>1</v>
      </c>
      <c r="AD13" s="41">
        <v>1</v>
      </c>
      <c r="AE13" s="41">
        <v>1</v>
      </c>
      <c r="CM13" t="str">
        <f t="shared" si="5"/>
        <v>0x7FFF</v>
      </c>
      <c r="CN13" s="1" t="s">
        <v>1</v>
      </c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t="str">
        <f t="shared" si="6"/>
        <v>0xF800</v>
      </c>
      <c r="DD13" s="1" t="s">
        <v>1</v>
      </c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t="str">
        <f t="shared" si="7"/>
        <v>0x0000</v>
      </c>
      <c r="DT13" s="1" t="s">
        <v>1</v>
      </c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t="str">
        <f t="shared" si="8"/>
        <v>0x0000</v>
      </c>
      <c r="EJ13" s="1" t="s">
        <v>1</v>
      </c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</row>
    <row r="14" spans="1:154" x14ac:dyDescent="0.3">
      <c r="A14">
        <v>12</v>
      </c>
      <c r="B14" t="e">
        <f>HEX2BIN(#REF!,8)</f>
        <v>#REF!</v>
      </c>
      <c r="C14" t="e">
        <f>HEX2BIN(#REF!,8)</f>
        <v>#REF!</v>
      </c>
      <c r="D14" t="e">
        <f>HEX2BIN(#REF!,8)</f>
        <v>#REF!</v>
      </c>
      <c r="E14" t="e">
        <f>HEX2BIN(#REF!,8)</f>
        <v>#REF!</v>
      </c>
      <c r="F14" t="e">
        <f>HEX2BIN(#REF!,8)</f>
        <v>#REF!</v>
      </c>
      <c r="G14" t="e">
        <f>HEX2BIN(#REF!,8)</f>
        <v>#REF!</v>
      </c>
      <c r="H14" t="e">
        <f>HEX2BIN(#REF!,8)</f>
        <v>#REF!</v>
      </c>
      <c r="I14" t="e">
        <f>HEX2BIN(#REF!,8)</f>
        <v>#REF!</v>
      </c>
      <c r="K14" s="41"/>
      <c r="L14" s="41">
        <v>1</v>
      </c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>
        <v>1</v>
      </c>
      <c r="CM14" t="str">
        <f t="shared" si="5"/>
        <v>0x4000</v>
      </c>
      <c r="CN14" s="1" t="s">
        <v>1</v>
      </c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t="str">
        <f t="shared" si="6"/>
        <v>0x0800</v>
      </c>
      <c r="DD14" s="1" t="s">
        <v>1</v>
      </c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t="str">
        <f t="shared" si="7"/>
        <v>0x0000</v>
      </c>
      <c r="DT14" s="1" t="s">
        <v>1</v>
      </c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t="str">
        <f t="shared" si="8"/>
        <v>0x0000</v>
      </c>
      <c r="EJ14" s="1" t="s">
        <v>1</v>
      </c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</row>
    <row r="15" spans="1:154" x14ac:dyDescent="0.3">
      <c r="A15">
        <v>13</v>
      </c>
      <c r="B15" t="e">
        <f>HEX2BIN(#REF!,8)</f>
        <v>#REF!</v>
      </c>
      <c r="C15" t="e">
        <f>HEX2BIN(#REF!,8)</f>
        <v>#REF!</v>
      </c>
      <c r="D15" t="e">
        <f>HEX2BIN(#REF!,8)</f>
        <v>#REF!</v>
      </c>
      <c r="E15" t="e">
        <f>HEX2BIN(#REF!,8)</f>
        <v>#REF!</v>
      </c>
      <c r="F15" t="e">
        <f>HEX2BIN(#REF!,8)</f>
        <v>#REF!</v>
      </c>
      <c r="G15" t="e">
        <f>HEX2BIN(#REF!,8)</f>
        <v>#REF!</v>
      </c>
      <c r="H15" t="e">
        <f>HEX2BIN(#REF!,8)</f>
        <v>#REF!</v>
      </c>
      <c r="I15" t="e">
        <f>HEX2BIN(#REF!,8)</f>
        <v>#REF!</v>
      </c>
      <c r="K15" s="41"/>
      <c r="L15" s="41">
        <v>1</v>
      </c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>
        <v>1</v>
      </c>
      <c r="AB15" s="41">
        <v>1</v>
      </c>
      <c r="AC15" s="41"/>
      <c r="AD15" s="41"/>
      <c r="AE15" s="41">
        <v>1</v>
      </c>
      <c r="CM15" t="str">
        <f t="shared" si="5"/>
        <v>0x4000</v>
      </c>
      <c r="CN15" s="1" t="s">
        <v>1</v>
      </c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t="str">
        <f t="shared" si="6"/>
        <v>0xC800</v>
      </c>
      <c r="DD15" s="1" t="s">
        <v>1</v>
      </c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t="str">
        <f t="shared" si="7"/>
        <v>0x0000</v>
      </c>
      <c r="DT15" s="1" t="s">
        <v>1</v>
      </c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t="str">
        <f t="shared" si="8"/>
        <v>0x0000</v>
      </c>
      <c r="EJ15" s="1" t="s">
        <v>1</v>
      </c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</row>
    <row r="16" spans="1:154" x14ac:dyDescent="0.3">
      <c r="A16">
        <v>14</v>
      </c>
      <c r="B16" t="e">
        <f>HEX2BIN(#REF!,8)</f>
        <v>#REF!</v>
      </c>
      <c r="C16" t="e">
        <f>HEX2BIN(#REF!,8)</f>
        <v>#REF!</v>
      </c>
      <c r="D16" t="e">
        <f>HEX2BIN(#REF!,8)</f>
        <v>#REF!</v>
      </c>
      <c r="E16" t="e">
        <f>HEX2BIN(#REF!,8)</f>
        <v>#REF!</v>
      </c>
      <c r="F16" t="e">
        <f>HEX2BIN(#REF!,8)</f>
        <v>#REF!</v>
      </c>
      <c r="G16" t="e">
        <f>HEX2BIN(#REF!,8)</f>
        <v>#REF!</v>
      </c>
      <c r="H16" t="e">
        <f>HEX2BIN(#REF!,8)</f>
        <v>#REF!</v>
      </c>
      <c r="I16" t="e">
        <f>HEX2BIN(#REF!,8)</f>
        <v>#REF!</v>
      </c>
      <c r="K16" s="41">
        <v>1</v>
      </c>
      <c r="L16" s="41">
        <v>1</v>
      </c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>
        <v>1</v>
      </c>
      <c r="AB16" s="41">
        <v>1</v>
      </c>
      <c r="AC16" s="41"/>
      <c r="AD16" s="41"/>
      <c r="AE16" s="41">
        <v>1</v>
      </c>
      <c r="CM16" t="str">
        <f t="shared" si="5"/>
        <v>0xC000</v>
      </c>
      <c r="CN16" s="1" t="s">
        <v>1</v>
      </c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t="str">
        <f t="shared" si="6"/>
        <v>0xC800</v>
      </c>
      <c r="DD16" s="1" t="s">
        <v>1</v>
      </c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t="str">
        <f t="shared" si="7"/>
        <v>0x0000</v>
      </c>
      <c r="DT16" s="1" t="s">
        <v>1</v>
      </c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t="str">
        <f t="shared" si="8"/>
        <v>0x0000</v>
      </c>
      <c r="EJ16" s="1" t="s">
        <v>1</v>
      </c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</row>
    <row r="17" spans="1:154" x14ac:dyDescent="0.3">
      <c r="A17">
        <v>15</v>
      </c>
      <c r="B17" t="e">
        <f>HEX2BIN(#REF!,8)</f>
        <v>#REF!</v>
      </c>
      <c r="C17" t="e">
        <f>HEX2BIN(#REF!,8)</f>
        <v>#REF!</v>
      </c>
      <c r="D17" t="e">
        <f>HEX2BIN(#REF!,8)</f>
        <v>#REF!</v>
      </c>
      <c r="E17" t="e">
        <f>HEX2BIN(#REF!,8)</f>
        <v>#REF!</v>
      </c>
      <c r="F17" t="e">
        <f>HEX2BIN(#REF!,8)</f>
        <v>#REF!</v>
      </c>
      <c r="G17" t="e">
        <f>HEX2BIN(#REF!,8)</f>
        <v>#REF!</v>
      </c>
      <c r="H17" t="e">
        <f>HEX2BIN(#REF!,8)</f>
        <v>#REF!</v>
      </c>
      <c r="I17" t="e">
        <f>HEX2BIN(#REF!,8)</f>
        <v>#REF!</v>
      </c>
      <c r="K17" s="41">
        <v>1</v>
      </c>
      <c r="L17" s="41">
        <v>1</v>
      </c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>
        <v>1</v>
      </c>
      <c r="AB17" s="41">
        <v>1</v>
      </c>
      <c r="AC17" s="41"/>
      <c r="AD17" s="41"/>
      <c r="AE17" s="41">
        <v>1</v>
      </c>
      <c r="CM17" t="str">
        <f t="shared" si="5"/>
        <v>0xC000</v>
      </c>
      <c r="CN17" s="1" t="s">
        <v>1</v>
      </c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t="str">
        <f t="shared" si="6"/>
        <v>0xC800</v>
      </c>
      <c r="DD17" s="1" t="s">
        <v>1</v>
      </c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t="str">
        <f t="shared" si="7"/>
        <v>0x0000</v>
      </c>
      <c r="DT17" s="1" t="s">
        <v>1</v>
      </c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t="str">
        <f t="shared" si="8"/>
        <v>0x0000</v>
      </c>
      <c r="EJ17" s="1" t="s">
        <v>1</v>
      </c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</row>
    <row r="18" spans="1:154" x14ac:dyDescent="0.3">
      <c r="A18">
        <v>16</v>
      </c>
      <c r="B18" t="e">
        <f>HEX2BIN(#REF!,8)</f>
        <v>#REF!</v>
      </c>
      <c r="C18" t="e">
        <f>HEX2BIN(#REF!,8)</f>
        <v>#REF!</v>
      </c>
      <c r="D18" t="e">
        <f>HEX2BIN(#REF!,8)</f>
        <v>#REF!</v>
      </c>
      <c r="E18" t="e">
        <f>HEX2BIN(#REF!,8)</f>
        <v>#REF!</v>
      </c>
      <c r="F18" t="e">
        <f>HEX2BIN(#REF!,8)</f>
        <v>#REF!</v>
      </c>
      <c r="G18" t="e">
        <f>HEX2BIN(#REF!,8)</f>
        <v>#REF!</v>
      </c>
      <c r="H18" t="e">
        <f>HEX2BIN(#REF!,8)</f>
        <v>#REF!</v>
      </c>
      <c r="I18" t="e">
        <f>HEX2BIN(#REF!,8)</f>
        <v>#REF!</v>
      </c>
      <c r="K18" s="41">
        <v>1</v>
      </c>
      <c r="L18" s="41">
        <v>1</v>
      </c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>
        <v>1</v>
      </c>
      <c r="AB18" s="41">
        <v>1</v>
      </c>
      <c r="AC18" s="41"/>
      <c r="AD18" s="41"/>
      <c r="AE18" s="41">
        <v>1</v>
      </c>
      <c r="CM18" t="str">
        <f t="shared" si="5"/>
        <v>0xC000</v>
      </c>
      <c r="CN18" s="1" t="s">
        <v>1</v>
      </c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t="str">
        <f t="shared" si="6"/>
        <v>0xC800</v>
      </c>
      <c r="DD18" s="1" t="s">
        <v>1</v>
      </c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t="str">
        <f t="shared" si="7"/>
        <v>0x0000</v>
      </c>
      <c r="DT18" s="1" t="s">
        <v>1</v>
      </c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t="str">
        <f t="shared" si="8"/>
        <v>0x0000</v>
      </c>
      <c r="EJ18" s="1" t="s">
        <v>1</v>
      </c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</row>
    <row r="19" spans="1:154" x14ac:dyDescent="0.3">
      <c r="A19">
        <v>17</v>
      </c>
      <c r="B19" t="e">
        <f>HEX2BIN(#REF!,8)</f>
        <v>#REF!</v>
      </c>
      <c r="C19" t="e">
        <f>HEX2BIN(#REF!,8)</f>
        <v>#REF!</v>
      </c>
      <c r="D19" t="e">
        <f>HEX2BIN(#REF!,8)</f>
        <v>#REF!</v>
      </c>
      <c r="E19" t="e">
        <f>HEX2BIN(#REF!,8)</f>
        <v>#REF!</v>
      </c>
      <c r="F19" t="e">
        <f>HEX2BIN(#REF!,8)</f>
        <v>#REF!</v>
      </c>
      <c r="G19" t="e">
        <f>HEX2BIN(#REF!,8)</f>
        <v>#REF!</v>
      </c>
      <c r="H19" t="e">
        <f>HEX2BIN(#REF!,8)</f>
        <v>#REF!</v>
      </c>
      <c r="I19" t="e">
        <f>HEX2BIN(#REF!,8)</f>
        <v>#REF!</v>
      </c>
      <c r="K19" s="41">
        <v>1</v>
      </c>
      <c r="L19" s="41">
        <v>1</v>
      </c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>
        <v>1</v>
      </c>
      <c r="AB19" s="41">
        <v>1</v>
      </c>
      <c r="AC19" s="41"/>
      <c r="AD19" s="41"/>
      <c r="AE19" s="41">
        <v>1</v>
      </c>
      <c r="CM19" t="str">
        <f t="shared" si="5"/>
        <v>0xC000</v>
      </c>
      <c r="CN19" s="1" t="s">
        <v>1</v>
      </c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t="str">
        <f t="shared" si="6"/>
        <v>0xC800</v>
      </c>
      <c r="DD19" s="1" t="s">
        <v>1</v>
      </c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t="str">
        <f t="shared" si="7"/>
        <v>0x0000</v>
      </c>
      <c r="DT19" s="1" t="s">
        <v>1</v>
      </c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t="str">
        <f t="shared" si="8"/>
        <v>0x0000</v>
      </c>
      <c r="EJ19" s="1" t="s">
        <v>1</v>
      </c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</row>
    <row r="20" spans="1:154" x14ac:dyDescent="0.3">
      <c r="A20">
        <v>18</v>
      </c>
      <c r="B20" t="e">
        <f>HEX2BIN(#REF!,8)</f>
        <v>#REF!</v>
      </c>
      <c r="C20" t="e">
        <f>HEX2BIN(#REF!,8)</f>
        <v>#REF!</v>
      </c>
      <c r="D20" t="e">
        <f>HEX2BIN(#REF!,8)</f>
        <v>#REF!</v>
      </c>
      <c r="E20" t="e">
        <f>HEX2BIN(#REF!,8)</f>
        <v>#REF!</v>
      </c>
      <c r="F20" t="e">
        <f>HEX2BIN(#REF!,8)</f>
        <v>#REF!</v>
      </c>
      <c r="G20" t="e">
        <f>HEX2BIN(#REF!,8)</f>
        <v>#REF!</v>
      </c>
      <c r="H20" t="e">
        <f>HEX2BIN(#REF!,8)</f>
        <v>#REF!</v>
      </c>
      <c r="I20" t="e">
        <f>HEX2BIN(#REF!,8)</f>
        <v>#REF!</v>
      </c>
      <c r="K20" s="41"/>
      <c r="L20" s="41">
        <v>1</v>
      </c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>
        <v>1</v>
      </c>
      <c r="AB20" s="41">
        <v>1</v>
      </c>
      <c r="AC20" s="41"/>
      <c r="AD20" s="41"/>
      <c r="AE20" s="41">
        <v>1</v>
      </c>
      <c r="CM20" t="str">
        <f t="shared" si="5"/>
        <v>0x4000</v>
      </c>
      <c r="CN20" s="1" t="s">
        <v>1</v>
      </c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t="str">
        <f t="shared" si="6"/>
        <v>0xC800</v>
      </c>
      <c r="DD20" s="1" t="s">
        <v>1</v>
      </c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t="str">
        <f t="shared" si="7"/>
        <v>0x0000</v>
      </c>
      <c r="DT20" s="1" t="s">
        <v>1</v>
      </c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t="str">
        <f t="shared" si="8"/>
        <v>0x0000</v>
      </c>
      <c r="EJ20" s="1" t="s">
        <v>1</v>
      </c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</row>
    <row r="21" spans="1:154" x14ac:dyDescent="0.3">
      <c r="A21">
        <v>19</v>
      </c>
      <c r="B21" t="e">
        <f>HEX2BIN(#REF!,8)</f>
        <v>#REF!</v>
      </c>
      <c r="C21" t="e">
        <f>HEX2BIN(#REF!,8)</f>
        <v>#REF!</v>
      </c>
      <c r="D21" t="e">
        <f>HEX2BIN(#REF!,8)</f>
        <v>#REF!</v>
      </c>
      <c r="E21" t="e">
        <f>HEX2BIN(#REF!,8)</f>
        <v>#REF!</v>
      </c>
      <c r="F21" t="e">
        <f>HEX2BIN(#REF!,8)</f>
        <v>#REF!</v>
      </c>
      <c r="G21" t="e">
        <f>HEX2BIN(#REF!,8)</f>
        <v>#REF!</v>
      </c>
      <c r="H21" t="e">
        <f>HEX2BIN(#REF!,8)</f>
        <v>#REF!</v>
      </c>
      <c r="I21" t="e">
        <f>HEX2BIN(#REF!,8)</f>
        <v>#REF!</v>
      </c>
      <c r="K21" s="41"/>
      <c r="L21" s="41">
        <v>1</v>
      </c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>
        <v>1</v>
      </c>
      <c r="CM21" t="str">
        <f t="shared" si="5"/>
        <v>0x4000</v>
      </c>
      <c r="CN21" s="1" t="s">
        <v>1</v>
      </c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t="str">
        <f t="shared" si="6"/>
        <v>0x0800</v>
      </c>
      <c r="DD21" s="1" t="s">
        <v>1</v>
      </c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t="str">
        <f t="shared" si="7"/>
        <v>0x0000</v>
      </c>
      <c r="DT21" s="1" t="s">
        <v>1</v>
      </c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t="str">
        <f t="shared" si="8"/>
        <v>0x0000</v>
      </c>
      <c r="EJ21" s="1" t="s">
        <v>1</v>
      </c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</row>
    <row r="22" spans="1:154" x14ac:dyDescent="0.3">
      <c r="A22">
        <v>20</v>
      </c>
      <c r="B22" t="e">
        <f>HEX2BIN(#REF!,8)</f>
        <v>#REF!</v>
      </c>
      <c r="C22" t="e">
        <f>HEX2BIN(#REF!,8)</f>
        <v>#REF!</v>
      </c>
      <c r="D22" t="e">
        <f>HEX2BIN(#REF!,8)</f>
        <v>#REF!</v>
      </c>
      <c r="E22" t="e">
        <f>HEX2BIN(#REF!,8)</f>
        <v>#REF!</v>
      </c>
      <c r="F22" t="e">
        <f>HEX2BIN(#REF!,8)</f>
        <v>#REF!</v>
      </c>
      <c r="G22" t="e">
        <f>HEX2BIN(#REF!,8)</f>
        <v>#REF!</v>
      </c>
      <c r="H22" t="e">
        <f>HEX2BIN(#REF!,8)</f>
        <v>#REF!</v>
      </c>
      <c r="I22" t="e">
        <f>HEX2BIN(#REF!,8)</f>
        <v>#REF!</v>
      </c>
      <c r="K22" s="41"/>
      <c r="L22" s="41">
        <v>1</v>
      </c>
      <c r="M22" s="41">
        <v>1</v>
      </c>
      <c r="N22" s="41">
        <v>1</v>
      </c>
      <c r="O22" s="41">
        <v>1</v>
      </c>
      <c r="P22" s="41">
        <v>1</v>
      </c>
      <c r="Q22" s="41">
        <v>1</v>
      </c>
      <c r="R22" s="41">
        <v>1</v>
      </c>
      <c r="S22" s="41">
        <v>1</v>
      </c>
      <c r="T22" s="41">
        <v>1</v>
      </c>
      <c r="U22" s="41">
        <v>1</v>
      </c>
      <c r="V22" s="41">
        <v>1</v>
      </c>
      <c r="W22" s="41">
        <v>1</v>
      </c>
      <c r="X22" s="41">
        <v>1</v>
      </c>
      <c r="Y22" s="41">
        <v>1</v>
      </c>
      <c r="Z22" s="41">
        <v>1</v>
      </c>
      <c r="AA22" s="41">
        <v>1</v>
      </c>
      <c r="AB22" s="41">
        <v>1</v>
      </c>
      <c r="AC22" s="41">
        <v>1</v>
      </c>
      <c r="AD22" s="41">
        <v>1</v>
      </c>
      <c r="AE22" s="41">
        <v>1</v>
      </c>
      <c r="CM22" t="str">
        <f t="shared" si="5"/>
        <v>0x7FFF</v>
      </c>
      <c r="CN22" s="1" t="s">
        <v>1</v>
      </c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t="str">
        <f t="shared" si="6"/>
        <v>0xF800</v>
      </c>
      <c r="DD22" s="1" t="s">
        <v>1</v>
      </c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t="str">
        <f t="shared" si="7"/>
        <v>0x0000</v>
      </c>
      <c r="DT22" s="1" t="s">
        <v>1</v>
      </c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t="str">
        <f t="shared" si="8"/>
        <v>0x0000</v>
      </c>
      <c r="EJ22" s="1" t="s">
        <v>1</v>
      </c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</row>
    <row r="23" spans="1:154" x14ac:dyDescent="0.3">
      <c r="A23">
        <v>21</v>
      </c>
      <c r="B23" t="e">
        <f>HEX2BIN(#REF!,8)</f>
        <v>#REF!</v>
      </c>
      <c r="C23" t="e">
        <f>HEX2BIN(#REF!,8)</f>
        <v>#REF!</v>
      </c>
      <c r="D23" t="e">
        <f>HEX2BIN(#REF!,8)</f>
        <v>#REF!</v>
      </c>
      <c r="E23" t="e">
        <f>HEX2BIN(#REF!,8)</f>
        <v>#REF!</v>
      </c>
      <c r="F23" t="e">
        <f>HEX2BIN(#REF!,8)</f>
        <v>#REF!</v>
      </c>
      <c r="G23" t="e">
        <f>HEX2BIN(#REF!,8)</f>
        <v>#REF!</v>
      </c>
      <c r="H23" t="e">
        <f>HEX2BIN(#REF!,8)</f>
        <v>#REF!</v>
      </c>
      <c r="I23" t="e">
        <f>HEX2BIN(#REF!,8)</f>
        <v>#REF!</v>
      </c>
      <c r="K23" s="31"/>
      <c r="L23" s="31">
        <v>1</v>
      </c>
      <c r="M23" s="31">
        <v>1</v>
      </c>
      <c r="N23" s="31">
        <v>1</v>
      </c>
      <c r="O23" s="31">
        <v>1</v>
      </c>
      <c r="P23" s="31">
        <v>1</v>
      </c>
      <c r="Q23" s="31">
        <v>1</v>
      </c>
      <c r="R23" s="31">
        <v>1</v>
      </c>
      <c r="S23" s="31">
        <v>1</v>
      </c>
      <c r="T23" s="31">
        <v>1</v>
      </c>
      <c r="U23" s="31">
        <v>1</v>
      </c>
      <c r="V23" s="31">
        <v>1</v>
      </c>
      <c r="W23" s="31">
        <v>1</v>
      </c>
      <c r="X23" s="31">
        <v>1</v>
      </c>
      <c r="Y23" s="31">
        <v>1</v>
      </c>
      <c r="Z23" s="31">
        <v>1</v>
      </c>
      <c r="AA23" s="31">
        <v>1</v>
      </c>
      <c r="AB23" s="31">
        <v>1</v>
      </c>
      <c r="AC23" s="31">
        <v>1</v>
      </c>
      <c r="AD23" s="41">
        <v>1</v>
      </c>
      <c r="AE23" s="41">
        <v>1</v>
      </c>
      <c r="CM23" t="str">
        <f t="shared" ref="CM23:CM54" si="9">CONCATENATE("0x",DEC2HEX(Z23*Z$1+Y23*Y$1+X23*X$1+W23*W$1+V23*V$1+U23*U$1+T23*T$1+S23*S$1+R23*R$1+Q23*Q$1+P23*P$1+O23*O$1+N23*N$1+M23*M$1+L23*L$1+K23*K$1,4))</f>
        <v>0x7FFF</v>
      </c>
      <c r="CN23" s="1" t="s">
        <v>1</v>
      </c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t="str">
        <f t="shared" ref="DC23:DC54" si="10">CONCATENATE("0x",DEC2HEX(AP23*AP$1+AO23*AO$1+AN23*AN$1+AM23*AM$1+AL23*AL$1+AK23*AK$1+AJ23*AJ$1+AI23*AI$1+AH23*AH$1+AG23*AG$1+AF23*AF$1+AE23*AE$1+AD23*AD$1+AC23*AC$1+AB23*AB$1+AA23*AA$1,4))</f>
        <v>0xF800</v>
      </c>
      <c r="DD23" s="1" t="s">
        <v>1</v>
      </c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t="str">
        <f t="shared" si="7"/>
        <v>0x0000</v>
      </c>
      <c r="DT23" s="1" t="s">
        <v>1</v>
      </c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t="str">
        <f t="shared" si="8"/>
        <v>0x0000</v>
      </c>
      <c r="EJ23" s="1" t="s">
        <v>1</v>
      </c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</row>
    <row r="24" spans="1:154" x14ac:dyDescent="0.3">
      <c r="A24">
        <v>22</v>
      </c>
      <c r="B24" t="e">
        <f>HEX2BIN(#REF!,8)</f>
        <v>#REF!</v>
      </c>
      <c r="C24" t="e">
        <f>HEX2BIN(#REF!,8)</f>
        <v>#REF!</v>
      </c>
      <c r="D24" t="e">
        <f>HEX2BIN(#REF!,8)</f>
        <v>#REF!</v>
      </c>
      <c r="E24" t="e">
        <f>HEX2BIN(#REF!,8)</f>
        <v>#REF!</v>
      </c>
      <c r="F24" t="e">
        <f>HEX2BIN(#REF!,8)</f>
        <v>#REF!</v>
      </c>
      <c r="G24" t="e">
        <f>HEX2BIN(#REF!,8)</f>
        <v>#REF!</v>
      </c>
      <c r="H24" t="e">
        <f>HEX2BIN(#REF!,8)</f>
        <v>#REF!</v>
      </c>
      <c r="I24" t="e">
        <f>HEX2BIN(#REF!,8)</f>
        <v>#REF!</v>
      </c>
      <c r="K24" s="41"/>
      <c r="L24" s="41">
        <v>1</v>
      </c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>
        <v>1</v>
      </c>
      <c r="CM24" t="str">
        <f t="shared" si="9"/>
        <v>0x4000</v>
      </c>
      <c r="CN24" s="1" t="s">
        <v>1</v>
      </c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t="str">
        <f t="shared" si="10"/>
        <v>0x0800</v>
      </c>
      <c r="DD24" s="1" t="s">
        <v>1</v>
      </c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t="str">
        <f t="shared" si="7"/>
        <v>0x0000</v>
      </c>
      <c r="DT24" s="1" t="s">
        <v>1</v>
      </c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t="str">
        <f t="shared" si="8"/>
        <v>0x0000</v>
      </c>
      <c r="EJ24" s="1" t="s">
        <v>1</v>
      </c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</row>
    <row r="25" spans="1:154" x14ac:dyDescent="0.3">
      <c r="A25">
        <v>23</v>
      </c>
      <c r="B25" t="e">
        <f>HEX2BIN(#REF!,8)</f>
        <v>#REF!</v>
      </c>
      <c r="C25" t="e">
        <f>HEX2BIN(#REF!,8)</f>
        <v>#REF!</v>
      </c>
      <c r="D25" t="e">
        <f>HEX2BIN(#REF!,8)</f>
        <v>#REF!</v>
      </c>
      <c r="E25" t="e">
        <f>HEX2BIN(#REF!,8)</f>
        <v>#REF!</v>
      </c>
      <c r="F25" t="e">
        <f>HEX2BIN(#REF!,8)</f>
        <v>#REF!</v>
      </c>
      <c r="G25" t="e">
        <f>HEX2BIN(#REF!,8)</f>
        <v>#REF!</v>
      </c>
      <c r="H25" t="e">
        <f>HEX2BIN(#REF!,8)</f>
        <v>#REF!</v>
      </c>
      <c r="I25" t="e">
        <f>HEX2BIN(#REF!,8)</f>
        <v>#REF!</v>
      </c>
      <c r="K25" s="41"/>
      <c r="L25" s="41">
        <v>1</v>
      </c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>
        <v>1</v>
      </c>
      <c r="X25" s="41">
        <v>1</v>
      </c>
      <c r="Y25" s="41"/>
      <c r="Z25" s="41"/>
      <c r="AA25" s="41">
        <v>1</v>
      </c>
      <c r="AB25" s="41">
        <v>1</v>
      </c>
      <c r="AC25" s="41"/>
      <c r="AD25" s="41"/>
      <c r="AE25" s="41">
        <v>1</v>
      </c>
      <c r="CM25" t="str">
        <f t="shared" si="9"/>
        <v>0x400C</v>
      </c>
      <c r="CN25" s="1" t="s">
        <v>1</v>
      </c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t="str">
        <f t="shared" si="10"/>
        <v>0xC800</v>
      </c>
      <c r="DD25" s="1" t="s">
        <v>1</v>
      </c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t="str">
        <f t="shared" si="7"/>
        <v>0x0000</v>
      </c>
      <c r="DT25" s="1" t="s">
        <v>1</v>
      </c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t="str">
        <f t="shared" si="8"/>
        <v>0x0000</v>
      </c>
      <c r="EJ25" s="1" t="s">
        <v>1</v>
      </c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</row>
    <row r="26" spans="1:154" x14ac:dyDescent="0.3">
      <c r="A26">
        <v>24</v>
      </c>
      <c r="B26" t="e">
        <f>HEX2BIN(#REF!,8)</f>
        <v>#REF!</v>
      </c>
      <c r="C26" t="e">
        <f>HEX2BIN(#REF!,8)</f>
        <v>#REF!</v>
      </c>
      <c r="D26" t="e">
        <f>HEX2BIN(#REF!,8)</f>
        <v>#REF!</v>
      </c>
      <c r="E26" t="e">
        <f>HEX2BIN(#REF!,8)</f>
        <v>#REF!</v>
      </c>
      <c r="F26" t="e">
        <f>HEX2BIN(#REF!,8)</f>
        <v>#REF!</v>
      </c>
      <c r="G26" t="e">
        <f>HEX2BIN(#REF!,8)</f>
        <v>#REF!</v>
      </c>
      <c r="H26" t="e">
        <f>HEX2BIN(#REF!,8)</f>
        <v>#REF!</v>
      </c>
      <c r="I26" t="e">
        <f>HEX2BIN(#REF!,8)</f>
        <v>#REF!</v>
      </c>
      <c r="K26" s="41">
        <v>1</v>
      </c>
      <c r="L26" s="41">
        <v>1</v>
      </c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>
        <v>1</v>
      </c>
      <c r="X26" s="41">
        <v>1</v>
      </c>
      <c r="Y26" s="41"/>
      <c r="Z26" s="41"/>
      <c r="AA26" s="41">
        <v>1</v>
      </c>
      <c r="AB26" s="41">
        <v>1</v>
      </c>
      <c r="AC26" s="41"/>
      <c r="AD26" s="41"/>
      <c r="AE26" s="41">
        <v>1</v>
      </c>
      <c r="CM26" t="str">
        <f t="shared" si="9"/>
        <v>0xC00C</v>
      </c>
      <c r="CN26" s="1" t="s">
        <v>1</v>
      </c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t="str">
        <f t="shared" si="10"/>
        <v>0xC800</v>
      </c>
      <c r="DD26" s="1" t="s">
        <v>1</v>
      </c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t="str">
        <f t="shared" si="7"/>
        <v>0x0000</v>
      </c>
      <c r="DT26" s="1" t="s">
        <v>1</v>
      </c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t="str">
        <f t="shared" si="8"/>
        <v>0x0000</v>
      </c>
      <c r="EJ26" s="1" t="s">
        <v>1</v>
      </c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</row>
    <row r="27" spans="1:154" x14ac:dyDescent="0.3">
      <c r="A27">
        <v>25</v>
      </c>
      <c r="B27" t="e">
        <f>HEX2BIN(#REF!,8)</f>
        <v>#REF!</v>
      </c>
      <c r="C27" t="e">
        <f>HEX2BIN(#REF!,8)</f>
        <v>#REF!</v>
      </c>
      <c r="D27" t="e">
        <f>HEX2BIN(#REF!,8)</f>
        <v>#REF!</v>
      </c>
      <c r="E27" t="e">
        <f>HEX2BIN(#REF!,8)</f>
        <v>#REF!</v>
      </c>
      <c r="F27" t="e">
        <f>HEX2BIN(#REF!,8)</f>
        <v>#REF!</v>
      </c>
      <c r="G27" t="e">
        <f>HEX2BIN(#REF!,8)</f>
        <v>#REF!</v>
      </c>
      <c r="H27" t="e">
        <f>HEX2BIN(#REF!,8)</f>
        <v>#REF!</v>
      </c>
      <c r="I27" t="e">
        <f>HEX2BIN(#REF!,8)</f>
        <v>#REF!</v>
      </c>
      <c r="K27" s="41">
        <v>1</v>
      </c>
      <c r="L27" s="41">
        <v>1</v>
      </c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>
        <v>1</v>
      </c>
      <c r="X27" s="41">
        <v>1</v>
      </c>
      <c r="Y27" s="41"/>
      <c r="Z27" s="41"/>
      <c r="AA27" s="41">
        <v>1</v>
      </c>
      <c r="AB27" s="41">
        <v>1</v>
      </c>
      <c r="AC27" s="41"/>
      <c r="AD27" s="41"/>
      <c r="AE27" s="41">
        <v>1</v>
      </c>
      <c r="CM27" t="str">
        <f t="shared" si="9"/>
        <v>0xC00C</v>
      </c>
      <c r="CN27" s="1" t="s">
        <v>1</v>
      </c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t="str">
        <f t="shared" si="10"/>
        <v>0xC800</v>
      </c>
      <c r="DD27" s="1" t="s">
        <v>1</v>
      </c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t="str">
        <f t="shared" si="7"/>
        <v>0x0000</v>
      </c>
      <c r="DT27" s="1" t="s">
        <v>1</v>
      </c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t="str">
        <f t="shared" si="8"/>
        <v>0x0000</v>
      </c>
      <c r="EJ27" s="1" t="s">
        <v>1</v>
      </c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</row>
    <row r="28" spans="1:154" x14ac:dyDescent="0.3">
      <c r="A28">
        <v>26</v>
      </c>
      <c r="B28" t="e">
        <f>HEX2BIN(#REF!,8)</f>
        <v>#REF!</v>
      </c>
      <c r="C28" t="e">
        <f>HEX2BIN(#REF!,8)</f>
        <v>#REF!</v>
      </c>
      <c r="D28" t="e">
        <f>HEX2BIN(#REF!,8)</f>
        <v>#REF!</v>
      </c>
      <c r="E28" t="e">
        <f>HEX2BIN(#REF!,8)</f>
        <v>#REF!</v>
      </c>
      <c r="F28" t="e">
        <f>HEX2BIN(#REF!,8)</f>
        <v>#REF!</v>
      </c>
      <c r="G28" t="e">
        <f>HEX2BIN(#REF!,8)</f>
        <v>#REF!</v>
      </c>
      <c r="H28" t="e">
        <f>HEX2BIN(#REF!,8)</f>
        <v>#REF!</v>
      </c>
      <c r="I28" t="e">
        <f>HEX2BIN(#REF!,8)</f>
        <v>#REF!</v>
      </c>
      <c r="K28" s="41">
        <v>1</v>
      </c>
      <c r="L28" s="41">
        <v>1</v>
      </c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>
        <v>1</v>
      </c>
      <c r="X28" s="41">
        <v>1</v>
      </c>
      <c r="Y28" s="41"/>
      <c r="Z28" s="41"/>
      <c r="AA28" s="41">
        <v>1</v>
      </c>
      <c r="AB28" s="41">
        <v>1</v>
      </c>
      <c r="AC28" s="41"/>
      <c r="AD28" s="41"/>
      <c r="AE28" s="41">
        <v>1</v>
      </c>
      <c r="CM28" t="str">
        <f t="shared" si="9"/>
        <v>0xC00C</v>
      </c>
      <c r="CN28" s="1" t="s">
        <v>1</v>
      </c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t="str">
        <f t="shared" si="10"/>
        <v>0xC800</v>
      </c>
      <c r="DD28" s="1" t="s">
        <v>1</v>
      </c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t="str">
        <f t="shared" si="7"/>
        <v>0x0000</v>
      </c>
      <c r="DT28" s="1" t="s">
        <v>1</v>
      </c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t="str">
        <f t="shared" si="8"/>
        <v>0x0000</v>
      </c>
      <c r="EJ28" s="1" t="s">
        <v>1</v>
      </c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</row>
    <row r="29" spans="1:154" x14ac:dyDescent="0.3">
      <c r="A29">
        <v>27</v>
      </c>
      <c r="B29" t="e">
        <f>HEX2BIN(#REF!,8)</f>
        <v>#REF!</v>
      </c>
      <c r="C29" t="e">
        <f>HEX2BIN(#REF!,8)</f>
        <v>#REF!</v>
      </c>
      <c r="D29" t="e">
        <f>HEX2BIN(#REF!,8)</f>
        <v>#REF!</v>
      </c>
      <c r="E29" t="e">
        <f>HEX2BIN(#REF!,8)</f>
        <v>#REF!</v>
      </c>
      <c r="F29" t="e">
        <f>HEX2BIN(#REF!,8)</f>
        <v>#REF!</v>
      </c>
      <c r="G29" t="e">
        <f>HEX2BIN(#REF!,8)</f>
        <v>#REF!</v>
      </c>
      <c r="H29" t="e">
        <f>HEX2BIN(#REF!,8)</f>
        <v>#REF!</v>
      </c>
      <c r="I29" t="e">
        <f>HEX2BIN(#REF!,8)</f>
        <v>#REF!</v>
      </c>
      <c r="K29" s="41">
        <v>1</v>
      </c>
      <c r="L29" s="41">
        <v>1</v>
      </c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>
        <v>1</v>
      </c>
      <c r="X29" s="41">
        <v>1</v>
      </c>
      <c r="Y29" s="41"/>
      <c r="Z29" s="41"/>
      <c r="AA29" s="41">
        <v>1</v>
      </c>
      <c r="AB29" s="41">
        <v>1</v>
      </c>
      <c r="AC29" s="41"/>
      <c r="AD29" s="41"/>
      <c r="AE29" s="41">
        <v>1</v>
      </c>
      <c r="CM29" t="str">
        <f t="shared" si="9"/>
        <v>0xC00C</v>
      </c>
      <c r="CN29" s="1" t="s">
        <v>1</v>
      </c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t="str">
        <f t="shared" si="10"/>
        <v>0xC800</v>
      </c>
      <c r="DD29" s="1" t="s">
        <v>1</v>
      </c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t="str">
        <f t="shared" si="7"/>
        <v>0x0000</v>
      </c>
      <c r="DT29" s="1" t="s">
        <v>1</v>
      </c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t="str">
        <f t="shared" si="8"/>
        <v>0x0000</v>
      </c>
      <c r="EJ29" s="1" t="s">
        <v>1</v>
      </c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</row>
    <row r="30" spans="1:154" x14ac:dyDescent="0.3">
      <c r="A30">
        <v>28</v>
      </c>
      <c r="B30" t="e">
        <f>HEX2BIN(#REF!,8)</f>
        <v>#REF!</v>
      </c>
      <c r="C30" t="e">
        <f>HEX2BIN(#REF!,8)</f>
        <v>#REF!</v>
      </c>
      <c r="D30" t="e">
        <f>HEX2BIN(#REF!,8)</f>
        <v>#REF!</v>
      </c>
      <c r="E30" t="e">
        <f>HEX2BIN(#REF!,8)</f>
        <v>#REF!</v>
      </c>
      <c r="F30" t="e">
        <f>HEX2BIN(#REF!,8)</f>
        <v>#REF!</v>
      </c>
      <c r="G30" t="e">
        <f>HEX2BIN(#REF!,8)</f>
        <v>#REF!</v>
      </c>
      <c r="H30" t="e">
        <f>HEX2BIN(#REF!,8)</f>
        <v>#REF!</v>
      </c>
      <c r="I30" t="e">
        <f>HEX2BIN(#REF!,8)</f>
        <v>#REF!</v>
      </c>
      <c r="K30" s="41"/>
      <c r="L30" s="41">
        <v>1</v>
      </c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>
        <v>1</v>
      </c>
      <c r="X30" s="41">
        <v>1</v>
      </c>
      <c r="Y30" s="41"/>
      <c r="Z30" s="41"/>
      <c r="AA30" s="41">
        <v>1</v>
      </c>
      <c r="AB30" s="41">
        <v>1</v>
      </c>
      <c r="AC30" s="41"/>
      <c r="AD30" s="41"/>
      <c r="AE30" s="41">
        <v>1</v>
      </c>
      <c r="CM30" t="str">
        <f t="shared" si="9"/>
        <v>0x400C</v>
      </c>
      <c r="CN30" s="1" t="s">
        <v>1</v>
      </c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t="str">
        <f t="shared" si="10"/>
        <v>0xC800</v>
      </c>
      <c r="DD30" s="1" t="s">
        <v>1</v>
      </c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t="str">
        <f t="shared" si="7"/>
        <v>0x0000</v>
      </c>
      <c r="DT30" s="1" t="s">
        <v>1</v>
      </c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t="str">
        <f t="shared" si="8"/>
        <v>0x0000</v>
      </c>
      <c r="EJ30" s="1" t="s">
        <v>1</v>
      </c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</row>
    <row r="31" spans="1:154" x14ac:dyDescent="0.3">
      <c r="A31">
        <v>29</v>
      </c>
      <c r="B31" t="e">
        <f>HEX2BIN(#REF!,8)</f>
        <v>#REF!</v>
      </c>
      <c r="C31" t="e">
        <f>HEX2BIN(#REF!,8)</f>
        <v>#REF!</v>
      </c>
      <c r="D31" t="e">
        <f>HEX2BIN(#REF!,8)</f>
        <v>#REF!</v>
      </c>
      <c r="E31" t="e">
        <f>HEX2BIN(#REF!,8)</f>
        <v>#REF!</v>
      </c>
      <c r="F31" t="e">
        <f>HEX2BIN(#REF!,8)</f>
        <v>#REF!</v>
      </c>
      <c r="G31" t="e">
        <f>HEX2BIN(#REF!,8)</f>
        <v>#REF!</v>
      </c>
      <c r="H31" t="e">
        <f>HEX2BIN(#REF!,8)</f>
        <v>#REF!</v>
      </c>
      <c r="I31" t="e">
        <f>HEX2BIN(#REF!,8)</f>
        <v>#REF!</v>
      </c>
      <c r="K31" s="41"/>
      <c r="L31" s="41">
        <v>1</v>
      </c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>
        <v>1</v>
      </c>
      <c r="CM31" t="str">
        <f t="shared" si="9"/>
        <v>0x4000</v>
      </c>
      <c r="CN31" s="1" t="s">
        <v>1</v>
      </c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t="str">
        <f t="shared" si="10"/>
        <v>0x0800</v>
      </c>
      <c r="DD31" s="1" t="s">
        <v>1</v>
      </c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t="str">
        <f t="shared" si="7"/>
        <v>0x0000</v>
      </c>
      <c r="DT31" s="1" t="s">
        <v>1</v>
      </c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t="str">
        <f t="shared" si="8"/>
        <v>0x0000</v>
      </c>
      <c r="EJ31" s="1" t="s">
        <v>1</v>
      </c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</row>
    <row r="32" spans="1:154" x14ac:dyDescent="0.3">
      <c r="A32">
        <v>30</v>
      </c>
      <c r="B32" t="e">
        <f>HEX2BIN(#REF!,8)</f>
        <v>#REF!</v>
      </c>
      <c r="C32" t="e">
        <f>HEX2BIN(#REF!,8)</f>
        <v>#REF!</v>
      </c>
      <c r="D32" t="e">
        <f>HEX2BIN(#REF!,8)</f>
        <v>#REF!</v>
      </c>
      <c r="E32" t="e">
        <f>HEX2BIN(#REF!,8)</f>
        <v>#REF!</v>
      </c>
      <c r="F32" t="e">
        <f>HEX2BIN(#REF!,8)</f>
        <v>#REF!</v>
      </c>
      <c r="G32" t="e">
        <f>HEX2BIN(#REF!,8)</f>
        <v>#REF!</v>
      </c>
      <c r="H32" t="e">
        <f>HEX2BIN(#REF!,8)</f>
        <v>#REF!</v>
      </c>
      <c r="I32" t="e">
        <f>HEX2BIN(#REF!,8)</f>
        <v>#REF!</v>
      </c>
      <c r="K32" s="41"/>
      <c r="L32" s="41">
        <v>1</v>
      </c>
      <c r="M32" s="41">
        <v>1</v>
      </c>
      <c r="N32" s="41">
        <v>1</v>
      </c>
      <c r="O32" s="41">
        <v>1</v>
      </c>
      <c r="P32" s="41">
        <v>1</v>
      </c>
      <c r="Q32" s="41">
        <v>1</v>
      </c>
      <c r="R32" s="41">
        <v>1</v>
      </c>
      <c r="S32" s="41">
        <v>1</v>
      </c>
      <c r="T32" s="41">
        <v>1</v>
      </c>
      <c r="U32" s="41">
        <v>1</v>
      </c>
      <c r="V32" s="41">
        <v>1</v>
      </c>
      <c r="W32" s="41">
        <v>1</v>
      </c>
      <c r="X32" s="41">
        <v>1</v>
      </c>
      <c r="Y32" s="41">
        <v>1</v>
      </c>
      <c r="Z32" s="41">
        <v>1</v>
      </c>
      <c r="AA32" s="41">
        <v>1</v>
      </c>
      <c r="AB32" s="41">
        <v>1</v>
      </c>
      <c r="AC32" s="41">
        <v>1</v>
      </c>
      <c r="AD32" s="41">
        <v>1</v>
      </c>
      <c r="AE32" s="41">
        <v>1</v>
      </c>
      <c r="CM32" t="str">
        <f t="shared" si="9"/>
        <v>0x7FFF</v>
      </c>
      <c r="CN32" s="1" t="s">
        <v>1</v>
      </c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t="str">
        <f t="shared" si="10"/>
        <v>0xF800</v>
      </c>
      <c r="DD32" s="1" t="s">
        <v>1</v>
      </c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t="str">
        <f t="shared" si="7"/>
        <v>0x0000</v>
      </c>
      <c r="DT32" s="1" t="s">
        <v>1</v>
      </c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t="str">
        <f t="shared" si="8"/>
        <v>0x0000</v>
      </c>
      <c r="EJ32" s="1" t="s">
        <v>1</v>
      </c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</row>
    <row r="33" spans="1:154" x14ac:dyDescent="0.3">
      <c r="A33">
        <v>31</v>
      </c>
      <c r="B33" t="e">
        <f>HEX2BIN(#REF!,8)</f>
        <v>#REF!</v>
      </c>
      <c r="C33" t="e">
        <f>HEX2BIN(#REF!,8)</f>
        <v>#REF!</v>
      </c>
      <c r="D33" t="e">
        <f>HEX2BIN(#REF!,8)</f>
        <v>#REF!</v>
      </c>
      <c r="E33" t="e">
        <f>HEX2BIN(#REF!,8)</f>
        <v>#REF!</v>
      </c>
      <c r="F33" t="e">
        <f>HEX2BIN(#REF!,8)</f>
        <v>#REF!</v>
      </c>
      <c r="G33" t="e">
        <f>HEX2BIN(#REF!,8)</f>
        <v>#REF!</v>
      </c>
      <c r="H33" t="e">
        <f>HEX2BIN(#REF!,8)</f>
        <v>#REF!</v>
      </c>
      <c r="I33" t="e">
        <f>HEX2BIN(#REF!,8)</f>
        <v>#REF!</v>
      </c>
      <c r="K33" s="31"/>
      <c r="L33" s="31">
        <v>1</v>
      </c>
      <c r="M33" s="31">
        <v>1</v>
      </c>
      <c r="N33" s="31">
        <v>1</v>
      </c>
      <c r="O33" s="31">
        <v>1</v>
      </c>
      <c r="P33" s="31">
        <v>1</v>
      </c>
      <c r="Q33" s="31">
        <v>1</v>
      </c>
      <c r="R33" s="31">
        <v>1</v>
      </c>
      <c r="S33" s="31">
        <v>1</v>
      </c>
      <c r="T33" s="31">
        <v>1</v>
      </c>
      <c r="U33" s="31">
        <v>1</v>
      </c>
      <c r="V33" s="31">
        <v>1</v>
      </c>
      <c r="W33" s="31">
        <v>1</v>
      </c>
      <c r="X33" s="31">
        <v>1</v>
      </c>
      <c r="Y33" s="31">
        <v>1</v>
      </c>
      <c r="Z33" s="31">
        <v>1</v>
      </c>
      <c r="AA33" s="31">
        <v>1</v>
      </c>
      <c r="AB33" s="31">
        <v>1</v>
      </c>
      <c r="AC33" s="31">
        <v>1</v>
      </c>
      <c r="AD33" s="41">
        <v>1</v>
      </c>
      <c r="AE33" s="41">
        <v>1</v>
      </c>
      <c r="CM33" t="str">
        <f t="shared" si="9"/>
        <v>0x7FFF</v>
      </c>
      <c r="CN33" s="1" t="s">
        <v>1</v>
      </c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t="str">
        <f t="shared" si="10"/>
        <v>0xF800</v>
      </c>
      <c r="DD33" s="1" t="s">
        <v>1</v>
      </c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t="str">
        <f t="shared" si="7"/>
        <v>0x0000</v>
      </c>
      <c r="DT33" s="1" t="s">
        <v>1</v>
      </c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t="str">
        <f t="shared" si="8"/>
        <v>0x0000</v>
      </c>
      <c r="EJ33" s="1" t="s">
        <v>1</v>
      </c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</row>
    <row r="34" spans="1:154" x14ac:dyDescent="0.3">
      <c r="A34">
        <v>32</v>
      </c>
      <c r="B34" t="e">
        <f>HEX2BIN(#REF!,8)</f>
        <v>#REF!</v>
      </c>
      <c r="C34" t="e">
        <f>HEX2BIN(#REF!,8)</f>
        <v>#REF!</v>
      </c>
      <c r="D34" t="e">
        <f>HEX2BIN(#REF!,8)</f>
        <v>#REF!</v>
      </c>
      <c r="E34" t="e">
        <f>HEX2BIN(#REF!,8)</f>
        <v>#REF!</v>
      </c>
      <c r="F34" t="e">
        <f>HEX2BIN(#REF!,8)</f>
        <v>#REF!</v>
      </c>
      <c r="G34" t="e">
        <f>HEX2BIN(#REF!,8)</f>
        <v>#REF!</v>
      </c>
      <c r="H34" t="e">
        <f>HEX2BIN(#REF!,8)</f>
        <v>#REF!</v>
      </c>
      <c r="I34" t="e">
        <f>HEX2BIN(#REF!,8)</f>
        <v>#REF!</v>
      </c>
      <c r="K34" s="41"/>
      <c r="L34" s="41">
        <v>1</v>
      </c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>
        <v>1</v>
      </c>
      <c r="CM34" t="str">
        <f t="shared" si="9"/>
        <v>0x4000</v>
      </c>
      <c r="CN34" s="1" t="s">
        <v>1</v>
      </c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t="str">
        <f t="shared" si="10"/>
        <v>0x0800</v>
      </c>
      <c r="DD34" s="1" t="s">
        <v>1</v>
      </c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t="str">
        <f t="shared" si="7"/>
        <v>0x0000</v>
      </c>
      <c r="DT34" s="1" t="s">
        <v>1</v>
      </c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t="str">
        <f t="shared" si="8"/>
        <v>0x0000</v>
      </c>
      <c r="EJ34" s="1" t="s">
        <v>1</v>
      </c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</row>
    <row r="35" spans="1:154" x14ac:dyDescent="0.3">
      <c r="A35">
        <v>33</v>
      </c>
      <c r="B35" t="e">
        <f>HEX2BIN(#REF!,8)</f>
        <v>#REF!</v>
      </c>
      <c r="C35" t="e">
        <f>HEX2BIN(#REF!,8)</f>
        <v>#REF!</v>
      </c>
      <c r="D35" t="e">
        <f>HEX2BIN(#REF!,8)</f>
        <v>#REF!</v>
      </c>
      <c r="E35" t="e">
        <f>HEX2BIN(#REF!,8)</f>
        <v>#REF!</v>
      </c>
      <c r="F35" t="e">
        <f>HEX2BIN(#REF!,8)</f>
        <v>#REF!</v>
      </c>
      <c r="G35" t="e">
        <f>HEX2BIN(#REF!,8)</f>
        <v>#REF!</v>
      </c>
      <c r="H35" t="e">
        <f>HEX2BIN(#REF!,8)</f>
        <v>#REF!</v>
      </c>
      <c r="I35" t="e">
        <f>HEX2BIN(#REF!,8)</f>
        <v>#REF!</v>
      </c>
      <c r="K35" s="41"/>
      <c r="L35" s="41">
        <v>1</v>
      </c>
      <c r="M35" s="41"/>
      <c r="N35" s="41"/>
      <c r="O35" s="41"/>
      <c r="P35" s="41"/>
      <c r="Q35" s="41"/>
      <c r="R35" s="41"/>
      <c r="S35" s="41">
        <v>1</v>
      </c>
      <c r="T35" s="41">
        <v>1</v>
      </c>
      <c r="U35" s="41"/>
      <c r="V35" s="41"/>
      <c r="W35" s="41">
        <v>1</v>
      </c>
      <c r="X35" s="41">
        <v>1</v>
      </c>
      <c r="Y35" s="41"/>
      <c r="Z35" s="41"/>
      <c r="AA35" s="41">
        <v>1</v>
      </c>
      <c r="AB35" s="41">
        <v>1</v>
      </c>
      <c r="AC35" s="41"/>
      <c r="AD35" s="41"/>
      <c r="AE35" s="41">
        <v>1</v>
      </c>
      <c r="CM35" t="str">
        <f t="shared" si="9"/>
        <v>0x40CC</v>
      </c>
      <c r="CN35" s="1" t="s">
        <v>1</v>
      </c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t="str">
        <f t="shared" si="10"/>
        <v>0xC800</v>
      </c>
      <c r="DD35" s="1" t="s">
        <v>1</v>
      </c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t="str">
        <f t="shared" si="7"/>
        <v>0x0000</v>
      </c>
      <c r="DT35" s="1" t="s">
        <v>1</v>
      </c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t="str">
        <f t="shared" si="8"/>
        <v>0x0000</v>
      </c>
      <c r="EJ35" s="1" t="s">
        <v>1</v>
      </c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</row>
    <row r="36" spans="1:154" x14ac:dyDescent="0.3">
      <c r="A36">
        <v>34</v>
      </c>
      <c r="B36" t="e">
        <f>HEX2BIN(#REF!,8)</f>
        <v>#REF!</v>
      </c>
      <c r="C36" t="e">
        <f>HEX2BIN(#REF!,8)</f>
        <v>#REF!</v>
      </c>
      <c r="D36" t="e">
        <f>HEX2BIN(#REF!,8)</f>
        <v>#REF!</v>
      </c>
      <c r="E36" t="e">
        <f>HEX2BIN(#REF!,8)</f>
        <v>#REF!</v>
      </c>
      <c r="F36" t="e">
        <f>HEX2BIN(#REF!,8)</f>
        <v>#REF!</v>
      </c>
      <c r="G36" t="e">
        <f>HEX2BIN(#REF!,8)</f>
        <v>#REF!</v>
      </c>
      <c r="H36" t="e">
        <f>HEX2BIN(#REF!,8)</f>
        <v>#REF!</v>
      </c>
      <c r="I36" t="e">
        <f>HEX2BIN(#REF!,8)</f>
        <v>#REF!</v>
      </c>
      <c r="K36" s="41">
        <v>1</v>
      </c>
      <c r="L36" s="41">
        <v>1</v>
      </c>
      <c r="M36" s="41"/>
      <c r="N36" s="41"/>
      <c r="O36" s="41"/>
      <c r="P36" s="41"/>
      <c r="Q36" s="41"/>
      <c r="R36" s="41"/>
      <c r="S36" s="41">
        <v>1</v>
      </c>
      <c r="T36" s="41">
        <v>1</v>
      </c>
      <c r="U36" s="41"/>
      <c r="V36" s="41"/>
      <c r="W36" s="41">
        <v>1</v>
      </c>
      <c r="X36" s="41">
        <v>1</v>
      </c>
      <c r="Y36" s="41"/>
      <c r="Z36" s="41"/>
      <c r="AA36" s="41">
        <v>1</v>
      </c>
      <c r="AB36" s="41">
        <v>1</v>
      </c>
      <c r="AC36" s="41"/>
      <c r="AD36" s="41"/>
      <c r="AE36" s="41">
        <v>1</v>
      </c>
      <c r="CM36" t="str">
        <f t="shared" si="9"/>
        <v>0xC0CC</v>
      </c>
      <c r="CN36" s="1" t="s">
        <v>1</v>
      </c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t="str">
        <f t="shared" si="10"/>
        <v>0xC800</v>
      </c>
      <c r="DD36" s="1" t="s">
        <v>1</v>
      </c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t="str">
        <f t="shared" si="7"/>
        <v>0x0000</v>
      </c>
      <c r="DT36" s="1" t="s">
        <v>1</v>
      </c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t="str">
        <f t="shared" si="8"/>
        <v>0x0000</v>
      </c>
      <c r="EJ36" s="1" t="s">
        <v>1</v>
      </c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</row>
    <row r="37" spans="1:154" x14ac:dyDescent="0.3">
      <c r="A37">
        <v>35</v>
      </c>
      <c r="B37" t="e">
        <f>HEX2BIN(#REF!,8)</f>
        <v>#REF!</v>
      </c>
      <c r="C37" t="e">
        <f>HEX2BIN(#REF!,8)</f>
        <v>#REF!</v>
      </c>
      <c r="D37" t="e">
        <f>HEX2BIN(#REF!,8)</f>
        <v>#REF!</v>
      </c>
      <c r="E37" t="e">
        <f>HEX2BIN(#REF!,8)</f>
        <v>#REF!</v>
      </c>
      <c r="F37" t="e">
        <f>HEX2BIN(#REF!,8)</f>
        <v>#REF!</v>
      </c>
      <c r="G37" t="e">
        <f>HEX2BIN(#REF!,8)</f>
        <v>#REF!</v>
      </c>
      <c r="H37" t="e">
        <f>HEX2BIN(#REF!,8)</f>
        <v>#REF!</v>
      </c>
      <c r="I37" t="e">
        <f>HEX2BIN(#REF!,8)</f>
        <v>#REF!</v>
      </c>
      <c r="K37" s="41">
        <v>1</v>
      </c>
      <c r="L37" s="41">
        <v>1</v>
      </c>
      <c r="M37" s="41"/>
      <c r="N37" s="41"/>
      <c r="O37" s="41"/>
      <c r="P37" s="41"/>
      <c r="Q37" s="41"/>
      <c r="R37" s="41"/>
      <c r="S37" s="41">
        <v>1</v>
      </c>
      <c r="T37" s="41">
        <v>1</v>
      </c>
      <c r="U37" s="41"/>
      <c r="V37" s="41"/>
      <c r="W37" s="41">
        <v>1</v>
      </c>
      <c r="X37" s="41">
        <v>1</v>
      </c>
      <c r="Y37" s="41"/>
      <c r="Z37" s="41"/>
      <c r="AA37" s="41">
        <v>1</v>
      </c>
      <c r="AB37" s="41">
        <v>1</v>
      </c>
      <c r="AC37" s="41"/>
      <c r="AD37" s="41"/>
      <c r="AE37" s="41">
        <v>1</v>
      </c>
      <c r="CM37" t="str">
        <f t="shared" si="9"/>
        <v>0xC0CC</v>
      </c>
      <c r="CN37" s="1" t="s">
        <v>1</v>
      </c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t="str">
        <f t="shared" si="10"/>
        <v>0xC800</v>
      </c>
      <c r="DD37" s="1" t="s">
        <v>1</v>
      </c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t="str">
        <f t="shared" si="7"/>
        <v>0x0000</v>
      </c>
      <c r="DT37" s="1" t="s">
        <v>1</v>
      </c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t="str">
        <f t="shared" si="8"/>
        <v>0x0000</v>
      </c>
      <c r="EJ37" s="1" t="s">
        <v>1</v>
      </c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</row>
    <row r="38" spans="1:154" x14ac:dyDescent="0.3">
      <c r="A38">
        <v>36</v>
      </c>
      <c r="B38" t="e">
        <f>HEX2BIN(#REF!,8)</f>
        <v>#REF!</v>
      </c>
      <c r="C38" t="e">
        <f>HEX2BIN(#REF!,8)</f>
        <v>#REF!</v>
      </c>
      <c r="D38" t="e">
        <f>HEX2BIN(#REF!,8)</f>
        <v>#REF!</v>
      </c>
      <c r="E38" t="e">
        <f>HEX2BIN(#REF!,8)</f>
        <v>#REF!</v>
      </c>
      <c r="F38" t="e">
        <f>HEX2BIN(#REF!,8)</f>
        <v>#REF!</v>
      </c>
      <c r="G38" t="e">
        <f>HEX2BIN(#REF!,8)</f>
        <v>#REF!</v>
      </c>
      <c r="H38" t="e">
        <f>HEX2BIN(#REF!,8)</f>
        <v>#REF!</v>
      </c>
      <c r="I38" t="e">
        <f>HEX2BIN(#REF!,8)</f>
        <v>#REF!</v>
      </c>
      <c r="K38" s="41">
        <v>1</v>
      </c>
      <c r="L38" s="41">
        <v>1</v>
      </c>
      <c r="M38" s="41"/>
      <c r="N38" s="41"/>
      <c r="O38" s="41"/>
      <c r="P38" s="41"/>
      <c r="Q38" s="41"/>
      <c r="R38" s="41"/>
      <c r="S38" s="41">
        <v>1</v>
      </c>
      <c r="T38" s="41">
        <v>1</v>
      </c>
      <c r="U38" s="41"/>
      <c r="V38" s="41"/>
      <c r="W38" s="41">
        <v>1</v>
      </c>
      <c r="X38" s="41">
        <v>1</v>
      </c>
      <c r="Y38" s="41"/>
      <c r="Z38" s="41"/>
      <c r="AA38" s="41">
        <v>1</v>
      </c>
      <c r="AB38" s="41">
        <v>1</v>
      </c>
      <c r="AC38" s="41"/>
      <c r="AD38" s="41"/>
      <c r="AE38" s="41">
        <v>1</v>
      </c>
      <c r="CM38" t="str">
        <f t="shared" si="9"/>
        <v>0xC0CC</v>
      </c>
      <c r="CN38" s="1" t="s">
        <v>1</v>
      </c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t="str">
        <f t="shared" si="10"/>
        <v>0xC800</v>
      </c>
      <c r="DD38" s="1" t="s">
        <v>1</v>
      </c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t="str">
        <f t="shared" si="7"/>
        <v>0x0000</v>
      </c>
      <c r="DT38" s="1" t="s">
        <v>1</v>
      </c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t="str">
        <f t="shared" si="8"/>
        <v>0x0000</v>
      </c>
      <c r="EJ38" s="1" t="s">
        <v>1</v>
      </c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</row>
    <row r="39" spans="1:154" x14ac:dyDescent="0.3">
      <c r="A39">
        <v>37</v>
      </c>
      <c r="B39" t="e">
        <f>HEX2BIN(#REF!,8)</f>
        <v>#REF!</v>
      </c>
      <c r="C39" t="e">
        <f>HEX2BIN(#REF!,8)</f>
        <v>#REF!</v>
      </c>
      <c r="D39" t="e">
        <f>HEX2BIN(#REF!,8)</f>
        <v>#REF!</v>
      </c>
      <c r="E39" t="e">
        <f>HEX2BIN(#REF!,8)</f>
        <v>#REF!</v>
      </c>
      <c r="F39" t="e">
        <f>HEX2BIN(#REF!,8)</f>
        <v>#REF!</v>
      </c>
      <c r="G39" t="e">
        <f>HEX2BIN(#REF!,8)</f>
        <v>#REF!</v>
      </c>
      <c r="H39" t="e">
        <f>HEX2BIN(#REF!,8)</f>
        <v>#REF!</v>
      </c>
      <c r="I39" t="e">
        <f>HEX2BIN(#REF!,8)</f>
        <v>#REF!</v>
      </c>
      <c r="K39" s="41">
        <v>1</v>
      </c>
      <c r="L39" s="41">
        <v>1</v>
      </c>
      <c r="M39" s="41"/>
      <c r="N39" s="41"/>
      <c r="O39" s="41"/>
      <c r="P39" s="41"/>
      <c r="Q39" s="41"/>
      <c r="R39" s="41"/>
      <c r="S39" s="41">
        <v>1</v>
      </c>
      <c r="T39" s="41">
        <v>1</v>
      </c>
      <c r="U39" s="41"/>
      <c r="V39" s="41"/>
      <c r="W39" s="41">
        <v>1</v>
      </c>
      <c r="X39" s="41">
        <v>1</v>
      </c>
      <c r="Y39" s="41"/>
      <c r="Z39" s="41"/>
      <c r="AA39" s="41">
        <v>1</v>
      </c>
      <c r="AB39" s="41">
        <v>1</v>
      </c>
      <c r="AC39" s="41"/>
      <c r="AD39" s="41"/>
      <c r="AE39" s="41">
        <v>1</v>
      </c>
      <c r="CM39" t="str">
        <f t="shared" si="9"/>
        <v>0xC0CC</v>
      </c>
      <c r="CN39" s="1" t="s">
        <v>1</v>
      </c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t="str">
        <f t="shared" si="10"/>
        <v>0xC800</v>
      </c>
      <c r="DD39" s="1" t="s">
        <v>1</v>
      </c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t="str">
        <f t="shared" si="7"/>
        <v>0x0000</v>
      </c>
      <c r="DT39" s="1" t="s">
        <v>1</v>
      </c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t="str">
        <f t="shared" si="8"/>
        <v>0x0000</v>
      </c>
      <c r="EJ39" s="1" t="s">
        <v>1</v>
      </c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</row>
    <row r="40" spans="1:154" x14ac:dyDescent="0.3">
      <c r="A40">
        <v>38</v>
      </c>
      <c r="B40" t="e">
        <f>HEX2BIN(#REF!,8)</f>
        <v>#REF!</v>
      </c>
      <c r="C40" t="e">
        <f>HEX2BIN(#REF!,8)</f>
        <v>#REF!</v>
      </c>
      <c r="D40" t="e">
        <f>HEX2BIN(#REF!,8)</f>
        <v>#REF!</v>
      </c>
      <c r="E40" t="e">
        <f>HEX2BIN(#REF!,8)</f>
        <v>#REF!</v>
      </c>
      <c r="F40" t="e">
        <f>HEX2BIN(#REF!,8)</f>
        <v>#REF!</v>
      </c>
      <c r="G40" t="e">
        <f>HEX2BIN(#REF!,8)</f>
        <v>#REF!</v>
      </c>
      <c r="H40" t="e">
        <f>HEX2BIN(#REF!,8)</f>
        <v>#REF!</v>
      </c>
      <c r="I40" t="e">
        <f>HEX2BIN(#REF!,8)</f>
        <v>#REF!</v>
      </c>
      <c r="K40" s="41"/>
      <c r="L40" s="41">
        <v>1</v>
      </c>
      <c r="M40" s="41"/>
      <c r="N40" s="41"/>
      <c r="O40" s="41"/>
      <c r="P40" s="41"/>
      <c r="Q40" s="41"/>
      <c r="R40" s="41"/>
      <c r="S40" s="41">
        <v>1</v>
      </c>
      <c r="T40" s="41">
        <v>1</v>
      </c>
      <c r="U40" s="41"/>
      <c r="V40" s="41"/>
      <c r="W40" s="41">
        <v>1</v>
      </c>
      <c r="X40" s="41">
        <v>1</v>
      </c>
      <c r="Y40" s="41"/>
      <c r="Z40" s="41"/>
      <c r="AA40" s="41">
        <v>1</v>
      </c>
      <c r="AB40" s="41">
        <v>1</v>
      </c>
      <c r="AC40" s="41"/>
      <c r="AD40" s="41"/>
      <c r="AE40" s="41">
        <v>1</v>
      </c>
      <c r="CM40" t="str">
        <f t="shared" si="9"/>
        <v>0x40CC</v>
      </c>
      <c r="CN40" s="1" t="s">
        <v>1</v>
      </c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t="str">
        <f t="shared" si="10"/>
        <v>0xC800</v>
      </c>
      <c r="DD40" s="1" t="s">
        <v>1</v>
      </c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t="str">
        <f t="shared" si="7"/>
        <v>0x0000</v>
      </c>
      <c r="DT40" s="1" t="s">
        <v>1</v>
      </c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t="str">
        <f t="shared" si="8"/>
        <v>0x0000</v>
      </c>
      <c r="EJ40" s="1" t="s">
        <v>1</v>
      </c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</row>
    <row r="41" spans="1:154" x14ac:dyDescent="0.3">
      <c r="A41">
        <v>39</v>
      </c>
      <c r="B41" t="e">
        <f>HEX2BIN(#REF!,8)</f>
        <v>#REF!</v>
      </c>
      <c r="C41" t="e">
        <f>HEX2BIN(#REF!,8)</f>
        <v>#REF!</v>
      </c>
      <c r="D41" t="e">
        <f>HEX2BIN(#REF!,8)</f>
        <v>#REF!</v>
      </c>
      <c r="E41" t="e">
        <f>HEX2BIN(#REF!,8)</f>
        <v>#REF!</v>
      </c>
      <c r="F41" t="e">
        <f>HEX2BIN(#REF!,8)</f>
        <v>#REF!</v>
      </c>
      <c r="G41" t="e">
        <f>HEX2BIN(#REF!,8)</f>
        <v>#REF!</v>
      </c>
      <c r="H41" t="e">
        <f>HEX2BIN(#REF!,8)</f>
        <v>#REF!</v>
      </c>
      <c r="I41" t="e">
        <f>HEX2BIN(#REF!,8)</f>
        <v>#REF!</v>
      </c>
      <c r="K41" s="41"/>
      <c r="L41" s="41">
        <v>1</v>
      </c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>
        <v>1</v>
      </c>
      <c r="CM41" t="str">
        <f t="shared" si="9"/>
        <v>0x4000</v>
      </c>
      <c r="CN41" s="1" t="s">
        <v>1</v>
      </c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t="str">
        <f t="shared" si="10"/>
        <v>0x0800</v>
      </c>
      <c r="DD41" s="1" t="s">
        <v>1</v>
      </c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t="str">
        <f t="shared" si="7"/>
        <v>0x0000</v>
      </c>
      <c r="DT41" s="1" t="s">
        <v>1</v>
      </c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t="str">
        <f t="shared" si="8"/>
        <v>0x0000</v>
      </c>
      <c r="EJ41" s="1" t="s">
        <v>1</v>
      </c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</row>
    <row r="42" spans="1:154" x14ac:dyDescent="0.3">
      <c r="A42">
        <v>40</v>
      </c>
      <c r="B42" t="e">
        <f>HEX2BIN(#REF!,8)</f>
        <v>#REF!</v>
      </c>
      <c r="C42" t="e">
        <f>HEX2BIN(#REF!,8)</f>
        <v>#REF!</v>
      </c>
      <c r="D42" t="e">
        <f>HEX2BIN(#REF!,8)</f>
        <v>#REF!</v>
      </c>
      <c r="E42" t="e">
        <f>HEX2BIN(#REF!,8)</f>
        <v>#REF!</v>
      </c>
      <c r="F42" t="e">
        <f>HEX2BIN(#REF!,8)</f>
        <v>#REF!</v>
      </c>
      <c r="G42" t="e">
        <f>HEX2BIN(#REF!,8)</f>
        <v>#REF!</v>
      </c>
      <c r="H42" t="e">
        <f>HEX2BIN(#REF!,8)</f>
        <v>#REF!</v>
      </c>
      <c r="I42" t="e">
        <f>HEX2BIN(#REF!,8)</f>
        <v>#REF!</v>
      </c>
      <c r="K42" s="41"/>
      <c r="L42" s="41">
        <v>1</v>
      </c>
      <c r="M42" s="41">
        <v>1</v>
      </c>
      <c r="N42" s="41">
        <v>1</v>
      </c>
      <c r="O42" s="41">
        <v>1</v>
      </c>
      <c r="P42" s="41">
        <v>1</v>
      </c>
      <c r="Q42" s="41">
        <v>1</v>
      </c>
      <c r="R42" s="41">
        <v>1</v>
      </c>
      <c r="S42" s="41">
        <v>1</v>
      </c>
      <c r="T42" s="41">
        <v>1</v>
      </c>
      <c r="U42" s="41">
        <v>1</v>
      </c>
      <c r="V42" s="41">
        <v>1</v>
      </c>
      <c r="W42" s="41">
        <v>1</v>
      </c>
      <c r="X42" s="41">
        <v>1</v>
      </c>
      <c r="Y42" s="41">
        <v>1</v>
      </c>
      <c r="Z42" s="41">
        <v>1</v>
      </c>
      <c r="AA42" s="41">
        <v>1</v>
      </c>
      <c r="AB42" s="41">
        <v>1</v>
      </c>
      <c r="AC42" s="41">
        <v>1</v>
      </c>
      <c r="AD42" s="41">
        <v>1</v>
      </c>
      <c r="AE42" s="41">
        <v>1</v>
      </c>
      <c r="CM42" t="str">
        <f t="shared" si="9"/>
        <v>0x7FFF</v>
      </c>
      <c r="CN42" s="1" t="s">
        <v>1</v>
      </c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t="str">
        <f t="shared" si="10"/>
        <v>0xF800</v>
      </c>
      <c r="DD42" s="1" t="s">
        <v>1</v>
      </c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t="str">
        <f t="shared" si="7"/>
        <v>0x0000</v>
      </c>
      <c r="DT42" s="1" t="s">
        <v>1</v>
      </c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t="str">
        <f t="shared" si="8"/>
        <v>0x0000</v>
      </c>
      <c r="EJ42" s="1" t="s">
        <v>1</v>
      </c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</row>
    <row r="43" spans="1:154" x14ac:dyDescent="0.3">
      <c r="A43">
        <v>41</v>
      </c>
      <c r="B43" t="e">
        <f>HEX2BIN(#REF!,8)</f>
        <v>#REF!</v>
      </c>
      <c r="C43" t="e">
        <f>HEX2BIN(#REF!,8)</f>
        <v>#REF!</v>
      </c>
      <c r="D43" t="e">
        <f>HEX2BIN(#REF!,8)</f>
        <v>#REF!</v>
      </c>
      <c r="E43" t="e">
        <f>HEX2BIN(#REF!,8)</f>
        <v>#REF!</v>
      </c>
      <c r="F43" t="e">
        <f>HEX2BIN(#REF!,8)</f>
        <v>#REF!</v>
      </c>
      <c r="G43" t="e">
        <f>HEX2BIN(#REF!,8)</f>
        <v>#REF!</v>
      </c>
      <c r="H43" t="e">
        <f>HEX2BIN(#REF!,8)</f>
        <v>#REF!</v>
      </c>
      <c r="I43" t="e">
        <f>HEX2BIN(#REF!,8)</f>
        <v>#REF!</v>
      </c>
      <c r="K43" s="31"/>
      <c r="L43" s="31">
        <v>1</v>
      </c>
      <c r="M43" s="31">
        <v>1</v>
      </c>
      <c r="N43" s="31">
        <v>1</v>
      </c>
      <c r="O43" s="31">
        <v>1</v>
      </c>
      <c r="P43" s="31">
        <v>1</v>
      </c>
      <c r="Q43" s="31">
        <v>1</v>
      </c>
      <c r="R43" s="31">
        <v>1</v>
      </c>
      <c r="S43" s="31">
        <v>1</v>
      </c>
      <c r="T43" s="31">
        <v>1</v>
      </c>
      <c r="U43" s="31">
        <v>1</v>
      </c>
      <c r="V43" s="31">
        <v>1</v>
      </c>
      <c r="W43" s="31">
        <v>1</v>
      </c>
      <c r="X43" s="31">
        <v>1</v>
      </c>
      <c r="Y43" s="31">
        <v>1</v>
      </c>
      <c r="Z43" s="31">
        <v>1</v>
      </c>
      <c r="AA43" s="31">
        <v>1</v>
      </c>
      <c r="AB43" s="31">
        <v>1</v>
      </c>
      <c r="AC43" s="31">
        <v>1</v>
      </c>
      <c r="AD43" s="41">
        <v>1</v>
      </c>
      <c r="AE43" s="41">
        <v>1</v>
      </c>
      <c r="CM43" t="str">
        <f t="shared" si="9"/>
        <v>0x7FFF</v>
      </c>
      <c r="CN43" s="1" t="s">
        <v>1</v>
      </c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t="str">
        <f t="shared" si="10"/>
        <v>0xF800</v>
      </c>
      <c r="DD43" s="1" t="s">
        <v>1</v>
      </c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t="str">
        <f t="shared" si="7"/>
        <v>0x0000</v>
      </c>
      <c r="DT43" s="1" t="s">
        <v>1</v>
      </c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t="str">
        <f t="shared" si="8"/>
        <v>0x0000</v>
      </c>
      <c r="EJ43" s="1" t="s">
        <v>1</v>
      </c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</row>
    <row r="44" spans="1:154" x14ac:dyDescent="0.3">
      <c r="A44">
        <v>42</v>
      </c>
      <c r="B44" t="e">
        <f>HEX2BIN(#REF!,8)</f>
        <v>#REF!</v>
      </c>
      <c r="C44" t="e">
        <f>HEX2BIN(#REF!,8)</f>
        <v>#REF!</v>
      </c>
      <c r="D44" t="e">
        <f>HEX2BIN(#REF!,8)</f>
        <v>#REF!</v>
      </c>
      <c r="E44" t="e">
        <f>HEX2BIN(#REF!,8)</f>
        <v>#REF!</v>
      </c>
      <c r="F44" t="e">
        <f>HEX2BIN(#REF!,8)</f>
        <v>#REF!</v>
      </c>
      <c r="G44" t="e">
        <f>HEX2BIN(#REF!,8)</f>
        <v>#REF!</v>
      </c>
      <c r="H44" t="e">
        <f>HEX2BIN(#REF!,8)</f>
        <v>#REF!</v>
      </c>
      <c r="I44" t="e">
        <f>HEX2BIN(#REF!,8)</f>
        <v>#REF!</v>
      </c>
      <c r="K44" s="41"/>
      <c r="L44" s="41">
        <v>1</v>
      </c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>
        <v>1</v>
      </c>
      <c r="CM44" t="str">
        <f t="shared" si="9"/>
        <v>0x4000</v>
      </c>
      <c r="CN44" s="1" t="s">
        <v>1</v>
      </c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t="str">
        <f t="shared" si="10"/>
        <v>0x0800</v>
      </c>
      <c r="DD44" s="1" t="s">
        <v>1</v>
      </c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t="str">
        <f t="shared" si="7"/>
        <v>0x0000</v>
      </c>
      <c r="DT44" s="1" t="s">
        <v>1</v>
      </c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t="str">
        <f t="shared" si="8"/>
        <v>0x0000</v>
      </c>
      <c r="EJ44" s="1" t="s">
        <v>1</v>
      </c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</row>
    <row r="45" spans="1:154" x14ac:dyDescent="0.3">
      <c r="A45">
        <v>43</v>
      </c>
      <c r="B45" t="e">
        <f>HEX2BIN(#REF!,8)</f>
        <v>#REF!</v>
      </c>
      <c r="C45" t="e">
        <f>HEX2BIN(#REF!,8)</f>
        <v>#REF!</v>
      </c>
      <c r="D45" t="e">
        <f>HEX2BIN(#REF!,8)</f>
        <v>#REF!</v>
      </c>
      <c r="E45" t="e">
        <f>HEX2BIN(#REF!,8)</f>
        <v>#REF!</v>
      </c>
      <c r="F45" t="e">
        <f>HEX2BIN(#REF!,8)</f>
        <v>#REF!</v>
      </c>
      <c r="G45" t="e">
        <f>HEX2BIN(#REF!,8)</f>
        <v>#REF!</v>
      </c>
      <c r="H45" t="e">
        <f>HEX2BIN(#REF!,8)</f>
        <v>#REF!</v>
      </c>
      <c r="I45" t="e">
        <f>HEX2BIN(#REF!,8)</f>
        <v>#REF!</v>
      </c>
      <c r="K45" s="41"/>
      <c r="L45" s="41">
        <v>1</v>
      </c>
      <c r="M45" s="41"/>
      <c r="N45" s="41"/>
      <c r="O45" s="41">
        <v>1</v>
      </c>
      <c r="P45" s="41">
        <v>1</v>
      </c>
      <c r="Q45" s="41"/>
      <c r="R45" s="41"/>
      <c r="S45" s="41">
        <v>1</v>
      </c>
      <c r="T45" s="41">
        <v>1</v>
      </c>
      <c r="U45" s="41"/>
      <c r="V45" s="41"/>
      <c r="W45" s="41">
        <v>1</v>
      </c>
      <c r="X45" s="41">
        <v>1</v>
      </c>
      <c r="Y45" s="41"/>
      <c r="Z45" s="41"/>
      <c r="AA45" s="41">
        <v>1</v>
      </c>
      <c r="AB45" s="41">
        <v>1</v>
      </c>
      <c r="AC45" s="41"/>
      <c r="AD45" s="41"/>
      <c r="AE45" s="41">
        <v>1</v>
      </c>
      <c r="CM45" t="str">
        <f t="shared" si="9"/>
        <v>0x4CCC</v>
      </c>
      <c r="CN45" s="1" t="s">
        <v>1</v>
      </c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t="str">
        <f t="shared" si="10"/>
        <v>0xC800</v>
      </c>
      <c r="DD45" s="1" t="s">
        <v>1</v>
      </c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t="str">
        <f t="shared" si="7"/>
        <v>0x0000</v>
      </c>
      <c r="DT45" s="1" t="s">
        <v>1</v>
      </c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t="str">
        <f t="shared" si="8"/>
        <v>0x0000</v>
      </c>
      <c r="EJ45" s="1" t="s">
        <v>1</v>
      </c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</row>
    <row r="46" spans="1:154" x14ac:dyDescent="0.3">
      <c r="A46">
        <v>44</v>
      </c>
      <c r="B46" t="e">
        <f>HEX2BIN(#REF!,8)</f>
        <v>#REF!</v>
      </c>
      <c r="C46" t="e">
        <f>HEX2BIN(#REF!,8)</f>
        <v>#REF!</v>
      </c>
      <c r="D46" t="e">
        <f>HEX2BIN(#REF!,8)</f>
        <v>#REF!</v>
      </c>
      <c r="E46" t="e">
        <f>HEX2BIN(#REF!,8)</f>
        <v>#REF!</v>
      </c>
      <c r="F46" t="e">
        <f>HEX2BIN(#REF!,8)</f>
        <v>#REF!</v>
      </c>
      <c r="G46" t="e">
        <f>HEX2BIN(#REF!,8)</f>
        <v>#REF!</v>
      </c>
      <c r="H46" t="e">
        <f>HEX2BIN(#REF!,8)</f>
        <v>#REF!</v>
      </c>
      <c r="I46" t="e">
        <f>HEX2BIN(#REF!,8)</f>
        <v>#REF!</v>
      </c>
      <c r="K46" s="41">
        <v>1</v>
      </c>
      <c r="L46" s="41">
        <v>1</v>
      </c>
      <c r="M46" s="41"/>
      <c r="N46" s="41"/>
      <c r="O46" s="41">
        <v>1</v>
      </c>
      <c r="P46" s="41">
        <v>1</v>
      </c>
      <c r="Q46" s="41"/>
      <c r="R46" s="41"/>
      <c r="S46" s="41">
        <v>1</v>
      </c>
      <c r="T46" s="41">
        <v>1</v>
      </c>
      <c r="U46" s="41"/>
      <c r="V46" s="41"/>
      <c r="W46" s="41">
        <v>1</v>
      </c>
      <c r="X46" s="41">
        <v>1</v>
      </c>
      <c r="Y46" s="41"/>
      <c r="Z46" s="41"/>
      <c r="AA46" s="41">
        <v>1</v>
      </c>
      <c r="AB46" s="41">
        <v>1</v>
      </c>
      <c r="AC46" s="41"/>
      <c r="AD46" s="41"/>
      <c r="AE46" s="41">
        <v>1</v>
      </c>
      <c r="CM46" t="str">
        <f t="shared" si="9"/>
        <v>0xCCCC</v>
      </c>
      <c r="CN46" s="1" t="s">
        <v>1</v>
      </c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t="str">
        <f t="shared" si="10"/>
        <v>0xC800</v>
      </c>
      <c r="DD46" s="1" t="s">
        <v>1</v>
      </c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t="str">
        <f t="shared" si="7"/>
        <v>0x0000</v>
      </c>
      <c r="DT46" s="1" t="s">
        <v>1</v>
      </c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t="str">
        <f t="shared" si="8"/>
        <v>0x0000</v>
      </c>
      <c r="EJ46" s="1" t="s">
        <v>1</v>
      </c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</row>
    <row r="47" spans="1:154" x14ac:dyDescent="0.3">
      <c r="A47">
        <v>45</v>
      </c>
      <c r="B47" t="e">
        <f>HEX2BIN(#REF!,8)</f>
        <v>#REF!</v>
      </c>
      <c r="C47" t="e">
        <f>HEX2BIN(#REF!,8)</f>
        <v>#REF!</v>
      </c>
      <c r="D47" t="e">
        <f>HEX2BIN(#REF!,8)</f>
        <v>#REF!</v>
      </c>
      <c r="E47" t="e">
        <f>HEX2BIN(#REF!,8)</f>
        <v>#REF!</v>
      </c>
      <c r="F47" t="e">
        <f>HEX2BIN(#REF!,8)</f>
        <v>#REF!</v>
      </c>
      <c r="G47" t="e">
        <f>HEX2BIN(#REF!,8)</f>
        <v>#REF!</v>
      </c>
      <c r="H47" t="e">
        <f>HEX2BIN(#REF!,8)</f>
        <v>#REF!</v>
      </c>
      <c r="I47" t="e">
        <f>HEX2BIN(#REF!,8)</f>
        <v>#REF!</v>
      </c>
      <c r="K47" s="41">
        <v>1</v>
      </c>
      <c r="L47" s="41">
        <v>1</v>
      </c>
      <c r="M47" s="41"/>
      <c r="N47" s="41"/>
      <c r="O47" s="41">
        <v>1</v>
      </c>
      <c r="P47" s="41">
        <v>1</v>
      </c>
      <c r="Q47" s="41"/>
      <c r="R47" s="41"/>
      <c r="S47" s="41">
        <v>1</v>
      </c>
      <c r="T47" s="41">
        <v>1</v>
      </c>
      <c r="U47" s="41"/>
      <c r="V47" s="41"/>
      <c r="W47" s="41">
        <v>1</v>
      </c>
      <c r="X47" s="41">
        <v>1</v>
      </c>
      <c r="Y47" s="41"/>
      <c r="Z47" s="41"/>
      <c r="AA47" s="41">
        <v>1</v>
      </c>
      <c r="AB47" s="41">
        <v>1</v>
      </c>
      <c r="AC47" s="41"/>
      <c r="AD47" s="41"/>
      <c r="AE47" s="41">
        <v>1</v>
      </c>
      <c r="CM47" t="str">
        <f t="shared" si="9"/>
        <v>0xCCCC</v>
      </c>
      <c r="CN47" s="1" t="s">
        <v>1</v>
      </c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t="str">
        <f t="shared" si="10"/>
        <v>0xC800</v>
      </c>
      <c r="DD47" s="1" t="s">
        <v>1</v>
      </c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t="str">
        <f t="shared" si="7"/>
        <v>0x0000</v>
      </c>
      <c r="DT47" s="1" t="s">
        <v>1</v>
      </c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t="str">
        <f t="shared" si="8"/>
        <v>0x0000</v>
      </c>
      <c r="EJ47" s="1" t="s">
        <v>1</v>
      </c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</row>
    <row r="48" spans="1:154" x14ac:dyDescent="0.3">
      <c r="A48">
        <v>46</v>
      </c>
      <c r="B48" t="e">
        <f>HEX2BIN(#REF!,8)</f>
        <v>#REF!</v>
      </c>
      <c r="C48" t="e">
        <f>HEX2BIN(#REF!,8)</f>
        <v>#REF!</v>
      </c>
      <c r="D48" t="e">
        <f>HEX2BIN(#REF!,8)</f>
        <v>#REF!</v>
      </c>
      <c r="E48" t="e">
        <f>HEX2BIN(#REF!,8)</f>
        <v>#REF!</v>
      </c>
      <c r="F48" t="e">
        <f>HEX2BIN(#REF!,8)</f>
        <v>#REF!</v>
      </c>
      <c r="G48" t="e">
        <f>HEX2BIN(#REF!,8)</f>
        <v>#REF!</v>
      </c>
      <c r="H48" t="e">
        <f>HEX2BIN(#REF!,8)</f>
        <v>#REF!</v>
      </c>
      <c r="I48" t="e">
        <f>HEX2BIN(#REF!,8)</f>
        <v>#REF!</v>
      </c>
      <c r="K48" s="41">
        <v>1</v>
      </c>
      <c r="L48" s="41">
        <v>1</v>
      </c>
      <c r="M48" s="41"/>
      <c r="N48" s="41"/>
      <c r="O48" s="41">
        <v>1</v>
      </c>
      <c r="P48" s="41">
        <v>1</v>
      </c>
      <c r="Q48" s="41"/>
      <c r="R48" s="41"/>
      <c r="S48" s="41">
        <v>1</v>
      </c>
      <c r="T48" s="41">
        <v>1</v>
      </c>
      <c r="U48" s="41"/>
      <c r="V48" s="41"/>
      <c r="W48" s="41">
        <v>1</v>
      </c>
      <c r="X48" s="41">
        <v>1</v>
      </c>
      <c r="Y48" s="41"/>
      <c r="Z48" s="41"/>
      <c r="AA48" s="41">
        <v>1</v>
      </c>
      <c r="AB48" s="41">
        <v>1</v>
      </c>
      <c r="AC48" s="41"/>
      <c r="AD48" s="41"/>
      <c r="AE48" s="41">
        <v>1</v>
      </c>
      <c r="CM48" t="str">
        <f t="shared" si="9"/>
        <v>0xCCCC</v>
      </c>
      <c r="CN48" s="1" t="s">
        <v>1</v>
      </c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t="str">
        <f t="shared" si="10"/>
        <v>0xC800</v>
      </c>
      <c r="DD48" s="1" t="s">
        <v>1</v>
      </c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t="str">
        <f t="shared" si="7"/>
        <v>0x0000</v>
      </c>
      <c r="DT48" s="1" t="s">
        <v>1</v>
      </c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t="str">
        <f t="shared" si="8"/>
        <v>0x0000</v>
      </c>
      <c r="EJ48" s="1" t="s">
        <v>1</v>
      </c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</row>
    <row r="49" spans="1:154" x14ac:dyDescent="0.3">
      <c r="A49">
        <v>47</v>
      </c>
      <c r="B49" t="e">
        <f>HEX2BIN(#REF!,8)</f>
        <v>#REF!</v>
      </c>
      <c r="C49" t="e">
        <f>HEX2BIN(#REF!,8)</f>
        <v>#REF!</v>
      </c>
      <c r="D49" t="e">
        <f>HEX2BIN(#REF!,8)</f>
        <v>#REF!</v>
      </c>
      <c r="E49" t="e">
        <f>HEX2BIN(#REF!,8)</f>
        <v>#REF!</v>
      </c>
      <c r="F49" t="e">
        <f>HEX2BIN(#REF!,8)</f>
        <v>#REF!</v>
      </c>
      <c r="G49" t="e">
        <f>HEX2BIN(#REF!,8)</f>
        <v>#REF!</v>
      </c>
      <c r="H49" t="e">
        <f>HEX2BIN(#REF!,8)</f>
        <v>#REF!</v>
      </c>
      <c r="I49" t="e">
        <f>HEX2BIN(#REF!,8)</f>
        <v>#REF!</v>
      </c>
      <c r="K49" s="41">
        <v>1</v>
      </c>
      <c r="L49" s="41">
        <v>1</v>
      </c>
      <c r="M49" s="41"/>
      <c r="N49" s="41"/>
      <c r="O49" s="41">
        <v>1</v>
      </c>
      <c r="P49" s="41">
        <v>1</v>
      </c>
      <c r="Q49" s="41"/>
      <c r="R49" s="41"/>
      <c r="S49" s="41">
        <v>1</v>
      </c>
      <c r="T49" s="41">
        <v>1</v>
      </c>
      <c r="U49" s="41"/>
      <c r="V49" s="41"/>
      <c r="W49" s="41">
        <v>1</v>
      </c>
      <c r="X49" s="41">
        <v>1</v>
      </c>
      <c r="Y49" s="41"/>
      <c r="Z49" s="41"/>
      <c r="AA49" s="41">
        <v>1</v>
      </c>
      <c r="AB49" s="41">
        <v>1</v>
      </c>
      <c r="AC49" s="41"/>
      <c r="AD49" s="41"/>
      <c r="AE49" s="41">
        <v>1</v>
      </c>
      <c r="CM49" t="str">
        <f t="shared" si="9"/>
        <v>0xCCCC</v>
      </c>
      <c r="CN49" s="1" t="s">
        <v>1</v>
      </c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t="str">
        <f t="shared" si="10"/>
        <v>0xC800</v>
      </c>
      <c r="DD49" s="1" t="s">
        <v>1</v>
      </c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t="str">
        <f t="shared" si="7"/>
        <v>0x0000</v>
      </c>
      <c r="DT49" s="1" t="s">
        <v>1</v>
      </c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t="str">
        <f t="shared" si="8"/>
        <v>0x0000</v>
      </c>
      <c r="EJ49" s="1" t="s">
        <v>1</v>
      </c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</row>
    <row r="50" spans="1:154" x14ac:dyDescent="0.3">
      <c r="A50">
        <v>48</v>
      </c>
      <c r="B50" t="e">
        <f>HEX2BIN(#REF!,8)</f>
        <v>#REF!</v>
      </c>
      <c r="C50" t="e">
        <f>HEX2BIN(#REF!,8)</f>
        <v>#REF!</v>
      </c>
      <c r="D50" t="e">
        <f>HEX2BIN(#REF!,8)</f>
        <v>#REF!</v>
      </c>
      <c r="E50" t="e">
        <f>HEX2BIN(#REF!,8)</f>
        <v>#REF!</v>
      </c>
      <c r="F50" t="e">
        <f>HEX2BIN(#REF!,8)</f>
        <v>#REF!</v>
      </c>
      <c r="G50" t="e">
        <f>HEX2BIN(#REF!,8)</f>
        <v>#REF!</v>
      </c>
      <c r="H50" t="e">
        <f>HEX2BIN(#REF!,8)</f>
        <v>#REF!</v>
      </c>
      <c r="I50" t="e">
        <f>HEX2BIN(#REF!,8)</f>
        <v>#REF!</v>
      </c>
      <c r="K50" s="41"/>
      <c r="L50" s="41">
        <v>1</v>
      </c>
      <c r="M50" s="41"/>
      <c r="N50" s="41"/>
      <c r="O50" s="41">
        <v>1</v>
      </c>
      <c r="P50" s="41">
        <v>1</v>
      </c>
      <c r="Q50" s="41"/>
      <c r="R50" s="41"/>
      <c r="S50" s="41">
        <v>1</v>
      </c>
      <c r="T50" s="41">
        <v>1</v>
      </c>
      <c r="U50" s="41"/>
      <c r="V50" s="41"/>
      <c r="W50" s="41">
        <v>1</v>
      </c>
      <c r="X50" s="41">
        <v>1</v>
      </c>
      <c r="Y50" s="41"/>
      <c r="Z50" s="41"/>
      <c r="AA50" s="41">
        <v>1</v>
      </c>
      <c r="AB50" s="41">
        <v>1</v>
      </c>
      <c r="AC50" s="41"/>
      <c r="AD50" s="41"/>
      <c r="AE50" s="41">
        <v>1</v>
      </c>
      <c r="CM50" t="str">
        <f t="shared" si="9"/>
        <v>0x4CCC</v>
      </c>
      <c r="CN50" s="1" t="s">
        <v>1</v>
      </c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t="str">
        <f t="shared" si="10"/>
        <v>0xC800</v>
      </c>
      <c r="DD50" s="1" t="s">
        <v>1</v>
      </c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t="str">
        <f t="shared" si="7"/>
        <v>0x0000</v>
      </c>
      <c r="DT50" s="1" t="s">
        <v>1</v>
      </c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t="str">
        <f t="shared" si="8"/>
        <v>0x0000</v>
      </c>
      <c r="EJ50" s="1" t="s">
        <v>1</v>
      </c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</row>
    <row r="51" spans="1:154" x14ac:dyDescent="0.3">
      <c r="A51">
        <v>49</v>
      </c>
      <c r="B51" t="e">
        <f>HEX2BIN(#REF!,8)</f>
        <v>#REF!</v>
      </c>
      <c r="C51" t="e">
        <f>HEX2BIN(#REF!,8)</f>
        <v>#REF!</v>
      </c>
      <c r="D51" t="e">
        <f>HEX2BIN(#REF!,8)</f>
        <v>#REF!</v>
      </c>
      <c r="E51" t="e">
        <f>HEX2BIN(#REF!,8)</f>
        <v>#REF!</v>
      </c>
      <c r="F51" t="e">
        <f>HEX2BIN(#REF!,8)</f>
        <v>#REF!</v>
      </c>
      <c r="G51" t="e">
        <f>HEX2BIN(#REF!,8)</f>
        <v>#REF!</v>
      </c>
      <c r="H51" t="e">
        <f>HEX2BIN(#REF!,8)</f>
        <v>#REF!</v>
      </c>
      <c r="I51" t="e">
        <f>HEX2BIN(#REF!,8)</f>
        <v>#REF!</v>
      </c>
      <c r="K51" s="41"/>
      <c r="L51" s="41">
        <v>1</v>
      </c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>
        <v>1</v>
      </c>
      <c r="CM51" t="str">
        <f t="shared" si="9"/>
        <v>0x4000</v>
      </c>
      <c r="CN51" s="1" t="s">
        <v>1</v>
      </c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t="str">
        <f t="shared" si="10"/>
        <v>0x0800</v>
      </c>
      <c r="DD51" s="1" t="s">
        <v>1</v>
      </c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t="str">
        <f t="shared" si="7"/>
        <v>0x0000</v>
      </c>
      <c r="DT51" s="1" t="s">
        <v>1</v>
      </c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t="str">
        <f t="shared" si="8"/>
        <v>0x0000</v>
      </c>
      <c r="EJ51" s="1" t="s">
        <v>1</v>
      </c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</row>
    <row r="52" spans="1:154" x14ac:dyDescent="0.3">
      <c r="A52">
        <v>50</v>
      </c>
      <c r="B52" t="e">
        <f>HEX2BIN(#REF!,8)</f>
        <v>#REF!</v>
      </c>
      <c r="C52" t="e">
        <f>HEX2BIN(#REF!,8)</f>
        <v>#REF!</v>
      </c>
      <c r="D52" t="e">
        <f>HEX2BIN(#REF!,8)</f>
        <v>#REF!</v>
      </c>
      <c r="E52" t="e">
        <f>HEX2BIN(#REF!,8)</f>
        <v>#REF!</v>
      </c>
      <c r="F52" t="e">
        <f>HEX2BIN(#REF!,8)</f>
        <v>#REF!</v>
      </c>
      <c r="G52" t="e">
        <f>HEX2BIN(#REF!,8)</f>
        <v>#REF!</v>
      </c>
      <c r="H52" t="e">
        <f>HEX2BIN(#REF!,8)</f>
        <v>#REF!</v>
      </c>
      <c r="I52" t="e">
        <f>HEX2BIN(#REF!,8)</f>
        <v>#REF!</v>
      </c>
      <c r="K52" s="41"/>
      <c r="L52" s="41">
        <v>1</v>
      </c>
      <c r="M52" s="41">
        <v>1</v>
      </c>
      <c r="N52" s="41">
        <v>1</v>
      </c>
      <c r="O52" s="41">
        <v>1</v>
      </c>
      <c r="P52" s="41">
        <v>1</v>
      </c>
      <c r="Q52" s="41">
        <v>1</v>
      </c>
      <c r="R52" s="41">
        <v>1</v>
      </c>
      <c r="S52" s="41">
        <v>1</v>
      </c>
      <c r="T52" s="41">
        <v>1</v>
      </c>
      <c r="U52" s="41">
        <v>1</v>
      </c>
      <c r="V52" s="41">
        <v>1</v>
      </c>
      <c r="W52" s="41">
        <v>1</v>
      </c>
      <c r="X52" s="41">
        <v>1</v>
      </c>
      <c r="Y52" s="41">
        <v>1</v>
      </c>
      <c r="Z52" s="41">
        <v>1</v>
      </c>
      <c r="AA52" s="41">
        <v>1</v>
      </c>
      <c r="AB52" s="41">
        <v>1</v>
      </c>
      <c r="AC52" s="41">
        <v>1</v>
      </c>
      <c r="AD52" s="41">
        <v>1</v>
      </c>
      <c r="AE52" s="41">
        <v>1</v>
      </c>
      <c r="CM52" t="str">
        <f t="shared" si="9"/>
        <v>0x7FFF</v>
      </c>
      <c r="CN52" s="1" t="s">
        <v>1</v>
      </c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t="str">
        <f t="shared" si="10"/>
        <v>0xF800</v>
      </c>
      <c r="DD52" s="1" t="s">
        <v>1</v>
      </c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t="str">
        <f t="shared" si="7"/>
        <v>0x0000</v>
      </c>
      <c r="DT52" s="1" t="s">
        <v>1</v>
      </c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t="str">
        <f t="shared" si="8"/>
        <v>0x0000</v>
      </c>
      <c r="EJ52" s="1" t="s">
        <v>1</v>
      </c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</row>
    <row r="53" spans="1:154" x14ac:dyDescent="0.3">
      <c r="A53">
        <v>51</v>
      </c>
      <c r="B53" t="e">
        <f>HEX2BIN(#REF!,8)</f>
        <v>#REF!</v>
      </c>
      <c r="C53" t="e">
        <f>HEX2BIN(#REF!,8)</f>
        <v>#REF!</v>
      </c>
      <c r="D53" t="e">
        <f>HEX2BIN(#REF!,8)</f>
        <v>#REF!</v>
      </c>
      <c r="E53" t="e">
        <f>HEX2BIN(#REF!,8)</f>
        <v>#REF!</v>
      </c>
      <c r="F53" t="e">
        <f>HEX2BIN(#REF!,8)</f>
        <v>#REF!</v>
      </c>
      <c r="G53" t="e">
        <f>HEX2BIN(#REF!,8)</f>
        <v>#REF!</v>
      </c>
      <c r="H53" t="e">
        <f>HEX2BIN(#REF!,8)</f>
        <v>#REF!</v>
      </c>
      <c r="I53" t="e">
        <f>HEX2BIN(#REF!,8)</f>
        <v>#REF!</v>
      </c>
      <c r="K53" s="31"/>
      <c r="L53" s="31">
        <v>1</v>
      </c>
      <c r="M53" s="31">
        <v>1</v>
      </c>
      <c r="N53" s="31">
        <v>1</v>
      </c>
      <c r="O53" s="31">
        <v>1</v>
      </c>
      <c r="P53" s="31">
        <v>1</v>
      </c>
      <c r="Q53" s="31">
        <v>1</v>
      </c>
      <c r="R53" s="31">
        <v>1</v>
      </c>
      <c r="S53" s="31">
        <v>1</v>
      </c>
      <c r="T53" s="31">
        <v>1</v>
      </c>
      <c r="U53" s="31">
        <v>1</v>
      </c>
      <c r="V53" s="31">
        <v>1</v>
      </c>
      <c r="W53" s="31">
        <v>1</v>
      </c>
      <c r="X53" s="31">
        <v>1</v>
      </c>
      <c r="Y53" s="31">
        <v>1</v>
      </c>
      <c r="Z53" s="31">
        <v>1</v>
      </c>
      <c r="AA53" s="31">
        <v>1</v>
      </c>
      <c r="AB53" s="31">
        <v>1</v>
      </c>
      <c r="AC53" s="31">
        <v>1</v>
      </c>
      <c r="AD53" s="41">
        <v>1</v>
      </c>
      <c r="AE53" s="41">
        <v>1</v>
      </c>
      <c r="CM53" t="str">
        <f t="shared" si="9"/>
        <v>0x7FFF</v>
      </c>
      <c r="CN53" s="1" t="s">
        <v>1</v>
      </c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t="str">
        <f t="shared" si="10"/>
        <v>0xF800</v>
      </c>
      <c r="DD53" s="1" t="s">
        <v>1</v>
      </c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t="str">
        <f t="shared" si="7"/>
        <v>0x0000</v>
      </c>
      <c r="DT53" s="1" t="s">
        <v>1</v>
      </c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t="str">
        <f t="shared" si="8"/>
        <v>0x0000</v>
      </c>
      <c r="EJ53" s="1" t="s">
        <v>1</v>
      </c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</row>
    <row r="54" spans="1:154" x14ac:dyDescent="0.3">
      <c r="A54">
        <v>52</v>
      </c>
      <c r="B54" t="e">
        <f>HEX2BIN(#REF!,8)</f>
        <v>#REF!</v>
      </c>
      <c r="C54" t="e">
        <f>HEX2BIN(#REF!,8)</f>
        <v>#REF!</v>
      </c>
      <c r="D54" t="e">
        <f>HEX2BIN(#REF!,8)</f>
        <v>#REF!</v>
      </c>
      <c r="E54" t="e">
        <f>HEX2BIN(#REF!,8)</f>
        <v>#REF!</v>
      </c>
      <c r="F54" t="e">
        <f>HEX2BIN(#REF!,8)</f>
        <v>#REF!</v>
      </c>
      <c r="G54" t="e">
        <f>HEX2BIN(#REF!,8)</f>
        <v>#REF!</v>
      </c>
      <c r="H54" t="e">
        <f>HEX2BIN(#REF!,8)</f>
        <v>#REF!</v>
      </c>
      <c r="I54" t="e">
        <f>HEX2BIN(#REF!,8)</f>
        <v>#REF!</v>
      </c>
      <c r="K54" s="41"/>
      <c r="L54" s="41">
        <v>1</v>
      </c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>
        <v>1</v>
      </c>
      <c r="AJ54" s="5"/>
      <c r="AK54" s="5"/>
      <c r="AL54" s="5"/>
      <c r="AM54" s="5"/>
      <c r="AN54" s="5"/>
      <c r="AO54" s="5"/>
      <c r="AP54" s="5"/>
      <c r="CM54" t="str">
        <f t="shared" si="9"/>
        <v>0x4000</v>
      </c>
      <c r="CN54" s="1" t="s">
        <v>1</v>
      </c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t="str">
        <f t="shared" si="10"/>
        <v>0x0800</v>
      </c>
      <c r="DD54" s="1" t="s">
        <v>1</v>
      </c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t="str">
        <f t="shared" si="7"/>
        <v>0x0000</v>
      </c>
      <c r="DT54" s="1" t="s">
        <v>1</v>
      </c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t="str">
        <f t="shared" si="8"/>
        <v>0x0000</v>
      </c>
      <c r="EJ54" s="1" t="s">
        <v>1</v>
      </c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</row>
    <row r="55" spans="1:154" x14ac:dyDescent="0.3">
      <c r="A55">
        <v>53</v>
      </c>
      <c r="B55" t="e">
        <f>HEX2BIN(#REF!,8)</f>
        <v>#REF!</v>
      </c>
      <c r="C55" t="e">
        <f>HEX2BIN(#REF!,8)</f>
        <v>#REF!</v>
      </c>
      <c r="D55" t="e">
        <f>HEX2BIN(#REF!,8)</f>
        <v>#REF!</v>
      </c>
      <c r="E55" t="e">
        <f>HEX2BIN(#REF!,8)</f>
        <v>#REF!</v>
      </c>
      <c r="F55" t="e">
        <f>HEX2BIN(#REF!,8)</f>
        <v>#REF!</v>
      </c>
      <c r="G55" t="e">
        <f>HEX2BIN(#REF!,8)</f>
        <v>#REF!</v>
      </c>
      <c r="H55" t="e">
        <f>HEX2BIN(#REF!,8)</f>
        <v>#REF!</v>
      </c>
      <c r="I55" t="e">
        <f>HEX2BIN(#REF!,8)</f>
        <v>#REF!</v>
      </c>
      <c r="K55" s="41"/>
      <c r="L55" s="41">
        <v>1</v>
      </c>
      <c r="M55" s="41"/>
      <c r="N55" s="41"/>
      <c r="O55" s="41"/>
      <c r="P55" s="41"/>
      <c r="Q55" s="41"/>
      <c r="S55" s="41">
        <v>1</v>
      </c>
      <c r="T55" s="41"/>
      <c r="U55" s="41"/>
      <c r="V55" s="41"/>
      <c r="W55" s="41">
        <v>1</v>
      </c>
      <c r="Y55" s="41"/>
      <c r="Z55" s="41"/>
      <c r="AA55" s="41"/>
      <c r="AB55" s="41"/>
      <c r="AC55" s="41"/>
      <c r="AD55" s="41"/>
      <c r="AE55" s="41">
        <v>1</v>
      </c>
      <c r="AJ55" s="5"/>
      <c r="AK55" s="39"/>
      <c r="AL55" s="39"/>
      <c r="AM55" s="39"/>
      <c r="AN55" s="39"/>
      <c r="AO55" s="39"/>
      <c r="AP55" s="5"/>
      <c r="CM55" t="str">
        <f t="shared" ref="CM55:CM62" si="11">CONCATENATE("0x",DEC2HEX(Z55*Z$1+Y55*Y$1+X55*X$1+W55*W$1+V55*V$1+U55*U$1+T55*T$1+S55*S$1+R55*R$1+Q55*Q$1+P55*P$1+O55*O$1+N55*N$1+M55*M$1+L55*L$1+K55*K$1,4))</f>
        <v>0x4088</v>
      </c>
      <c r="CN55" s="1" t="s">
        <v>1</v>
      </c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t="str">
        <f t="shared" ref="DC55:DC62" si="12">CONCATENATE("0x",DEC2HEX(AP55*AP$1+AO55*AO$1+AN55*AN$1+AM55*AM$1+AL55*AL$1+AK55*AK$1+AJ55*AJ$1+AI55*AI$1+AH55*AH$1+AG55*AG$1+AF55*AF$1+AE55*AE$1+AD55*AD$1+AC55*AC$1+AB55*AB$1+AA55*AA$1,4))</f>
        <v>0x0800</v>
      </c>
      <c r="DD55" s="1" t="s">
        <v>1</v>
      </c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t="str">
        <f t="shared" si="7"/>
        <v>0x0000</v>
      </c>
      <c r="DT55" s="1" t="s">
        <v>1</v>
      </c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t="str">
        <f t="shared" si="8"/>
        <v>0x0000</v>
      </c>
      <c r="EJ55" s="1" t="s">
        <v>1</v>
      </c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</row>
    <row r="56" spans="1:154" x14ac:dyDescent="0.3">
      <c r="A56">
        <v>54</v>
      </c>
      <c r="B56" t="e">
        <f>HEX2BIN(#REF!,8)</f>
        <v>#REF!</v>
      </c>
      <c r="C56" t="e">
        <f>HEX2BIN(#REF!,8)</f>
        <v>#REF!</v>
      </c>
      <c r="D56" t="e">
        <f>HEX2BIN(#REF!,8)</f>
        <v>#REF!</v>
      </c>
      <c r="E56" t="e">
        <f>HEX2BIN(#REF!,8)</f>
        <v>#REF!</v>
      </c>
      <c r="F56" t="e">
        <f>HEX2BIN(#REF!,8)</f>
        <v>#REF!</v>
      </c>
      <c r="G56" t="e">
        <f>HEX2BIN(#REF!,8)</f>
        <v>#REF!</v>
      </c>
      <c r="H56" t="e">
        <f>HEX2BIN(#REF!,8)</f>
        <v>#REF!</v>
      </c>
      <c r="I56" t="e">
        <f>HEX2BIN(#REF!,8)</f>
        <v>#REF!</v>
      </c>
      <c r="K56" s="41">
        <v>1</v>
      </c>
      <c r="L56" s="41">
        <v>1</v>
      </c>
      <c r="M56" s="41"/>
      <c r="N56" s="41"/>
      <c r="O56" s="41"/>
      <c r="P56" s="41"/>
      <c r="Q56" s="41"/>
      <c r="S56" s="41"/>
      <c r="T56" s="41">
        <v>1</v>
      </c>
      <c r="U56" s="41"/>
      <c r="V56" s="41">
        <v>1</v>
      </c>
      <c r="W56" s="41"/>
      <c r="Y56" s="41"/>
      <c r="Z56" s="41"/>
      <c r="AA56" s="41"/>
      <c r="AB56" s="41"/>
      <c r="AC56" s="41"/>
      <c r="AD56" s="41"/>
      <c r="AE56" s="41">
        <v>1</v>
      </c>
      <c r="AJ56" s="5"/>
      <c r="AK56" s="39"/>
      <c r="AL56" s="39"/>
      <c r="AM56" s="39"/>
      <c r="AN56" s="39"/>
      <c r="AO56" s="39"/>
      <c r="AP56" s="5"/>
      <c r="CM56" t="str">
        <f t="shared" si="11"/>
        <v>0xC050</v>
      </c>
      <c r="CN56" s="1" t="s">
        <v>1</v>
      </c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t="str">
        <f t="shared" si="12"/>
        <v>0x0800</v>
      </c>
      <c r="DD56" s="1" t="s">
        <v>1</v>
      </c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t="str">
        <f t="shared" si="7"/>
        <v>0x0000</v>
      </c>
      <c r="DT56" s="1" t="s">
        <v>1</v>
      </c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t="str">
        <f t="shared" si="8"/>
        <v>0x0000</v>
      </c>
      <c r="EJ56" s="1" t="s">
        <v>1</v>
      </c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</row>
    <row r="57" spans="1:154" x14ac:dyDescent="0.3">
      <c r="A57">
        <v>55</v>
      </c>
      <c r="B57" t="e">
        <f>HEX2BIN(#REF!,8)</f>
        <v>#REF!</v>
      </c>
      <c r="C57" t="e">
        <f>HEX2BIN(#REF!,8)</f>
        <v>#REF!</v>
      </c>
      <c r="D57" t="e">
        <f>HEX2BIN(#REF!,8)</f>
        <v>#REF!</v>
      </c>
      <c r="E57" t="e">
        <f>HEX2BIN(#REF!,8)</f>
        <v>#REF!</v>
      </c>
      <c r="F57" t="e">
        <f>HEX2BIN(#REF!,8)</f>
        <v>#REF!</v>
      </c>
      <c r="G57" t="e">
        <f>HEX2BIN(#REF!,8)</f>
        <v>#REF!</v>
      </c>
      <c r="H57" t="e">
        <f>HEX2BIN(#REF!,8)</f>
        <v>#REF!</v>
      </c>
      <c r="I57" t="e">
        <f>HEX2BIN(#REF!,8)</f>
        <v>#REF!</v>
      </c>
      <c r="K57" s="41">
        <v>1</v>
      </c>
      <c r="L57" s="41">
        <v>1</v>
      </c>
      <c r="M57" s="41"/>
      <c r="N57" s="41"/>
      <c r="O57" s="41"/>
      <c r="P57" s="41"/>
      <c r="Q57" s="41"/>
      <c r="S57" s="41"/>
      <c r="T57" s="41"/>
      <c r="U57" s="41">
        <v>1</v>
      </c>
      <c r="V57" s="41"/>
      <c r="W57" s="41"/>
      <c r="Y57" s="41"/>
      <c r="Z57" s="41"/>
      <c r="AA57" s="41"/>
      <c r="AB57" s="41"/>
      <c r="AC57" s="41"/>
      <c r="AD57" s="41"/>
      <c r="AE57" s="41">
        <v>1</v>
      </c>
      <c r="AJ57" s="5"/>
      <c r="AK57" s="39"/>
      <c r="AL57" s="39"/>
      <c r="AM57" s="39"/>
      <c r="AN57" s="39"/>
      <c r="AO57" s="39"/>
      <c r="AP57" s="5"/>
      <c r="CM57" t="str">
        <f t="shared" si="11"/>
        <v>0xC020</v>
      </c>
      <c r="CN57" s="1" t="s">
        <v>1</v>
      </c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t="str">
        <f t="shared" si="12"/>
        <v>0x0800</v>
      </c>
      <c r="DD57" s="1" t="s">
        <v>1</v>
      </c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t="str">
        <f t="shared" si="7"/>
        <v>0x0000</v>
      </c>
      <c r="DT57" s="1" t="s">
        <v>1</v>
      </c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t="str">
        <f t="shared" si="8"/>
        <v>0x0000</v>
      </c>
      <c r="EJ57" s="1" t="s">
        <v>1</v>
      </c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</row>
    <row r="58" spans="1:154" x14ac:dyDescent="0.3">
      <c r="A58">
        <v>56</v>
      </c>
      <c r="B58" t="e">
        <f>HEX2BIN(#REF!,8)</f>
        <v>#REF!</v>
      </c>
      <c r="C58" t="e">
        <f>HEX2BIN(#REF!,8)</f>
        <v>#REF!</v>
      </c>
      <c r="D58" t="e">
        <f>HEX2BIN(#REF!,8)</f>
        <v>#REF!</v>
      </c>
      <c r="E58" t="e">
        <f>HEX2BIN(#REF!,8)</f>
        <v>#REF!</v>
      </c>
      <c r="F58" t="e">
        <f>HEX2BIN(#REF!,8)</f>
        <v>#REF!</v>
      </c>
      <c r="G58" t="e">
        <f>HEX2BIN(#REF!,8)</f>
        <v>#REF!</v>
      </c>
      <c r="H58" t="e">
        <f>HEX2BIN(#REF!,8)</f>
        <v>#REF!</v>
      </c>
      <c r="I58" t="e">
        <f>HEX2BIN(#REF!,8)</f>
        <v>#REF!</v>
      </c>
      <c r="K58" s="41">
        <v>1</v>
      </c>
      <c r="L58" s="41">
        <v>1</v>
      </c>
      <c r="M58" s="41"/>
      <c r="N58" s="41"/>
      <c r="O58" s="41"/>
      <c r="P58" s="41"/>
      <c r="Q58" s="41"/>
      <c r="S58" s="41"/>
      <c r="T58" s="41"/>
      <c r="U58" s="41">
        <v>1</v>
      </c>
      <c r="V58" s="41"/>
      <c r="W58" s="41"/>
      <c r="Y58" s="41"/>
      <c r="Z58" s="41"/>
      <c r="AA58" s="41"/>
      <c r="AB58" s="41"/>
      <c r="AC58" s="41"/>
      <c r="AD58" s="41"/>
      <c r="AE58" s="41">
        <v>1</v>
      </c>
      <c r="AJ58" s="5"/>
      <c r="AK58" s="39"/>
      <c r="AL58" s="39"/>
      <c r="AM58" s="39"/>
      <c r="AN58" s="39"/>
      <c r="AO58" s="39"/>
      <c r="AP58" s="5"/>
      <c r="CM58" t="str">
        <f t="shared" si="11"/>
        <v>0xC020</v>
      </c>
      <c r="CN58" s="1" t="s">
        <v>1</v>
      </c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t="str">
        <f t="shared" si="12"/>
        <v>0x0800</v>
      </c>
      <c r="DD58" s="1" t="s">
        <v>1</v>
      </c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t="str">
        <f t="shared" si="7"/>
        <v>0x0000</v>
      </c>
      <c r="DT58" s="1" t="s">
        <v>1</v>
      </c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t="str">
        <f t="shared" si="8"/>
        <v>0x0000</v>
      </c>
      <c r="EJ58" s="1" t="s">
        <v>1</v>
      </c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</row>
    <row r="59" spans="1:154" x14ac:dyDescent="0.3">
      <c r="A59">
        <v>57</v>
      </c>
      <c r="B59" t="e">
        <f>HEX2BIN(#REF!,8)</f>
        <v>#REF!</v>
      </c>
      <c r="C59" t="e">
        <f>HEX2BIN(#REF!,8)</f>
        <v>#REF!</v>
      </c>
      <c r="D59" t="e">
        <f>HEX2BIN(#REF!,8)</f>
        <v>#REF!</v>
      </c>
      <c r="E59" t="e">
        <f>HEX2BIN(#REF!,8)</f>
        <v>#REF!</v>
      </c>
      <c r="F59" t="e">
        <f>HEX2BIN(#REF!,8)</f>
        <v>#REF!</v>
      </c>
      <c r="G59" t="e">
        <f>HEX2BIN(#REF!,8)</f>
        <v>#REF!</v>
      </c>
      <c r="H59" t="e">
        <f>HEX2BIN(#REF!,8)</f>
        <v>#REF!</v>
      </c>
      <c r="I59" t="e">
        <f>HEX2BIN(#REF!,8)</f>
        <v>#REF!</v>
      </c>
      <c r="K59" s="41">
        <v>1</v>
      </c>
      <c r="L59" s="41">
        <v>1</v>
      </c>
      <c r="M59" s="41"/>
      <c r="N59" s="41"/>
      <c r="O59" s="41"/>
      <c r="P59" s="41"/>
      <c r="Q59" s="41"/>
      <c r="S59" s="41"/>
      <c r="T59" s="41">
        <v>1</v>
      </c>
      <c r="U59" s="41"/>
      <c r="V59" s="41">
        <v>1</v>
      </c>
      <c r="W59" s="41"/>
      <c r="Y59" s="41"/>
      <c r="Z59" s="41"/>
      <c r="AA59" s="41"/>
      <c r="AB59" s="41"/>
      <c r="AC59" s="41"/>
      <c r="AD59" s="41"/>
      <c r="AE59" s="41">
        <v>1</v>
      </c>
      <c r="AJ59" s="5"/>
      <c r="AK59" s="39"/>
      <c r="AL59" s="39"/>
      <c r="AM59" s="39"/>
      <c r="AN59" s="39"/>
      <c r="AO59" s="39"/>
      <c r="AP59" s="5"/>
      <c r="CM59" t="str">
        <f t="shared" si="11"/>
        <v>0xC050</v>
      </c>
      <c r="CN59" s="1" t="s">
        <v>1</v>
      </c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t="str">
        <f t="shared" si="12"/>
        <v>0x0800</v>
      </c>
      <c r="DD59" s="1" t="s">
        <v>1</v>
      </c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t="str">
        <f t="shared" si="7"/>
        <v>0x0000</v>
      </c>
      <c r="DT59" s="1" t="s">
        <v>1</v>
      </c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t="str">
        <f t="shared" si="8"/>
        <v>0x0000</v>
      </c>
      <c r="EJ59" s="1" t="s">
        <v>1</v>
      </c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</row>
    <row r="60" spans="1:154" x14ac:dyDescent="0.3">
      <c r="A60">
        <v>58</v>
      </c>
      <c r="B60" t="e">
        <f>HEX2BIN(#REF!,8)</f>
        <v>#REF!</v>
      </c>
      <c r="C60" t="e">
        <f>HEX2BIN(#REF!,8)</f>
        <v>#REF!</v>
      </c>
      <c r="D60" t="e">
        <f>HEX2BIN(#REF!,8)</f>
        <v>#REF!</v>
      </c>
      <c r="E60" t="e">
        <f>HEX2BIN(#REF!,8)</f>
        <v>#REF!</v>
      </c>
      <c r="F60" t="e">
        <f>HEX2BIN(#REF!,8)</f>
        <v>#REF!</v>
      </c>
      <c r="G60" t="e">
        <f>HEX2BIN(#REF!,8)</f>
        <v>#REF!</v>
      </c>
      <c r="H60" t="e">
        <f>HEX2BIN(#REF!,8)</f>
        <v>#REF!</v>
      </c>
      <c r="I60" t="e">
        <f>HEX2BIN(#REF!,8)</f>
        <v>#REF!</v>
      </c>
      <c r="K60" s="41"/>
      <c r="L60" s="41">
        <v>1</v>
      </c>
      <c r="M60" s="41"/>
      <c r="N60" s="41"/>
      <c r="O60" s="41"/>
      <c r="P60" s="41"/>
      <c r="Q60" s="41"/>
      <c r="S60" s="41">
        <v>1</v>
      </c>
      <c r="T60" s="41"/>
      <c r="U60" s="41"/>
      <c r="V60" s="41"/>
      <c r="W60" s="41">
        <v>1</v>
      </c>
      <c r="Y60" s="41"/>
      <c r="Z60" s="41"/>
      <c r="AA60" s="41"/>
      <c r="AB60" s="41"/>
      <c r="AC60" s="41"/>
      <c r="AD60" s="41"/>
      <c r="AE60" s="41">
        <v>1</v>
      </c>
      <c r="AJ60" s="5"/>
      <c r="AK60" s="39"/>
      <c r="AL60" s="39"/>
      <c r="AM60" s="39"/>
      <c r="AN60" s="39"/>
      <c r="AO60" s="39"/>
      <c r="AP60" s="5"/>
      <c r="CM60" t="str">
        <f t="shared" si="11"/>
        <v>0x4088</v>
      </c>
      <c r="CN60" s="1" t="s">
        <v>1</v>
      </c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t="str">
        <f t="shared" si="12"/>
        <v>0x0800</v>
      </c>
      <c r="DD60" s="1" t="s">
        <v>1</v>
      </c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t="str">
        <f t="shared" si="7"/>
        <v>0x0000</v>
      </c>
      <c r="DT60" s="1" t="s">
        <v>1</v>
      </c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t="str">
        <f t="shared" si="8"/>
        <v>0x0000</v>
      </c>
      <c r="EJ60" s="1" t="s">
        <v>1</v>
      </c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</row>
    <row r="61" spans="1:154" x14ac:dyDescent="0.3">
      <c r="A61">
        <v>59</v>
      </c>
      <c r="B61" t="e">
        <f>HEX2BIN(#REF!,8)</f>
        <v>#REF!</v>
      </c>
      <c r="C61" t="e">
        <f>HEX2BIN(#REF!,8)</f>
        <v>#REF!</v>
      </c>
      <c r="D61" t="e">
        <f>HEX2BIN(#REF!,8)</f>
        <v>#REF!</v>
      </c>
      <c r="E61" t="e">
        <f>HEX2BIN(#REF!,8)</f>
        <v>#REF!</v>
      </c>
      <c r="F61" t="e">
        <f>HEX2BIN(#REF!,8)</f>
        <v>#REF!</v>
      </c>
      <c r="G61" t="e">
        <f>HEX2BIN(#REF!,8)</f>
        <v>#REF!</v>
      </c>
      <c r="H61" t="e">
        <f>HEX2BIN(#REF!,8)</f>
        <v>#REF!</v>
      </c>
      <c r="I61" t="e">
        <f>HEX2BIN(#REF!,8)</f>
        <v>#REF!</v>
      </c>
      <c r="K61" s="41"/>
      <c r="L61" s="41">
        <v>1</v>
      </c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>
        <v>1</v>
      </c>
      <c r="AJ61" s="5"/>
      <c r="AK61" s="39"/>
      <c r="AL61" s="39"/>
      <c r="AM61" s="39"/>
      <c r="AN61" s="39"/>
      <c r="AO61" s="39"/>
      <c r="AP61" s="5"/>
      <c r="CM61" t="str">
        <f t="shared" si="11"/>
        <v>0x4000</v>
      </c>
      <c r="CN61" s="1" t="s">
        <v>1</v>
      </c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t="str">
        <f t="shared" si="12"/>
        <v>0x0800</v>
      </c>
      <c r="DD61" s="1" t="s">
        <v>1</v>
      </c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t="str">
        <f t="shared" si="7"/>
        <v>0x0000</v>
      </c>
      <c r="DT61" s="1" t="s">
        <v>1</v>
      </c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t="str">
        <f t="shared" si="8"/>
        <v>0x0000</v>
      </c>
      <c r="EJ61" s="1" t="s">
        <v>1</v>
      </c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</row>
    <row r="62" spans="1:154" x14ac:dyDescent="0.3">
      <c r="A62">
        <v>60</v>
      </c>
      <c r="B62" t="e">
        <f>HEX2BIN(#REF!,8)</f>
        <v>#REF!</v>
      </c>
      <c r="C62" t="e">
        <f>HEX2BIN(#REF!,8)</f>
        <v>#REF!</v>
      </c>
      <c r="D62" t="e">
        <f>HEX2BIN(#REF!,8)</f>
        <v>#REF!</v>
      </c>
      <c r="E62" t="e">
        <f>HEX2BIN(#REF!,8)</f>
        <v>#REF!</v>
      </c>
      <c r="F62" t="e">
        <f>HEX2BIN(#REF!,8)</f>
        <v>#REF!</v>
      </c>
      <c r="G62" t="e">
        <f>HEX2BIN(#REF!,8)</f>
        <v>#REF!</v>
      </c>
      <c r="H62" t="e">
        <f>HEX2BIN(#REF!,8)</f>
        <v>#REF!</v>
      </c>
      <c r="I62" t="e">
        <f>HEX2BIN(#REF!,8)</f>
        <v>#REF!</v>
      </c>
      <c r="K62" s="41"/>
      <c r="L62" s="41">
        <v>1</v>
      </c>
      <c r="M62" s="41">
        <v>1</v>
      </c>
      <c r="N62" s="41">
        <v>1</v>
      </c>
      <c r="O62" s="41">
        <v>1</v>
      </c>
      <c r="P62" s="41">
        <v>1</v>
      </c>
      <c r="Q62" s="41">
        <v>1</v>
      </c>
      <c r="R62" s="41">
        <v>1</v>
      </c>
      <c r="S62" s="41">
        <v>1</v>
      </c>
      <c r="T62" s="41">
        <v>1</v>
      </c>
      <c r="U62" s="41">
        <v>1</v>
      </c>
      <c r="V62" s="41">
        <v>1</v>
      </c>
      <c r="W62" s="41">
        <v>1</v>
      </c>
      <c r="X62" s="41">
        <v>1</v>
      </c>
      <c r="Y62" s="41">
        <v>1</v>
      </c>
      <c r="Z62" s="41">
        <v>1</v>
      </c>
      <c r="AA62" s="41">
        <v>1</v>
      </c>
      <c r="AB62" s="41">
        <v>1</v>
      </c>
      <c r="AC62" s="41">
        <v>1</v>
      </c>
      <c r="AD62" s="41">
        <v>1</v>
      </c>
      <c r="AE62" s="41">
        <v>1</v>
      </c>
      <c r="AJ62" s="5"/>
      <c r="AK62" s="39"/>
      <c r="AL62" s="39"/>
      <c r="AM62" s="39"/>
      <c r="AN62" s="39"/>
      <c r="AO62" s="39"/>
      <c r="AP62" s="5"/>
      <c r="CM62" t="str">
        <f t="shared" si="11"/>
        <v>0x7FFF</v>
      </c>
      <c r="CN62" s="1" t="s">
        <v>1</v>
      </c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t="str">
        <f t="shared" si="12"/>
        <v>0xF800</v>
      </c>
      <c r="DD62" s="1" t="s">
        <v>1</v>
      </c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t="str">
        <f t="shared" si="7"/>
        <v>0x0000</v>
      </c>
      <c r="DT62" s="1" t="s">
        <v>1</v>
      </c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t="str">
        <f t="shared" si="8"/>
        <v>0x0000</v>
      </c>
      <c r="EJ62" s="1" t="s">
        <v>1</v>
      </c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</row>
    <row r="63" spans="1:154" x14ac:dyDescent="0.3">
      <c r="AJ63" s="5"/>
      <c r="AK63" s="5"/>
      <c r="AL63" s="5"/>
      <c r="AM63" s="5"/>
      <c r="AN63" s="5"/>
      <c r="AO63" s="5"/>
      <c r="AP63" s="5"/>
    </row>
  </sheetData>
  <conditionalFormatting sqref="BN59:BV62 BE55:BV58 BC55:BD62 AW55:BB60 AW37:BV54 AV26:BV36 AF3:BV25 AF26:AP42 AF43:AM54 AF55:AJ62 AP61:BB62">
    <cfRule type="expression" dxfId="43" priority="11">
      <formula>AND(AF3&lt;&gt;1,AF3&lt;&gt;"")</formula>
    </cfRule>
    <cfRule type="expression" dxfId="42" priority="30">
      <formula>AF3=""</formula>
    </cfRule>
    <cfRule type="expression" dxfId="41" priority="31">
      <formula>AF3=1</formula>
    </cfRule>
  </conditionalFormatting>
  <conditionalFormatting sqref="BE59:BM64 BW3:CL58 AQ26:AU30">
    <cfRule type="expression" dxfId="40" priority="28">
      <formula>AQ3=""</formula>
    </cfRule>
    <cfRule type="expression" dxfId="39" priority="29">
      <formula>AQ3&lt;&gt;""</formula>
    </cfRule>
  </conditionalFormatting>
  <conditionalFormatting sqref="AP55:AV60 AN52:AN54">
    <cfRule type="expression" dxfId="38" priority="26">
      <formula>AN52=""</formula>
    </cfRule>
    <cfRule type="expression" dxfId="37" priority="27">
      <formula>AN52&lt;&gt;""</formula>
    </cfRule>
  </conditionalFormatting>
  <conditionalFormatting sqref="AN49:AV54 AQ55:AT57 AN46:AN48">
    <cfRule type="expression" dxfId="36" priority="24">
      <formula>AN46=""</formula>
    </cfRule>
    <cfRule type="expression" dxfId="35" priority="25">
      <formula>AN46&lt;&gt;""</formula>
    </cfRule>
  </conditionalFormatting>
  <conditionalFormatting sqref="AQ43:AT51 AN43:AP48 AU43:AV48">
    <cfRule type="expression" dxfId="34" priority="22">
      <formula>AN43=""</formula>
    </cfRule>
    <cfRule type="expression" dxfId="33" priority="23">
      <formula>AN43&lt;&gt;""</formula>
    </cfRule>
  </conditionalFormatting>
  <conditionalFormatting sqref="AQ37:AV42 AQ43:AT45">
    <cfRule type="expression" dxfId="32" priority="20">
      <formula>AQ37=""</formula>
    </cfRule>
    <cfRule type="expression" dxfId="31" priority="21">
      <formula>AQ37&lt;&gt;""</formula>
    </cfRule>
  </conditionalFormatting>
  <conditionalFormatting sqref="AQ31:AU36 AQ37:AT39">
    <cfRule type="expression" dxfId="30" priority="18">
      <formula>AQ31=""</formula>
    </cfRule>
    <cfRule type="expression" dxfId="29" priority="19">
      <formula>AQ31&lt;&gt;""</formula>
    </cfRule>
  </conditionalFormatting>
  <conditionalFormatting sqref="AQ31:AT33">
    <cfRule type="expression" dxfId="28" priority="16">
      <formula>AQ31=""</formula>
    </cfRule>
    <cfRule type="expression" dxfId="27" priority="17">
      <formula>AQ31&lt;&gt;""</formula>
    </cfRule>
  </conditionalFormatting>
  <conditionalFormatting sqref="CD59:CL62">
    <cfRule type="expression" dxfId="26" priority="14">
      <formula>CD59=""</formula>
    </cfRule>
    <cfRule type="expression" dxfId="25" priority="15">
      <formula>CD59&lt;&gt;""</formula>
    </cfRule>
  </conditionalFormatting>
  <conditionalFormatting sqref="BW59:CC64">
    <cfRule type="expression" dxfId="24" priority="12">
      <formula>BW59=""</formula>
    </cfRule>
    <cfRule type="expression" dxfId="23" priority="13">
      <formula>BW59&lt;&gt;""</formula>
    </cfRule>
  </conditionalFormatting>
  <conditionalFormatting sqref="K3:AE12 K53:AE54 K61:AE62 K55:Q60 Y55:AE60 S55:W60">
    <cfRule type="cellIs" dxfId="22" priority="7" operator="equal">
      <formula>1</formula>
    </cfRule>
  </conditionalFormatting>
  <conditionalFormatting sqref="K13:AE22">
    <cfRule type="cellIs" dxfId="21" priority="6" operator="equal">
      <formula>1</formula>
    </cfRule>
  </conditionalFormatting>
  <conditionalFormatting sqref="K23:AE32">
    <cfRule type="cellIs" dxfId="20" priority="5" operator="equal">
      <formula>1</formula>
    </cfRule>
  </conditionalFormatting>
  <conditionalFormatting sqref="K33:AE42">
    <cfRule type="cellIs" dxfId="19" priority="4" operator="equal">
      <formula>1</formula>
    </cfRule>
  </conditionalFormatting>
  <conditionalFormatting sqref="K43:AE52">
    <cfRule type="cellIs" dxfId="18" priority="3" operator="equal">
      <formula>1</formula>
    </cfRule>
  </conditionalFormatting>
  <conditionalFormatting sqref="AK55:AO62">
    <cfRule type="cellIs" dxfId="17" priority="1" operator="equal">
      <formula>1</formula>
    </cfRule>
  </conditionalFormatting>
  <pageMargins left="0.7" right="0.7" top="0.75" bottom="0.75" header="0.3" footer="0.3"/>
  <pageSetup orientation="portrait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675E6-1D16-43EC-AF4E-AB531F856DF3}">
  <sheetPr codeName="Sheet1"/>
  <dimension ref="A1:M98"/>
  <sheetViews>
    <sheetView showGridLines="0" topLeftCell="B1" zoomScale="70" zoomScaleNormal="70" workbookViewId="0">
      <selection activeCell="B2" sqref="B2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x14ac:dyDescent="0.3">
      <c r="A2" s="8">
        <v>1</v>
      </c>
      <c r="B2" t="s">
        <v>6</v>
      </c>
      <c r="C2" s="7" t="s">
        <v>215</v>
      </c>
      <c r="D2" s="10" t="s">
        <v>181</v>
      </c>
      <c r="E2" s="10" t="s">
        <v>181</v>
      </c>
      <c r="F2" s="10" t="s">
        <v>181</v>
      </c>
      <c r="G2" s="10" t="s">
        <v>181</v>
      </c>
      <c r="H2" s="10" t="s">
        <v>181</v>
      </c>
      <c r="I2" s="10" t="s">
        <v>181</v>
      </c>
      <c r="J2" s="10" t="s">
        <v>181</v>
      </c>
      <c r="K2" s="10" t="s">
        <v>181</v>
      </c>
      <c r="L2" s="10" t="s">
        <v>181</v>
      </c>
      <c r="M2" s="10" t="s">
        <v>181</v>
      </c>
    </row>
    <row r="3" spans="1:13" s="4" customFormat="1" x14ac:dyDescent="0.3">
      <c r="A3" s="8">
        <v>2</v>
      </c>
      <c r="B3" s="4" t="s">
        <v>7</v>
      </c>
      <c r="C3" s="9" t="s">
        <v>101</v>
      </c>
      <c r="D3" s="11" t="s">
        <v>182</v>
      </c>
      <c r="E3" s="11" t="s">
        <v>182</v>
      </c>
      <c r="F3" s="11" t="s">
        <v>182</v>
      </c>
      <c r="G3" s="11" t="s">
        <v>182</v>
      </c>
      <c r="H3" s="11" t="s">
        <v>182</v>
      </c>
      <c r="I3" s="11" t="s">
        <v>182</v>
      </c>
      <c r="J3" s="11" t="s">
        <v>181</v>
      </c>
      <c r="K3" s="11" t="s">
        <v>182</v>
      </c>
      <c r="L3" s="11" t="s">
        <v>181</v>
      </c>
      <c r="M3" s="11" t="s">
        <v>181</v>
      </c>
    </row>
    <row r="4" spans="1:13" s="5" customFormat="1" x14ac:dyDescent="0.3">
      <c r="A4" s="8">
        <v>3</v>
      </c>
      <c r="B4" s="5" t="s">
        <v>8</v>
      </c>
      <c r="C4" s="8" t="s">
        <v>102</v>
      </c>
      <c r="D4" s="12" t="s">
        <v>183</v>
      </c>
      <c r="E4" s="12" t="s">
        <v>183</v>
      </c>
      <c r="F4" s="12" t="s">
        <v>183</v>
      </c>
      <c r="G4" s="12" t="s">
        <v>181</v>
      </c>
      <c r="H4" s="12" t="s">
        <v>181</v>
      </c>
      <c r="I4" s="12" t="s">
        <v>181</v>
      </c>
      <c r="J4" s="12" t="s">
        <v>181</v>
      </c>
      <c r="K4" s="12" t="s">
        <v>181</v>
      </c>
      <c r="L4" s="12" t="s">
        <v>181</v>
      </c>
      <c r="M4" s="12" t="s">
        <v>181</v>
      </c>
    </row>
    <row r="5" spans="1:13" s="5" customFormat="1" x14ac:dyDescent="0.3">
      <c r="A5" s="8">
        <v>4</v>
      </c>
      <c r="B5" s="5" t="s">
        <v>9</v>
      </c>
      <c r="C5" s="8" t="s">
        <v>103</v>
      </c>
      <c r="D5" s="12" t="s">
        <v>184</v>
      </c>
      <c r="E5" s="12" t="s">
        <v>184</v>
      </c>
      <c r="F5" s="12" t="s">
        <v>185</v>
      </c>
      <c r="G5" s="12" t="s">
        <v>184</v>
      </c>
      <c r="H5" s="12" t="s">
        <v>186</v>
      </c>
      <c r="I5" s="12" t="s">
        <v>185</v>
      </c>
      <c r="J5" s="12" t="s">
        <v>186</v>
      </c>
      <c r="K5" s="12" t="s">
        <v>186</v>
      </c>
      <c r="L5" s="12" t="s">
        <v>181</v>
      </c>
      <c r="M5" s="12" t="s">
        <v>181</v>
      </c>
    </row>
    <row r="6" spans="1:13" s="5" customFormat="1" x14ac:dyDescent="0.3">
      <c r="A6" s="8">
        <v>5</v>
      </c>
      <c r="B6" s="5" t="s">
        <v>10</v>
      </c>
      <c r="C6" s="8" t="s">
        <v>104</v>
      </c>
      <c r="D6" s="12" t="s">
        <v>187</v>
      </c>
      <c r="E6" s="12" t="s">
        <v>188</v>
      </c>
      <c r="F6" s="12" t="s">
        <v>189</v>
      </c>
      <c r="G6" s="12" t="s">
        <v>187</v>
      </c>
      <c r="H6" s="12" t="s">
        <v>190</v>
      </c>
      <c r="I6" s="12" t="s">
        <v>188</v>
      </c>
      <c r="J6" s="12" t="s">
        <v>188</v>
      </c>
      <c r="K6" s="12" t="s">
        <v>187</v>
      </c>
      <c r="L6" s="12" t="s">
        <v>182</v>
      </c>
      <c r="M6" s="12" t="s">
        <v>181</v>
      </c>
    </row>
    <row r="7" spans="1:13" s="5" customFormat="1" x14ac:dyDescent="0.3">
      <c r="A7" s="8">
        <v>6</v>
      </c>
      <c r="B7" s="5" t="s">
        <v>11</v>
      </c>
      <c r="C7" s="8" t="s">
        <v>105</v>
      </c>
      <c r="D7" s="12" t="s">
        <v>191</v>
      </c>
      <c r="E7" s="12" t="s">
        <v>188</v>
      </c>
      <c r="F7" s="12" t="s">
        <v>192</v>
      </c>
      <c r="G7" s="12" t="s">
        <v>193</v>
      </c>
      <c r="H7" s="12" t="s">
        <v>183</v>
      </c>
      <c r="I7" s="12" t="s">
        <v>188</v>
      </c>
      <c r="J7" s="12" t="s">
        <v>190</v>
      </c>
      <c r="K7" s="12" t="s">
        <v>194</v>
      </c>
      <c r="L7" s="12" t="s">
        <v>181</v>
      </c>
      <c r="M7" s="12" t="s">
        <v>181</v>
      </c>
    </row>
    <row r="8" spans="1:13" s="5" customFormat="1" x14ac:dyDescent="0.3">
      <c r="A8" s="8">
        <v>7</v>
      </c>
      <c r="B8" s="5" t="s">
        <v>12</v>
      </c>
      <c r="C8" s="8" t="s">
        <v>106</v>
      </c>
      <c r="D8" s="12" t="s">
        <v>182</v>
      </c>
      <c r="E8" s="12" t="s">
        <v>183</v>
      </c>
      <c r="F8" s="12" t="s">
        <v>183</v>
      </c>
      <c r="G8" s="12" t="s">
        <v>182</v>
      </c>
      <c r="H8" s="12" t="s">
        <v>195</v>
      </c>
      <c r="I8" s="12" t="s">
        <v>186</v>
      </c>
      <c r="J8" s="12" t="s">
        <v>186</v>
      </c>
      <c r="K8" s="12" t="s">
        <v>195</v>
      </c>
      <c r="L8" s="12" t="s">
        <v>181</v>
      </c>
      <c r="M8" s="12" t="s">
        <v>181</v>
      </c>
    </row>
    <row r="9" spans="1:13" s="5" customFormat="1" x14ac:dyDescent="0.3">
      <c r="A9" s="8">
        <v>8</v>
      </c>
      <c r="B9" s="5" t="s">
        <v>13</v>
      </c>
      <c r="C9" s="13" t="s">
        <v>5</v>
      </c>
      <c r="D9" s="12" t="s">
        <v>182</v>
      </c>
      <c r="E9" s="12" t="s">
        <v>182</v>
      </c>
      <c r="F9" s="12" t="s">
        <v>182</v>
      </c>
      <c r="G9" s="12" t="s">
        <v>181</v>
      </c>
      <c r="H9" s="12" t="s">
        <v>181</v>
      </c>
      <c r="I9" s="12" t="s">
        <v>181</v>
      </c>
      <c r="J9" s="12" t="s">
        <v>181</v>
      </c>
      <c r="K9" s="12" t="s">
        <v>181</v>
      </c>
      <c r="L9" s="12" t="s">
        <v>181</v>
      </c>
      <c r="M9" s="12" t="s">
        <v>181</v>
      </c>
    </row>
    <row r="10" spans="1:13" s="5" customFormat="1" x14ac:dyDescent="0.3">
      <c r="A10" s="8">
        <v>9</v>
      </c>
      <c r="B10" s="5" t="s">
        <v>14</v>
      </c>
      <c r="C10" s="8" t="s">
        <v>107</v>
      </c>
      <c r="D10" s="12" t="s">
        <v>194</v>
      </c>
      <c r="E10" s="12" t="s">
        <v>182</v>
      </c>
      <c r="F10" s="12" t="s">
        <v>191</v>
      </c>
      <c r="G10" s="12" t="s">
        <v>191</v>
      </c>
      <c r="H10" s="12" t="s">
        <v>191</v>
      </c>
      <c r="I10" s="12" t="s">
        <v>191</v>
      </c>
      <c r="J10" s="12" t="s">
        <v>191</v>
      </c>
      <c r="K10" s="12" t="s">
        <v>191</v>
      </c>
      <c r="L10" s="12" t="s">
        <v>182</v>
      </c>
      <c r="M10" s="12" t="s">
        <v>194</v>
      </c>
    </row>
    <row r="11" spans="1:13" s="5" customFormat="1" x14ac:dyDescent="0.3">
      <c r="A11" s="8">
        <v>10</v>
      </c>
      <c r="B11" s="5" t="s">
        <v>15</v>
      </c>
      <c r="C11" s="8" t="s">
        <v>108</v>
      </c>
      <c r="D11" s="12" t="s">
        <v>191</v>
      </c>
      <c r="E11" s="12" t="s">
        <v>182</v>
      </c>
      <c r="F11" s="12" t="s">
        <v>194</v>
      </c>
      <c r="G11" s="12" t="s">
        <v>194</v>
      </c>
      <c r="H11" s="12" t="s">
        <v>194</v>
      </c>
      <c r="I11" s="12" t="s">
        <v>194</v>
      </c>
      <c r="J11" s="12" t="s">
        <v>194</v>
      </c>
      <c r="K11" s="12" t="s">
        <v>194</v>
      </c>
      <c r="L11" s="12" t="s">
        <v>182</v>
      </c>
      <c r="M11" s="12" t="s">
        <v>191</v>
      </c>
    </row>
    <row r="12" spans="1:13" s="5" customFormat="1" x14ac:dyDescent="0.3">
      <c r="A12" s="8">
        <v>11</v>
      </c>
      <c r="B12" s="5" t="s">
        <v>16</v>
      </c>
      <c r="C12" s="8" t="s">
        <v>109</v>
      </c>
      <c r="D12" s="12" t="s">
        <v>182</v>
      </c>
      <c r="E12" s="12" t="s">
        <v>187</v>
      </c>
      <c r="F12" s="12" t="s">
        <v>182</v>
      </c>
      <c r="G12" s="12" t="s">
        <v>183</v>
      </c>
      <c r="H12" s="12" t="s">
        <v>181</v>
      </c>
      <c r="I12" s="12" t="s">
        <v>181</v>
      </c>
      <c r="J12" s="12" t="s">
        <v>181</v>
      </c>
      <c r="K12" s="12" t="s">
        <v>181</v>
      </c>
      <c r="L12" s="12" t="s">
        <v>181</v>
      </c>
      <c r="M12" s="12" t="s">
        <v>181</v>
      </c>
    </row>
    <row r="13" spans="1:13" s="5" customFormat="1" x14ac:dyDescent="0.3">
      <c r="A13" s="8">
        <v>12</v>
      </c>
      <c r="B13" s="5" t="s">
        <v>17</v>
      </c>
      <c r="C13" s="8" t="s">
        <v>110</v>
      </c>
      <c r="D13" s="12" t="s">
        <v>181</v>
      </c>
      <c r="E13" s="12" t="s">
        <v>181</v>
      </c>
      <c r="F13" s="12" t="s">
        <v>182</v>
      </c>
      <c r="G13" s="12" t="s">
        <v>182</v>
      </c>
      <c r="H13" s="12" t="s">
        <v>185</v>
      </c>
      <c r="I13" s="12" t="s">
        <v>182</v>
      </c>
      <c r="J13" s="12" t="s">
        <v>182</v>
      </c>
      <c r="K13" s="12" t="s">
        <v>181</v>
      </c>
      <c r="L13" s="12" t="s">
        <v>181</v>
      </c>
      <c r="M13" s="12" t="s">
        <v>181</v>
      </c>
    </row>
    <row r="14" spans="1:13" s="5" customFormat="1" x14ac:dyDescent="0.3">
      <c r="A14" s="8">
        <v>13</v>
      </c>
      <c r="B14" s="5" t="s">
        <v>18</v>
      </c>
      <c r="C14" s="8"/>
      <c r="D14" s="12" t="s">
        <v>181</v>
      </c>
      <c r="E14" s="12" t="s">
        <v>181</v>
      </c>
      <c r="F14" s="12" t="s">
        <v>181</v>
      </c>
      <c r="G14" s="12" t="s">
        <v>181</v>
      </c>
      <c r="H14" s="12" t="s">
        <v>181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x14ac:dyDescent="0.3">
      <c r="A15" s="8">
        <v>14</v>
      </c>
      <c r="B15" s="5" t="s">
        <v>19</v>
      </c>
      <c r="C15" s="8" t="s">
        <v>111</v>
      </c>
      <c r="D15" s="12" t="s">
        <v>181</v>
      </c>
      <c r="E15" s="12" t="s">
        <v>181</v>
      </c>
      <c r="F15" s="12" t="s">
        <v>181</v>
      </c>
      <c r="G15" s="12" t="s">
        <v>181</v>
      </c>
      <c r="H15" s="12" t="s">
        <v>181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x14ac:dyDescent="0.3">
      <c r="A16" s="8">
        <v>15</v>
      </c>
      <c r="B16" s="5" t="s">
        <v>20</v>
      </c>
      <c r="C16" s="8" t="s">
        <v>112</v>
      </c>
      <c r="D16" s="12" t="s">
        <v>181</v>
      </c>
      <c r="E16" s="12" t="s">
        <v>181</v>
      </c>
      <c r="F16" s="12" t="s">
        <v>181</v>
      </c>
      <c r="G16" s="12" t="s">
        <v>181</v>
      </c>
      <c r="H16" s="12" t="s">
        <v>181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x14ac:dyDescent="0.3">
      <c r="A17" s="8">
        <v>16</v>
      </c>
      <c r="B17" s="5" t="s">
        <v>21</v>
      </c>
      <c r="C17" s="8" t="s">
        <v>113</v>
      </c>
      <c r="D17" s="12" t="s">
        <v>194</v>
      </c>
      <c r="E17" s="12" t="s">
        <v>194</v>
      </c>
      <c r="F17" s="12" t="s">
        <v>182</v>
      </c>
      <c r="G17" s="12" t="s">
        <v>182</v>
      </c>
      <c r="H17" s="12" t="s">
        <v>182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x14ac:dyDescent="0.3">
      <c r="A18" s="8">
        <v>17</v>
      </c>
      <c r="B18" s="5" t="s">
        <v>22</v>
      </c>
      <c r="C18" s="8">
        <v>0</v>
      </c>
      <c r="D18" s="12" t="s">
        <v>187</v>
      </c>
      <c r="E18" s="12" t="s">
        <v>196</v>
      </c>
      <c r="F18" s="12" t="s">
        <v>196</v>
      </c>
      <c r="G18" s="12" t="s">
        <v>188</v>
      </c>
      <c r="H18" s="12" t="s">
        <v>196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x14ac:dyDescent="0.3">
      <c r="A19" s="8">
        <v>18</v>
      </c>
      <c r="B19" s="5" t="s">
        <v>23</v>
      </c>
      <c r="C19" s="8">
        <v>1</v>
      </c>
      <c r="D19" s="12" t="s">
        <v>182</v>
      </c>
      <c r="E19" s="12" t="s">
        <v>193</v>
      </c>
      <c r="F19" s="12" t="s">
        <v>189</v>
      </c>
      <c r="G19" s="12" t="s">
        <v>182</v>
      </c>
      <c r="H19" s="12" t="s">
        <v>182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x14ac:dyDescent="0.3">
      <c r="A20" s="8">
        <v>19</v>
      </c>
      <c r="B20" s="5" t="s">
        <v>24</v>
      </c>
      <c r="C20" s="8">
        <v>2</v>
      </c>
      <c r="D20" s="12" t="s">
        <v>187</v>
      </c>
      <c r="E20" s="12" t="s">
        <v>196</v>
      </c>
      <c r="F20" s="12" t="s">
        <v>196</v>
      </c>
      <c r="G20" s="12" t="s">
        <v>197</v>
      </c>
      <c r="H20" s="12" t="s">
        <v>194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x14ac:dyDescent="0.3">
      <c r="A21" s="8">
        <v>20</v>
      </c>
      <c r="B21" s="5" t="s">
        <v>25</v>
      </c>
      <c r="C21" s="8">
        <v>3</v>
      </c>
      <c r="D21" s="12" t="s">
        <v>187</v>
      </c>
      <c r="E21" s="12" t="s">
        <v>196</v>
      </c>
      <c r="F21" s="12" t="s">
        <v>197</v>
      </c>
      <c r="G21" s="12" t="s">
        <v>198</v>
      </c>
      <c r="H21" s="12" t="s">
        <v>197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x14ac:dyDescent="0.3">
      <c r="A22" s="8">
        <v>21</v>
      </c>
      <c r="B22" s="5" t="s">
        <v>26</v>
      </c>
      <c r="C22" s="8">
        <v>4</v>
      </c>
      <c r="D22" s="12" t="s">
        <v>194</v>
      </c>
      <c r="E22" s="12" t="s">
        <v>198</v>
      </c>
      <c r="F22" s="12" t="s">
        <v>183</v>
      </c>
      <c r="G22" s="12" t="s">
        <v>183</v>
      </c>
      <c r="H22" s="12" t="s">
        <v>186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x14ac:dyDescent="0.3">
      <c r="A23" s="8">
        <v>22</v>
      </c>
      <c r="B23" s="5" t="s">
        <v>27</v>
      </c>
      <c r="C23" s="8">
        <v>5</v>
      </c>
      <c r="D23" s="12" t="s">
        <v>185</v>
      </c>
      <c r="E23" s="12" t="s">
        <v>199</v>
      </c>
      <c r="F23" s="12" t="s">
        <v>199</v>
      </c>
      <c r="G23" s="12" t="s">
        <v>200</v>
      </c>
      <c r="H23" s="12" t="s">
        <v>197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x14ac:dyDescent="0.3">
      <c r="A24" s="8">
        <v>23</v>
      </c>
      <c r="B24" s="5" t="s">
        <v>28</v>
      </c>
      <c r="C24" s="8">
        <v>6</v>
      </c>
      <c r="D24" s="12" t="s">
        <v>187</v>
      </c>
      <c r="E24" s="12" t="s">
        <v>196</v>
      </c>
      <c r="F24" s="12" t="s">
        <v>199</v>
      </c>
      <c r="G24" s="12" t="s">
        <v>200</v>
      </c>
      <c r="H24" s="12" t="s">
        <v>196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x14ac:dyDescent="0.3">
      <c r="A25" s="8">
        <v>24</v>
      </c>
      <c r="B25" s="5" t="s">
        <v>29</v>
      </c>
      <c r="C25" s="8">
        <v>7</v>
      </c>
      <c r="D25" s="12" t="s">
        <v>185</v>
      </c>
      <c r="E25" s="12" t="s">
        <v>197</v>
      </c>
      <c r="F25" s="12" t="s">
        <v>194</v>
      </c>
      <c r="G25" s="12" t="s">
        <v>182</v>
      </c>
      <c r="H25" s="12" t="s">
        <v>182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x14ac:dyDescent="0.3">
      <c r="A26" s="8">
        <v>25</v>
      </c>
      <c r="B26" s="5" t="s">
        <v>30</v>
      </c>
      <c r="C26" s="8">
        <v>8</v>
      </c>
      <c r="D26" s="12" t="s">
        <v>187</v>
      </c>
      <c r="E26" s="12" t="s">
        <v>196</v>
      </c>
      <c r="F26" s="12" t="s">
        <v>196</v>
      </c>
      <c r="G26" s="12" t="s">
        <v>187</v>
      </c>
      <c r="H26" s="12" t="s">
        <v>196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x14ac:dyDescent="0.3">
      <c r="A27" s="8">
        <v>26</v>
      </c>
      <c r="B27" s="5" t="s">
        <v>31</v>
      </c>
      <c r="C27" s="8">
        <v>9</v>
      </c>
      <c r="D27" s="12" t="s">
        <v>187</v>
      </c>
      <c r="E27" s="12" t="s">
        <v>196</v>
      </c>
      <c r="F27" s="12" t="s">
        <v>196</v>
      </c>
      <c r="G27" s="12" t="s">
        <v>196</v>
      </c>
      <c r="H27" s="12" t="s">
        <v>201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x14ac:dyDescent="0.3">
      <c r="A28" s="8">
        <v>27</v>
      </c>
      <c r="B28" s="5" t="s">
        <v>32</v>
      </c>
      <c r="C28" s="8" t="s">
        <v>114</v>
      </c>
      <c r="D28" s="12" t="s">
        <v>181</v>
      </c>
      <c r="E28" s="12" t="s">
        <v>181</v>
      </c>
      <c r="F28" s="12" t="s">
        <v>182</v>
      </c>
      <c r="G28" s="12" t="s">
        <v>181</v>
      </c>
      <c r="H28" s="12" t="s">
        <v>181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x14ac:dyDescent="0.3">
      <c r="A29" s="8">
        <v>28</v>
      </c>
      <c r="B29" s="5" t="s">
        <v>33</v>
      </c>
      <c r="C29" s="8" t="s">
        <v>115</v>
      </c>
      <c r="D29" s="12" t="s">
        <v>181</v>
      </c>
      <c r="E29" s="12" t="s">
        <v>181</v>
      </c>
      <c r="F29" s="12" t="s">
        <v>181</v>
      </c>
      <c r="G29" s="12" t="s">
        <v>182</v>
      </c>
      <c r="H29" s="12" t="s">
        <v>181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x14ac:dyDescent="0.3">
      <c r="A30" s="8">
        <v>29</v>
      </c>
      <c r="B30" s="5" t="s">
        <v>34</v>
      </c>
      <c r="C30" s="8" t="s">
        <v>116</v>
      </c>
      <c r="D30" s="12" t="s">
        <v>181</v>
      </c>
      <c r="E30" s="12" t="s">
        <v>181</v>
      </c>
      <c r="F30" s="12" t="s">
        <v>202</v>
      </c>
      <c r="G30" s="12" t="s">
        <v>193</v>
      </c>
      <c r="H30" s="12" t="s">
        <v>199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x14ac:dyDescent="0.3">
      <c r="A31" s="8">
        <v>30</v>
      </c>
      <c r="B31" s="5" t="s">
        <v>35</v>
      </c>
      <c r="C31" s="8" t="s">
        <v>117</v>
      </c>
      <c r="D31" s="12" t="s">
        <v>181</v>
      </c>
      <c r="E31" s="12" t="s">
        <v>181</v>
      </c>
      <c r="F31" s="12" t="s">
        <v>181</v>
      </c>
      <c r="G31" s="12" t="s">
        <v>185</v>
      </c>
      <c r="H31" s="12" t="s">
        <v>181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x14ac:dyDescent="0.3">
      <c r="A32" s="8">
        <v>31</v>
      </c>
      <c r="B32" s="5" t="s">
        <v>36</v>
      </c>
      <c r="C32" s="8" t="s">
        <v>118</v>
      </c>
      <c r="D32" s="12" t="s">
        <v>181</v>
      </c>
      <c r="E32" s="12" t="s">
        <v>181</v>
      </c>
      <c r="F32" s="12" t="s">
        <v>203</v>
      </c>
      <c r="G32" s="12" t="s">
        <v>198</v>
      </c>
      <c r="H32" s="12" t="s">
        <v>197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x14ac:dyDescent="0.3">
      <c r="A33" s="8">
        <v>32</v>
      </c>
      <c r="B33" s="5" t="s">
        <v>37</v>
      </c>
      <c r="C33" s="8" t="s">
        <v>119</v>
      </c>
      <c r="D33" s="12" t="s">
        <v>187</v>
      </c>
      <c r="E33" s="12" t="s">
        <v>196</v>
      </c>
      <c r="F33" s="12" t="s">
        <v>197</v>
      </c>
      <c r="G33" s="12" t="s">
        <v>194</v>
      </c>
      <c r="H33" s="12" t="s">
        <v>182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x14ac:dyDescent="0.3">
      <c r="A34" s="8">
        <v>33</v>
      </c>
      <c r="B34" s="5" t="s">
        <v>38</v>
      </c>
      <c r="C34" s="8" t="s">
        <v>120</v>
      </c>
      <c r="D34" s="12" t="s">
        <v>187</v>
      </c>
      <c r="E34" s="12" t="s">
        <v>196</v>
      </c>
      <c r="F34" s="12" t="s">
        <v>204</v>
      </c>
      <c r="G34" s="12" t="s">
        <v>188</v>
      </c>
      <c r="H34" s="12" t="s">
        <v>205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x14ac:dyDescent="0.3">
      <c r="A35" s="8">
        <v>34</v>
      </c>
      <c r="B35" s="5" t="s">
        <v>39</v>
      </c>
      <c r="C35" s="8" t="s">
        <v>121</v>
      </c>
      <c r="D35" s="12" t="s">
        <v>182</v>
      </c>
      <c r="E35" s="12" t="s">
        <v>183</v>
      </c>
      <c r="F35" s="12" t="s">
        <v>183</v>
      </c>
      <c r="G35" s="12" t="s">
        <v>183</v>
      </c>
      <c r="H35" s="12" t="s">
        <v>183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x14ac:dyDescent="0.3">
      <c r="A36" s="8">
        <v>35</v>
      </c>
      <c r="B36" s="5" t="s">
        <v>40</v>
      </c>
      <c r="C36" s="8" t="s">
        <v>122</v>
      </c>
      <c r="D36" s="12" t="s">
        <v>200</v>
      </c>
      <c r="E36" s="12" t="s">
        <v>196</v>
      </c>
      <c r="F36" s="12" t="s">
        <v>196</v>
      </c>
      <c r="G36" s="12" t="s">
        <v>200</v>
      </c>
      <c r="H36" s="12" t="s">
        <v>196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x14ac:dyDescent="0.3">
      <c r="A37" s="8">
        <v>36</v>
      </c>
      <c r="B37" s="5" t="s">
        <v>41</v>
      </c>
      <c r="C37" s="8" t="s">
        <v>2</v>
      </c>
      <c r="D37" s="12" t="s">
        <v>187</v>
      </c>
      <c r="E37" s="12" t="s">
        <v>196</v>
      </c>
      <c r="F37" s="12" t="s">
        <v>199</v>
      </c>
      <c r="G37" s="12" t="s">
        <v>199</v>
      </c>
      <c r="H37" s="12" t="s">
        <v>199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x14ac:dyDescent="0.3">
      <c r="A38" s="8">
        <v>37</v>
      </c>
      <c r="B38" s="5" t="s">
        <v>42</v>
      </c>
      <c r="C38" s="8" t="s">
        <v>123</v>
      </c>
      <c r="D38" s="12" t="s">
        <v>206</v>
      </c>
      <c r="E38" s="12" t="s">
        <v>186</v>
      </c>
      <c r="F38" s="12" t="s">
        <v>196</v>
      </c>
      <c r="G38" s="12" t="s">
        <v>196</v>
      </c>
      <c r="H38" s="12" t="s">
        <v>196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x14ac:dyDescent="0.3">
      <c r="A39" s="8">
        <v>38</v>
      </c>
      <c r="B39" s="5" t="s">
        <v>43</v>
      </c>
      <c r="C39" s="8" t="s">
        <v>4</v>
      </c>
      <c r="D39" s="12" t="s">
        <v>185</v>
      </c>
      <c r="E39" s="12" t="s">
        <v>199</v>
      </c>
      <c r="F39" s="12" t="s">
        <v>199</v>
      </c>
      <c r="G39" s="12" t="s">
        <v>185</v>
      </c>
      <c r="H39" s="12" t="s">
        <v>199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x14ac:dyDescent="0.3">
      <c r="A40" s="8">
        <v>39</v>
      </c>
      <c r="B40" s="5" t="s">
        <v>44</v>
      </c>
      <c r="C40" s="8" t="s">
        <v>3</v>
      </c>
      <c r="D40" s="12" t="s">
        <v>185</v>
      </c>
      <c r="E40" s="12" t="s">
        <v>199</v>
      </c>
      <c r="F40" s="12" t="s">
        <v>199</v>
      </c>
      <c r="G40" s="12" t="s">
        <v>200</v>
      </c>
      <c r="H40" s="12" t="s">
        <v>199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x14ac:dyDescent="0.3">
      <c r="A41" s="8">
        <v>40</v>
      </c>
      <c r="B41" s="5" t="s">
        <v>45</v>
      </c>
      <c r="C41" s="8" t="s">
        <v>124</v>
      </c>
      <c r="D41" s="12" t="s">
        <v>187</v>
      </c>
      <c r="E41" s="12" t="s">
        <v>196</v>
      </c>
      <c r="F41" s="12" t="s">
        <v>199</v>
      </c>
      <c r="G41" s="12" t="s">
        <v>199</v>
      </c>
      <c r="H41" s="12" t="s">
        <v>205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x14ac:dyDescent="0.3">
      <c r="A42" s="8">
        <v>41</v>
      </c>
      <c r="B42" s="5" t="s">
        <v>46</v>
      </c>
      <c r="C42" s="8" t="s">
        <v>125</v>
      </c>
      <c r="D42" s="12" t="s">
        <v>196</v>
      </c>
      <c r="E42" s="12" t="s">
        <v>196</v>
      </c>
      <c r="F42" s="12" t="s">
        <v>196</v>
      </c>
      <c r="G42" s="12" t="s">
        <v>185</v>
      </c>
      <c r="H42" s="12" t="s">
        <v>196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x14ac:dyDescent="0.3">
      <c r="A43" s="8">
        <v>42</v>
      </c>
      <c r="B43" s="5" t="s">
        <v>47</v>
      </c>
      <c r="C43" s="8" t="s">
        <v>126</v>
      </c>
      <c r="D43" s="12" t="s">
        <v>187</v>
      </c>
      <c r="E43" s="12" t="s">
        <v>182</v>
      </c>
      <c r="F43" s="12" t="s">
        <v>182</v>
      </c>
      <c r="G43" s="12" t="s">
        <v>182</v>
      </c>
      <c r="H43" s="12" t="s">
        <v>182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x14ac:dyDescent="0.3">
      <c r="A44" s="8">
        <v>43</v>
      </c>
      <c r="B44" s="5" t="s">
        <v>48</v>
      </c>
      <c r="C44" s="8" t="s">
        <v>127</v>
      </c>
      <c r="D44" s="12" t="s">
        <v>197</v>
      </c>
      <c r="E44" s="12" t="s">
        <v>197</v>
      </c>
      <c r="F44" s="12" t="s">
        <v>197</v>
      </c>
      <c r="G44" s="12" t="s">
        <v>197</v>
      </c>
      <c r="H44" s="12" t="s">
        <v>197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x14ac:dyDescent="0.3">
      <c r="A45" s="8">
        <v>44</v>
      </c>
      <c r="B45" s="5" t="s">
        <v>49</v>
      </c>
      <c r="C45" s="8" t="s">
        <v>128</v>
      </c>
      <c r="D45" s="12" t="s">
        <v>196</v>
      </c>
      <c r="E45" s="12" t="s">
        <v>186</v>
      </c>
      <c r="F45" s="12" t="s">
        <v>189</v>
      </c>
      <c r="G45" s="12" t="s">
        <v>203</v>
      </c>
      <c r="H45" s="12" t="s">
        <v>189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x14ac:dyDescent="0.3">
      <c r="A46" s="8">
        <v>45</v>
      </c>
      <c r="B46" s="5" t="s">
        <v>50</v>
      </c>
      <c r="C46" s="8" t="s">
        <v>129</v>
      </c>
      <c r="D46" s="12" t="s">
        <v>199</v>
      </c>
      <c r="E46" s="12" t="s">
        <v>199</v>
      </c>
      <c r="F46" s="12" t="s">
        <v>199</v>
      </c>
      <c r="G46" s="12" t="s">
        <v>199</v>
      </c>
      <c r="H46" s="12" t="s">
        <v>199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x14ac:dyDescent="0.3">
      <c r="A47" s="8">
        <v>46</v>
      </c>
      <c r="B47" s="5" t="s">
        <v>51</v>
      </c>
      <c r="C47" s="8" t="s">
        <v>130</v>
      </c>
      <c r="D47" s="12" t="s">
        <v>196</v>
      </c>
      <c r="E47" s="12" t="s">
        <v>207</v>
      </c>
      <c r="F47" s="12" t="s">
        <v>207</v>
      </c>
      <c r="G47" s="12" t="s">
        <v>188</v>
      </c>
      <c r="H47" s="12" t="s">
        <v>196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x14ac:dyDescent="0.3">
      <c r="A48" s="8">
        <v>47</v>
      </c>
      <c r="B48" s="5" t="s">
        <v>52</v>
      </c>
      <c r="C48" s="8" t="s">
        <v>131</v>
      </c>
      <c r="D48" s="12" t="s">
        <v>196</v>
      </c>
      <c r="E48" s="12" t="s">
        <v>208</v>
      </c>
      <c r="F48" s="12" t="s">
        <v>208</v>
      </c>
      <c r="G48" s="12" t="s">
        <v>188</v>
      </c>
      <c r="H48" s="12" t="s">
        <v>188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x14ac:dyDescent="0.3">
      <c r="A49" s="8">
        <v>48</v>
      </c>
      <c r="B49" s="5" t="s">
        <v>53</v>
      </c>
      <c r="C49" s="8" t="s">
        <v>132</v>
      </c>
      <c r="D49" s="12" t="s">
        <v>187</v>
      </c>
      <c r="E49" s="12" t="s">
        <v>196</v>
      </c>
      <c r="F49" s="12" t="s">
        <v>196</v>
      </c>
      <c r="G49" s="12" t="s">
        <v>196</v>
      </c>
      <c r="H49" s="12" t="s">
        <v>196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x14ac:dyDescent="0.3">
      <c r="A50" s="8">
        <v>49</v>
      </c>
      <c r="B50" s="5" t="s">
        <v>54</v>
      </c>
      <c r="C50" s="8" t="s">
        <v>133</v>
      </c>
      <c r="D50" s="12" t="s">
        <v>200</v>
      </c>
      <c r="E50" s="12" t="s">
        <v>196</v>
      </c>
      <c r="F50" s="12" t="s">
        <v>196</v>
      </c>
      <c r="G50" s="12" t="s">
        <v>196</v>
      </c>
      <c r="H50" s="12" t="s">
        <v>200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x14ac:dyDescent="0.3">
      <c r="A51" s="8">
        <v>50</v>
      </c>
      <c r="B51" s="5" t="s">
        <v>55</v>
      </c>
      <c r="C51" s="8" t="s">
        <v>134</v>
      </c>
      <c r="D51" s="12" t="s">
        <v>187</v>
      </c>
      <c r="E51" s="12" t="s">
        <v>196</v>
      </c>
      <c r="F51" s="12" t="s">
        <v>196</v>
      </c>
      <c r="G51" s="12" t="s">
        <v>196</v>
      </c>
      <c r="H51" s="12" t="s">
        <v>196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x14ac:dyDescent="0.3">
      <c r="A52" s="8">
        <v>51</v>
      </c>
      <c r="B52" s="5" t="s">
        <v>56</v>
      </c>
      <c r="C52" s="8" t="s">
        <v>135</v>
      </c>
      <c r="D52" s="12" t="s">
        <v>200</v>
      </c>
      <c r="E52" s="12" t="s">
        <v>196</v>
      </c>
      <c r="F52" s="12" t="s">
        <v>196</v>
      </c>
      <c r="G52" s="12" t="s">
        <v>196</v>
      </c>
      <c r="H52" s="12" t="s">
        <v>200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x14ac:dyDescent="0.3">
      <c r="A53" s="8">
        <v>52</v>
      </c>
      <c r="B53" s="5" t="s">
        <v>57</v>
      </c>
      <c r="C53" s="8" t="s">
        <v>136</v>
      </c>
      <c r="D53" s="12" t="s">
        <v>187</v>
      </c>
      <c r="E53" s="12" t="s">
        <v>196</v>
      </c>
      <c r="F53" s="12" t="s">
        <v>199</v>
      </c>
      <c r="G53" s="12" t="s">
        <v>193</v>
      </c>
      <c r="H53" s="12" t="s">
        <v>194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x14ac:dyDescent="0.3">
      <c r="A54" s="8">
        <v>53</v>
      </c>
      <c r="B54" s="5" t="s">
        <v>58</v>
      </c>
      <c r="C54" s="8" t="s">
        <v>137</v>
      </c>
      <c r="D54" s="12" t="s">
        <v>185</v>
      </c>
      <c r="E54" s="12" t="s">
        <v>182</v>
      </c>
      <c r="F54" s="12" t="s">
        <v>182</v>
      </c>
      <c r="G54" s="12" t="s">
        <v>182</v>
      </c>
      <c r="H54" s="12" t="s">
        <v>182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x14ac:dyDescent="0.3">
      <c r="A55" s="8">
        <v>54</v>
      </c>
      <c r="B55" s="5" t="s">
        <v>59</v>
      </c>
      <c r="C55" s="8" t="s">
        <v>138</v>
      </c>
      <c r="D55" s="12" t="s">
        <v>196</v>
      </c>
      <c r="E55" s="12" t="s">
        <v>196</v>
      </c>
      <c r="F55" s="12" t="s">
        <v>196</v>
      </c>
      <c r="G55" s="12" t="s">
        <v>196</v>
      </c>
      <c r="H55" s="12" t="s">
        <v>196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x14ac:dyDescent="0.3">
      <c r="A56" s="8">
        <v>55</v>
      </c>
      <c r="B56" s="5" t="s">
        <v>60</v>
      </c>
      <c r="C56" s="8" t="s">
        <v>139</v>
      </c>
      <c r="D56" s="12" t="s">
        <v>196</v>
      </c>
      <c r="E56" s="12" t="s">
        <v>196</v>
      </c>
      <c r="F56" s="12" t="s">
        <v>196</v>
      </c>
      <c r="G56" s="12" t="s">
        <v>183</v>
      </c>
      <c r="H56" s="12" t="s">
        <v>183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x14ac:dyDescent="0.3">
      <c r="A57" s="8">
        <v>56</v>
      </c>
      <c r="B57" s="5" t="s">
        <v>61</v>
      </c>
      <c r="C57" s="8" t="s">
        <v>140</v>
      </c>
      <c r="D57" s="12" t="s">
        <v>196</v>
      </c>
      <c r="E57" s="12" t="s">
        <v>196</v>
      </c>
      <c r="F57" s="12" t="s">
        <v>188</v>
      </c>
      <c r="G57" s="12" t="s">
        <v>188</v>
      </c>
      <c r="H57" s="12" t="s">
        <v>188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x14ac:dyDescent="0.3">
      <c r="A58" s="8">
        <v>57</v>
      </c>
      <c r="B58" s="5" t="s">
        <v>62</v>
      </c>
      <c r="C58" s="8" t="s">
        <v>141</v>
      </c>
      <c r="D58" s="12" t="s">
        <v>196</v>
      </c>
      <c r="E58" s="12" t="s">
        <v>183</v>
      </c>
      <c r="F58" s="12" t="s">
        <v>183</v>
      </c>
      <c r="G58" s="12" t="s">
        <v>182</v>
      </c>
      <c r="H58" s="12" t="s">
        <v>182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x14ac:dyDescent="0.3">
      <c r="A59" s="8">
        <v>58</v>
      </c>
      <c r="B59" s="5" t="s">
        <v>63</v>
      </c>
      <c r="C59" s="8" t="s">
        <v>142</v>
      </c>
      <c r="D59" s="12" t="s">
        <v>196</v>
      </c>
      <c r="E59" s="12" t="s">
        <v>196</v>
      </c>
      <c r="F59" s="12" t="s">
        <v>183</v>
      </c>
      <c r="G59" s="12" t="s">
        <v>183</v>
      </c>
      <c r="H59" s="12" t="s">
        <v>182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x14ac:dyDescent="0.3">
      <c r="A60" s="8">
        <v>59</v>
      </c>
      <c r="B60" s="5" t="s">
        <v>64</v>
      </c>
      <c r="C60" s="8" t="s">
        <v>143</v>
      </c>
      <c r="D60" s="12" t="s">
        <v>185</v>
      </c>
      <c r="E60" s="12" t="s">
        <v>197</v>
      </c>
      <c r="F60" s="12" t="s">
        <v>194</v>
      </c>
      <c r="G60" s="12" t="s">
        <v>182</v>
      </c>
      <c r="H60" s="12" t="s">
        <v>182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x14ac:dyDescent="0.3">
      <c r="A61" s="8">
        <v>60</v>
      </c>
      <c r="B61" s="5" t="s">
        <v>65</v>
      </c>
      <c r="C61" s="8" t="s">
        <v>144</v>
      </c>
      <c r="D61" s="12" t="s">
        <v>198</v>
      </c>
      <c r="E61" s="12" t="s">
        <v>182</v>
      </c>
      <c r="F61" s="12" t="s">
        <v>182</v>
      </c>
      <c r="G61" s="12" t="s">
        <v>182</v>
      </c>
      <c r="H61" s="12" t="s">
        <v>182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x14ac:dyDescent="0.3">
      <c r="A62" s="8">
        <v>61</v>
      </c>
      <c r="B62" s="5" t="s">
        <v>66</v>
      </c>
      <c r="C62" s="8" t="s">
        <v>145</v>
      </c>
      <c r="D62" s="12" t="s">
        <v>191</v>
      </c>
      <c r="E62" s="12" t="s">
        <v>191</v>
      </c>
      <c r="F62" s="12" t="s">
        <v>182</v>
      </c>
      <c r="G62" s="12" t="s">
        <v>182</v>
      </c>
      <c r="H62" s="12" t="s">
        <v>182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x14ac:dyDescent="0.3">
      <c r="A63" s="8">
        <v>62</v>
      </c>
      <c r="B63" s="5" t="s">
        <v>67</v>
      </c>
      <c r="C63" s="8" t="s">
        <v>146</v>
      </c>
      <c r="D63" s="12" t="s">
        <v>193</v>
      </c>
      <c r="E63" s="12" t="s">
        <v>182</v>
      </c>
      <c r="F63" s="12" t="s">
        <v>182</v>
      </c>
      <c r="G63" s="12" t="s">
        <v>182</v>
      </c>
      <c r="H63" s="12" t="s">
        <v>182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x14ac:dyDescent="0.3">
      <c r="A64" s="8">
        <v>63</v>
      </c>
      <c r="B64" s="5" t="s">
        <v>68</v>
      </c>
      <c r="C64" s="8" t="s">
        <v>147</v>
      </c>
      <c r="D64" s="12" t="s">
        <v>182</v>
      </c>
      <c r="E64" s="12" t="s">
        <v>183</v>
      </c>
      <c r="F64" s="12" t="s">
        <v>183</v>
      </c>
      <c r="G64" s="12" t="s">
        <v>196</v>
      </c>
      <c r="H64" s="12" t="s">
        <v>181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x14ac:dyDescent="0.3">
      <c r="A65" s="8">
        <v>64</v>
      </c>
      <c r="B65" s="5" t="s">
        <v>69</v>
      </c>
      <c r="C65" s="8" t="s">
        <v>148</v>
      </c>
      <c r="D65" s="12" t="s">
        <v>181</v>
      </c>
      <c r="E65" s="12" t="s">
        <v>181</v>
      </c>
      <c r="F65" s="12" t="s">
        <v>181</v>
      </c>
      <c r="G65" s="12" t="s">
        <v>181</v>
      </c>
      <c r="H65" s="12" t="s">
        <v>181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x14ac:dyDescent="0.3">
      <c r="A66" s="8">
        <v>65</v>
      </c>
      <c r="B66" s="5" t="s">
        <v>70</v>
      </c>
      <c r="C66" s="8" t="s">
        <v>149</v>
      </c>
      <c r="D66" s="12" t="s">
        <v>191</v>
      </c>
      <c r="E66" s="12" t="s">
        <v>182</v>
      </c>
      <c r="F66" s="12" t="s">
        <v>181</v>
      </c>
      <c r="G66" s="12" t="s">
        <v>181</v>
      </c>
      <c r="H66" s="12" t="s">
        <v>181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x14ac:dyDescent="0.3">
      <c r="A67" s="8">
        <v>66</v>
      </c>
      <c r="B67" t="s">
        <v>71</v>
      </c>
      <c r="C67" s="7" t="s">
        <v>150</v>
      </c>
      <c r="D67" s="10" t="s">
        <v>181</v>
      </c>
      <c r="E67" s="10" t="s">
        <v>181</v>
      </c>
      <c r="F67" s="10" t="s">
        <v>187</v>
      </c>
      <c r="G67" s="10" t="s">
        <v>196</v>
      </c>
      <c r="H67" s="10" t="s">
        <v>201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x14ac:dyDescent="0.3">
      <c r="A68" s="8">
        <v>67</v>
      </c>
      <c r="B68" t="s">
        <v>72</v>
      </c>
      <c r="C68" s="7" t="s">
        <v>151</v>
      </c>
      <c r="D68" s="10" t="s">
        <v>199</v>
      </c>
      <c r="E68" s="10" t="s">
        <v>199</v>
      </c>
      <c r="F68" s="10" t="s">
        <v>192</v>
      </c>
      <c r="G68" s="10" t="s">
        <v>208</v>
      </c>
      <c r="H68" s="10" t="s">
        <v>196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x14ac:dyDescent="0.3">
      <c r="A69" s="8">
        <v>68</v>
      </c>
      <c r="B69" t="s">
        <v>73</v>
      </c>
      <c r="C69" s="7" t="s">
        <v>152</v>
      </c>
      <c r="D69" s="10" t="s">
        <v>181</v>
      </c>
      <c r="E69" s="10" t="s">
        <v>181</v>
      </c>
      <c r="F69" s="10" t="s">
        <v>187</v>
      </c>
      <c r="G69" s="10" t="s">
        <v>196</v>
      </c>
      <c r="H69" s="10" t="s">
        <v>199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x14ac:dyDescent="0.3">
      <c r="A70" s="8">
        <v>69</v>
      </c>
      <c r="B70" t="s">
        <v>74</v>
      </c>
      <c r="C70" s="7" t="s">
        <v>153</v>
      </c>
      <c r="D70" s="10" t="s">
        <v>197</v>
      </c>
      <c r="E70" s="10" t="s">
        <v>197</v>
      </c>
      <c r="F70" s="10" t="s">
        <v>195</v>
      </c>
      <c r="G70" s="10" t="s">
        <v>204</v>
      </c>
      <c r="H70" s="10" t="s">
        <v>196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x14ac:dyDescent="0.3">
      <c r="A71" s="8">
        <v>70</v>
      </c>
      <c r="B71" t="s">
        <v>75</v>
      </c>
      <c r="C71" s="7" t="s">
        <v>154</v>
      </c>
      <c r="D71" s="10" t="s">
        <v>181</v>
      </c>
      <c r="E71" s="10" t="s">
        <v>181</v>
      </c>
      <c r="F71" s="10" t="s">
        <v>187</v>
      </c>
      <c r="G71" s="10" t="s">
        <v>196</v>
      </c>
      <c r="H71" s="10" t="s">
        <v>185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x14ac:dyDescent="0.3">
      <c r="A72" s="8">
        <v>71</v>
      </c>
      <c r="B72" t="s">
        <v>76</v>
      </c>
      <c r="C72" s="7" t="s">
        <v>0</v>
      </c>
      <c r="D72" s="10" t="s">
        <v>202</v>
      </c>
      <c r="E72" s="10" t="s">
        <v>182</v>
      </c>
      <c r="F72" s="10" t="s">
        <v>185</v>
      </c>
      <c r="G72" s="10" t="s">
        <v>182</v>
      </c>
      <c r="H72" s="10" t="s">
        <v>182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x14ac:dyDescent="0.3">
      <c r="A73" s="8">
        <v>72</v>
      </c>
      <c r="B73" t="s">
        <v>77</v>
      </c>
      <c r="C73" s="7" t="s">
        <v>155</v>
      </c>
      <c r="D73" s="10" t="s">
        <v>181</v>
      </c>
      <c r="E73" s="10" t="s">
        <v>181</v>
      </c>
      <c r="F73" s="10" t="s">
        <v>195</v>
      </c>
      <c r="G73" s="10" t="s">
        <v>204</v>
      </c>
      <c r="H73" s="10" t="s">
        <v>196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x14ac:dyDescent="0.3">
      <c r="A74" s="8">
        <v>73</v>
      </c>
      <c r="B74" t="s">
        <v>78</v>
      </c>
      <c r="C74" s="7" t="s">
        <v>156</v>
      </c>
      <c r="D74" s="10" t="s">
        <v>199</v>
      </c>
      <c r="E74" s="10" t="s">
        <v>199</v>
      </c>
      <c r="F74" s="10" t="s">
        <v>192</v>
      </c>
      <c r="G74" s="10" t="s">
        <v>208</v>
      </c>
      <c r="H74" s="10" t="s">
        <v>196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x14ac:dyDescent="0.3">
      <c r="A75" s="8">
        <v>74</v>
      </c>
      <c r="B75" t="s">
        <v>79</v>
      </c>
      <c r="C75" s="7" t="s">
        <v>157</v>
      </c>
      <c r="D75" s="10" t="s">
        <v>182</v>
      </c>
      <c r="E75" s="10" t="s">
        <v>181</v>
      </c>
      <c r="F75" s="10" t="s">
        <v>206</v>
      </c>
      <c r="G75" s="10" t="s">
        <v>182</v>
      </c>
      <c r="H75" s="10" t="s">
        <v>182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x14ac:dyDescent="0.3">
      <c r="A76" s="8">
        <v>75</v>
      </c>
      <c r="B76" t="s">
        <v>80</v>
      </c>
      <c r="C76" s="7" t="s">
        <v>158</v>
      </c>
      <c r="D76" s="10" t="s">
        <v>182</v>
      </c>
      <c r="E76" s="10" t="s">
        <v>181</v>
      </c>
      <c r="F76" s="10" t="s">
        <v>206</v>
      </c>
      <c r="G76" s="10" t="s">
        <v>182</v>
      </c>
      <c r="H76" s="10" t="s">
        <v>182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x14ac:dyDescent="0.3">
      <c r="A77" s="8">
        <v>76</v>
      </c>
      <c r="B77" t="s">
        <v>81</v>
      </c>
      <c r="C77" s="7" t="s">
        <v>159</v>
      </c>
      <c r="D77" s="10" t="s">
        <v>199</v>
      </c>
      <c r="E77" s="10" t="s">
        <v>199</v>
      </c>
      <c r="F77" s="10" t="s">
        <v>186</v>
      </c>
      <c r="G77" s="10" t="s">
        <v>189</v>
      </c>
      <c r="H77" s="10" t="s">
        <v>203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x14ac:dyDescent="0.3">
      <c r="A78" s="8">
        <v>77</v>
      </c>
      <c r="B78" t="s">
        <v>82</v>
      </c>
      <c r="C78" s="7" t="s">
        <v>160</v>
      </c>
      <c r="D78" s="10" t="s">
        <v>206</v>
      </c>
      <c r="E78" s="10" t="s">
        <v>182</v>
      </c>
      <c r="F78" s="10" t="s">
        <v>182</v>
      </c>
      <c r="G78" s="10" t="s">
        <v>182</v>
      </c>
      <c r="H78" s="10" t="s">
        <v>182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x14ac:dyDescent="0.3">
      <c r="A79" s="8">
        <v>78</v>
      </c>
      <c r="B79" t="s">
        <v>83</v>
      </c>
      <c r="C79" s="7" t="s">
        <v>161</v>
      </c>
      <c r="D79" s="10" t="s">
        <v>181</v>
      </c>
      <c r="E79" s="10" t="s">
        <v>181</v>
      </c>
      <c r="F79" s="10" t="s">
        <v>200</v>
      </c>
      <c r="G79" s="10" t="s">
        <v>188</v>
      </c>
      <c r="H79" s="10" t="s">
        <v>188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x14ac:dyDescent="0.3">
      <c r="A80" s="8">
        <v>79</v>
      </c>
      <c r="B80" t="s">
        <v>84</v>
      </c>
      <c r="C80" s="7" t="s">
        <v>162</v>
      </c>
      <c r="D80" s="10" t="s">
        <v>181</v>
      </c>
      <c r="E80" s="10" t="s">
        <v>181</v>
      </c>
      <c r="F80" s="10" t="s">
        <v>192</v>
      </c>
      <c r="G80" s="10" t="s">
        <v>208</v>
      </c>
      <c r="H80" s="10" t="s">
        <v>196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x14ac:dyDescent="0.3">
      <c r="A81" s="8">
        <v>80</v>
      </c>
      <c r="B81" t="s">
        <v>85</v>
      </c>
      <c r="C81" s="7" t="s">
        <v>163</v>
      </c>
      <c r="D81" s="10" t="s">
        <v>181</v>
      </c>
      <c r="E81" s="10" t="s">
        <v>181</v>
      </c>
      <c r="F81" s="10" t="s">
        <v>187</v>
      </c>
      <c r="G81" s="10" t="s">
        <v>196</v>
      </c>
      <c r="H81" s="10" t="s">
        <v>196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x14ac:dyDescent="0.3">
      <c r="A82" s="8">
        <v>81</v>
      </c>
      <c r="B82" t="s">
        <v>86</v>
      </c>
      <c r="C82" s="7" t="s">
        <v>164</v>
      </c>
      <c r="D82" s="10" t="s">
        <v>181</v>
      </c>
      <c r="E82" s="10" t="s">
        <v>181</v>
      </c>
      <c r="F82" s="10" t="s">
        <v>192</v>
      </c>
      <c r="G82" s="10" t="s">
        <v>208</v>
      </c>
      <c r="H82" s="10" t="s">
        <v>196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x14ac:dyDescent="0.3">
      <c r="A83" s="8">
        <v>82</v>
      </c>
      <c r="B83" t="s">
        <v>87</v>
      </c>
      <c r="C83" s="7" t="s">
        <v>165</v>
      </c>
      <c r="D83" s="10" t="s">
        <v>181</v>
      </c>
      <c r="E83" s="10" t="s">
        <v>181</v>
      </c>
      <c r="F83" s="10" t="s">
        <v>195</v>
      </c>
      <c r="G83" s="10" t="s">
        <v>204</v>
      </c>
      <c r="H83" s="10" t="s">
        <v>196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x14ac:dyDescent="0.3">
      <c r="A84" s="8">
        <v>83</v>
      </c>
      <c r="B84" t="s">
        <v>88</v>
      </c>
      <c r="C84" s="7" t="s">
        <v>166</v>
      </c>
      <c r="D84" s="10" t="s">
        <v>181</v>
      </c>
      <c r="E84" s="10" t="s">
        <v>181</v>
      </c>
      <c r="F84" s="10" t="s">
        <v>192</v>
      </c>
      <c r="G84" s="10" t="s">
        <v>208</v>
      </c>
      <c r="H84" s="10" t="s">
        <v>199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x14ac:dyDescent="0.3">
      <c r="A85" s="8">
        <v>84</v>
      </c>
      <c r="B85" t="s">
        <v>89</v>
      </c>
      <c r="C85" s="7" t="s">
        <v>167</v>
      </c>
      <c r="D85" s="10" t="s">
        <v>181</v>
      </c>
      <c r="E85" s="10" t="s">
        <v>181</v>
      </c>
      <c r="F85" s="10" t="s">
        <v>187</v>
      </c>
      <c r="G85" s="10" t="s">
        <v>196</v>
      </c>
      <c r="H85" s="10" t="s">
        <v>193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x14ac:dyDescent="0.3">
      <c r="A86" s="8">
        <v>85</v>
      </c>
      <c r="B86" t="s">
        <v>90</v>
      </c>
      <c r="C86" s="7" t="s">
        <v>168</v>
      </c>
      <c r="D86" s="10" t="s">
        <v>191</v>
      </c>
      <c r="E86" s="10" t="s">
        <v>191</v>
      </c>
      <c r="F86" s="10" t="s">
        <v>200</v>
      </c>
      <c r="G86" s="10" t="s">
        <v>191</v>
      </c>
      <c r="H86" s="10" t="s">
        <v>191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x14ac:dyDescent="0.3">
      <c r="A87" s="8">
        <v>86</v>
      </c>
      <c r="B87" t="s">
        <v>91</v>
      </c>
      <c r="C87" s="7" t="s">
        <v>169</v>
      </c>
      <c r="D87" s="10" t="s">
        <v>181</v>
      </c>
      <c r="E87" s="10" t="s">
        <v>181</v>
      </c>
      <c r="F87" s="10" t="s">
        <v>196</v>
      </c>
      <c r="G87" s="10" t="s">
        <v>196</v>
      </c>
      <c r="H87" s="10" t="s">
        <v>196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x14ac:dyDescent="0.3">
      <c r="A88" s="8">
        <v>87</v>
      </c>
      <c r="B88" t="s">
        <v>92</v>
      </c>
      <c r="C88" s="7" t="s">
        <v>170</v>
      </c>
      <c r="D88" s="10" t="s">
        <v>181</v>
      </c>
      <c r="E88" s="10" t="s">
        <v>181</v>
      </c>
      <c r="F88" s="10" t="s">
        <v>196</v>
      </c>
      <c r="G88" s="10" t="s">
        <v>196</v>
      </c>
      <c r="H88" s="10" t="s">
        <v>183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x14ac:dyDescent="0.3">
      <c r="A89" s="8">
        <v>88</v>
      </c>
      <c r="B89" t="s">
        <v>93</v>
      </c>
      <c r="C89" s="7" t="s">
        <v>171</v>
      </c>
      <c r="D89" s="10" t="s">
        <v>181</v>
      </c>
      <c r="E89" s="10" t="s">
        <v>181</v>
      </c>
      <c r="F89" s="10" t="s">
        <v>188</v>
      </c>
      <c r="G89" s="10" t="s">
        <v>188</v>
      </c>
      <c r="H89" s="10" t="s">
        <v>188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x14ac:dyDescent="0.3">
      <c r="A90" s="8">
        <v>89</v>
      </c>
      <c r="B90" t="s">
        <v>94</v>
      </c>
      <c r="C90" s="7" t="s">
        <v>172</v>
      </c>
      <c r="D90" s="10" t="s">
        <v>181</v>
      </c>
      <c r="E90" s="10" t="s">
        <v>181</v>
      </c>
      <c r="F90" s="10" t="s">
        <v>196</v>
      </c>
      <c r="G90" s="10" t="s">
        <v>183</v>
      </c>
      <c r="H90" s="10" t="s">
        <v>182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x14ac:dyDescent="0.3">
      <c r="A91" s="8">
        <v>90</v>
      </c>
      <c r="B91" t="s">
        <v>95</v>
      </c>
      <c r="C91" s="7" t="s">
        <v>173</v>
      </c>
      <c r="D91" s="10" t="s">
        <v>181</v>
      </c>
      <c r="E91" s="10" t="s">
        <v>181</v>
      </c>
      <c r="F91" s="10" t="s">
        <v>196</v>
      </c>
      <c r="G91" s="10" t="s">
        <v>196</v>
      </c>
      <c r="H91" s="10" t="s">
        <v>183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x14ac:dyDescent="0.3">
      <c r="A92" s="8">
        <v>91</v>
      </c>
      <c r="B92" t="s">
        <v>96</v>
      </c>
      <c r="C92" s="7" t="s">
        <v>174</v>
      </c>
      <c r="D92" s="10" t="s">
        <v>181</v>
      </c>
      <c r="E92" s="10" t="s">
        <v>181</v>
      </c>
      <c r="F92" s="10" t="s">
        <v>185</v>
      </c>
      <c r="G92" s="10" t="s">
        <v>194</v>
      </c>
      <c r="H92" s="10" t="s">
        <v>182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x14ac:dyDescent="0.3">
      <c r="A93" s="8">
        <v>92</v>
      </c>
      <c r="B93" t="s">
        <v>97</v>
      </c>
      <c r="C93" s="7" t="s">
        <v>175</v>
      </c>
      <c r="D93" s="10" t="s">
        <v>198</v>
      </c>
      <c r="E93" s="10" t="s">
        <v>182</v>
      </c>
      <c r="F93" s="10" t="s">
        <v>182</v>
      </c>
      <c r="G93" s="10" t="s">
        <v>182</v>
      </c>
      <c r="H93" s="10" t="s">
        <v>191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x14ac:dyDescent="0.3">
      <c r="A94" s="8">
        <v>93</v>
      </c>
      <c r="B94" t="s">
        <v>98</v>
      </c>
      <c r="C94" s="7" t="s">
        <v>176</v>
      </c>
      <c r="D94" s="10" t="s">
        <v>182</v>
      </c>
      <c r="E94" s="10" t="s">
        <v>182</v>
      </c>
      <c r="F94" s="10" t="s">
        <v>182</v>
      </c>
      <c r="G94" s="10" t="s">
        <v>182</v>
      </c>
      <c r="H94" s="10" t="s">
        <v>182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x14ac:dyDescent="0.3">
      <c r="A95" s="8">
        <v>94</v>
      </c>
      <c r="B95" t="s">
        <v>99</v>
      </c>
      <c r="C95" s="7" t="s">
        <v>177</v>
      </c>
      <c r="D95" s="10" t="s">
        <v>193</v>
      </c>
      <c r="E95" s="10" t="s">
        <v>182</v>
      </c>
      <c r="F95" s="10" t="s">
        <v>182</v>
      </c>
      <c r="G95" s="10" t="s">
        <v>182</v>
      </c>
      <c r="H95" s="10" t="s">
        <v>194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x14ac:dyDescent="0.3">
      <c r="A96" s="8">
        <v>95</v>
      </c>
      <c r="B96" t="s">
        <v>100</v>
      </c>
      <c r="C96" s="7" t="s">
        <v>178</v>
      </c>
      <c r="D96" s="10" t="s">
        <v>181</v>
      </c>
      <c r="E96" s="10" t="s">
        <v>181</v>
      </c>
      <c r="F96" s="10" t="s">
        <v>181</v>
      </c>
      <c r="G96" s="10" t="s">
        <v>209</v>
      </c>
      <c r="H96" s="10" t="s">
        <v>204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1" x14ac:dyDescent="0.3">
      <c r="A97" s="8"/>
    </row>
    <row r="98" spans="1:1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D6DEF-08C4-464F-BB92-EEFD92918E18}">
  <sheetPr codeName="Sheet7"/>
  <dimension ref="A1:EP68"/>
  <sheetViews>
    <sheetView zoomScale="87" zoomScaleNormal="87" workbookViewId="0">
      <pane xSplit="1" ySplit="1" topLeftCell="B8" activePane="bottomRight" state="frozen"/>
      <selection pane="topRight" activeCell="B1" sqref="B1"/>
      <selection pane="bottomLeft" activeCell="A3" sqref="A3"/>
      <selection pane="bottomRight" activeCell="BZ28" sqref="BZ28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>
        <v>1</v>
      </c>
      <c r="Y13" s="3">
        <v>1</v>
      </c>
      <c r="Z13" s="3">
        <v>1</v>
      </c>
      <c r="AA13" s="3"/>
      <c r="AB13" s="3"/>
      <c r="AC13" s="3"/>
      <c r="AD13" s="3"/>
      <c r="AE13" s="3"/>
      <c r="AF13" s="3"/>
      <c r="AG13" s="3"/>
      <c r="AH13" s="3">
        <v>1</v>
      </c>
      <c r="AI13" s="3"/>
      <c r="AJ13" s="3"/>
      <c r="AK13" s="3"/>
      <c r="AL13" s="3"/>
      <c r="AM13" s="3"/>
      <c r="AN13" s="3"/>
      <c r="AO13" s="3">
        <v>1</v>
      </c>
      <c r="AP13" s="3"/>
      <c r="AQ13" s="3"/>
      <c r="AR13" s="3"/>
      <c r="AS13" s="3"/>
      <c r="AT13" s="3"/>
      <c r="AU13" s="3"/>
      <c r="AV13" s="3"/>
      <c r="AW13" s="3">
        <v>1</v>
      </c>
      <c r="AX13" s="3"/>
      <c r="AY13" s="3">
        <v>1</v>
      </c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>
        <v>1</v>
      </c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>
        <v>1</v>
      </c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>
        <v>1</v>
      </c>
      <c r="K15" s="3">
        <v>1</v>
      </c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>
        <v>1</v>
      </c>
      <c r="AC15" s="3">
        <v>1</v>
      </c>
      <c r="AD15" s="3">
        <v>1</v>
      </c>
      <c r="AE15" s="3">
        <v>1</v>
      </c>
      <c r="AF15" s="3"/>
      <c r="AG15" s="3"/>
      <c r="AH15" s="3">
        <v>1</v>
      </c>
      <c r="AI15" s="3"/>
      <c r="AJ15" s="3">
        <v>1</v>
      </c>
      <c r="AK15" s="3">
        <v>1</v>
      </c>
      <c r="AL15" s="3">
        <v>1</v>
      </c>
      <c r="AM15" s="3">
        <v>1</v>
      </c>
      <c r="AN15" s="3"/>
      <c r="AO15" s="3">
        <v>1</v>
      </c>
      <c r="AP15" s="3"/>
      <c r="AQ15" s="3"/>
      <c r="AR15" s="3">
        <v>1</v>
      </c>
      <c r="AS15" s="3">
        <v>1</v>
      </c>
      <c r="AT15" s="3">
        <v>1</v>
      </c>
      <c r="AU15" s="3"/>
      <c r="AV15" s="3"/>
      <c r="AW15" s="3">
        <v>1</v>
      </c>
      <c r="AX15" s="3"/>
      <c r="AY15" s="3">
        <v>1</v>
      </c>
      <c r="AZ15" s="3"/>
      <c r="BA15" s="3">
        <v>1</v>
      </c>
      <c r="BB15" s="3">
        <v>1</v>
      </c>
      <c r="BC15" s="3">
        <v>1</v>
      </c>
      <c r="BD15" s="3">
        <v>1</v>
      </c>
      <c r="BE15" s="3">
        <v>1</v>
      </c>
      <c r="BF15" s="3"/>
      <c r="BG15" s="3"/>
      <c r="BH15" s="3">
        <v>1</v>
      </c>
      <c r="BI15" s="3">
        <v>1</v>
      </c>
      <c r="BJ15" s="3">
        <v>1</v>
      </c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>
        <v>1</v>
      </c>
      <c r="M16" s="3">
        <v>1</v>
      </c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>
        <v>1</v>
      </c>
      <c r="AC16" s="3"/>
      <c r="AD16" s="3"/>
      <c r="AE16" s="3"/>
      <c r="AF16" s="3">
        <v>1</v>
      </c>
      <c r="AG16" s="3"/>
      <c r="AH16" s="3">
        <v>1</v>
      </c>
      <c r="AI16" s="3"/>
      <c r="AJ16" s="3"/>
      <c r="AK16" s="3">
        <v>1</v>
      </c>
      <c r="AL16" s="3"/>
      <c r="AM16" s="3"/>
      <c r="AN16" s="3"/>
      <c r="AO16" s="3">
        <v>1</v>
      </c>
      <c r="AP16" s="3"/>
      <c r="AQ16" s="3"/>
      <c r="AR16" s="3"/>
      <c r="AS16" s="3"/>
      <c r="AT16" s="3"/>
      <c r="AU16" s="3">
        <v>1</v>
      </c>
      <c r="AV16" s="3"/>
      <c r="AW16" s="3">
        <v>1</v>
      </c>
      <c r="AX16" s="3"/>
      <c r="AY16" s="3">
        <v>1</v>
      </c>
      <c r="AZ16" s="3"/>
      <c r="BA16" s="3"/>
      <c r="BB16" s="3"/>
      <c r="BC16" s="3"/>
      <c r="BD16" s="3">
        <v>1</v>
      </c>
      <c r="BE16" s="3"/>
      <c r="BF16" s="3"/>
      <c r="BG16" s="3">
        <v>1</v>
      </c>
      <c r="BH16" s="3"/>
      <c r="BI16" s="3"/>
      <c r="BJ16" s="3"/>
      <c r="BK16" s="3">
        <v>1</v>
      </c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>
        <v>1</v>
      </c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>
        <v>1</v>
      </c>
      <c r="AC17" s="3"/>
      <c r="AD17" s="3"/>
      <c r="AE17" s="3"/>
      <c r="AF17" s="3">
        <v>1</v>
      </c>
      <c r="AG17" s="3"/>
      <c r="AH17" s="3">
        <v>1</v>
      </c>
      <c r="AI17" s="3"/>
      <c r="AJ17" s="3"/>
      <c r="AK17" s="3">
        <v>1</v>
      </c>
      <c r="AL17" s="3"/>
      <c r="AM17" s="3"/>
      <c r="AN17" s="3"/>
      <c r="AO17" s="3">
        <v>1</v>
      </c>
      <c r="AP17" s="3"/>
      <c r="AQ17" s="3"/>
      <c r="AR17" s="3">
        <v>1</v>
      </c>
      <c r="AS17" s="3">
        <v>1</v>
      </c>
      <c r="AT17" s="3">
        <v>1</v>
      </c>
      <c r="AU17" s="3">
        <v>1</v>
      </c>
      <c r="AV17" s="3"/>
      <c r="AW17" s="3">
        <v>1</v>
      </c>
      <c r="AX17" s="3"/>
      <c r="AY17" s="3">
        <v>1</v>
      </c>
      <c r="AZ17" s="3"/>
      <c r="BA17" s="3"/>
      <c r="BB17" s="3"/>
      <c r="BC17" s="3">
        <v>1</v>
      </c>
      <c r="BD17" s="3"/>
      <c r="BE17" s="3"/>
      <c r="BF17" s="3"/>
      <c r="BG17" s="3">
        <v>1</v>
      </c>
      <c r="BH17" s="3">
        <v>1</v>
      </c>
      <c r="BI17" s="3">
        <v>1</v>
      </c>
      <c r="BJ17" s="3">
        <v>1</v>
      </c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>
        <v>1</v>
      </c>
      <c r="M18" s="3">
        <v>1</v>
      </c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>
        <v>1</v>
      </c>
      <c r="AC18" s="3"/>
      <c r="AD18" s="3"/>
      <c r="AE18" s="3"/>
      <c r="AF18" s="3">
        <v>1</v>
      </c>
      <c r="AG18" s="3"/>
      <c r="AH18" s="3">
        <v>1</v>
      </c>
      <c r="AI18" s="3"/>
      <c r="AJ18" s="3"/>
      <c r="AK18" s="3">
        <v>1</v>
      </c>
      <c r="AL18" s="3"/>
      <c r="AM18" s="3"/>
      <c r="AN18" s="3"/>
      <c r="AO18" s="3">
        <v>1</v>
      </c>
      <c r="AP18" s="3"/>
      <c r="AQ18" s="3">
        <v>1</v>
      </c>
      <c r="AR18" s="3"/>
      <c r="AS18" s="3"/>
      <c r="AT18" s="3"/>
      <c r="AU18" s="3">
        <v>1</v>
      </c>
      <c r="AV18" s="3"/>
      <c r="AW18" s="3">
        <v>1</v>
      </c>
      <c r="AX18" s="3"/>
      <c r="AY18" s="3">
        <v>1</v>
      </c>
      <c r="AZ18" s="3"/>
      <c r="BA18" s="3"/>
      <c r="BB18" s="3">
        <v>1</v>
      </c>
      <c r="BC18" s="3"/>
      <c r="BD18" s="3"/>
      <c r="BE18" s="3"/>
      <c r="BF18" s="3"/>
      <c r="BG18" s="3">
        <v>1</v>
      </c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17"/>
      <c r="CF18" s="17"/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>
        <v>1</v>
      </c>
      <c r="K19" s="3">
        <v>1</v>
      </c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>
        <v>1</v>
      </c>
      <c r="Y19" s="3">
        <v>1</v>
      </c>
      <c r="Z19" s="3">
        <v>1</v>
      </c>
      <c r="AA19" s="3"/>
      <c r="AB19" s="3">
        <v>1</v>
      </c>
      <c r="AC19" s="3"/>
      <c r="AD19" s="3"/>
      <c r="AE19" s="3"/>
      <c r="AF19" s="3">
        <v>1</v>
      </c>
      <c r="AG19" s="3"/>
      <c r="AH19" s="3">
        <v>1</v>
      </c>
      <c r="AI19" s="3"/>
      <c r="AJ19" s="3"/>
      <c r="AK19" s="3"/>
      <c r="AL19" s="3">
        <v>1</v>
      </c>
      <c r="AM19" s="3">
        <v>1</v>
      </c>
      <c r="AN19" s="3"/>
      <c r="AO19" s="3">
        <v>1</v>
      </c>
      <c r="AP19" s="3"/>
      <c r="AQ19" s="3"/>
      <c r="AR19" s="3">
        <v>1</v>
      </c>
      <c r="AS19" s="3">
        <v>1</v>
      </c>
      <c r="AT19" s="3">
        <v>1</v>
      </c>
      <c r="AU19" s="3">
        <v>1</v>
      </c>
      <c r="AV19" s="3"/>
      <c r="AW19" s="3">
        <v>1</v>
      </c>
      <c r="AX19" s="3"/>
      <c r="AY19" s="3">
        <v>1</v>
      </c>
      <c r="AZ19" s="3"/>
      <c r="BA19" s="3">
        <v>1</v>
      </c>
      <c r="BB19" s="3">
        <v>1</v>
      </c>
      <c r="BC19" s="3">
        <v>1</v>
      </c>
      <c r="BD19" s="3">
        <v>1</v>
      </c>
      <c r="BE19" s="3">
        <v>1</v>
      </c>
      <c r="BF19" s="3"/>
      <c r="BG19" s="3"/>
      <c r="BH19" s="3">
        <v>1</v>
      </c>
      <c r="BI19" s="3">
        <v>1</v>
      </c>
      <c r="BJ19" s="3">
        <v>1</v>
      </c>
      <c r="BK19" s="3">
        <v>1</v>
      </c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17"/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6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3"/>
      <c r="CB21" s="3"/>
      <c r="CC21" s="3"/>
      <c r="CD21" s="3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3"/>
      <c r="CB22" s="3"/>
      <c r="CC22" s="3"/>
      <c r="CD22" s="3"/>
      <c r="CE22" s="17"/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6"/>
      <c r="Z23" s="6">
        <v>1</v>
      </c>
      <c r="AA23" s="6"/>
      <c r="AB23" s="14"/>
      <c r="AC23" s="14"/>
      <c r="AD23" s="14"/>
      <c r="AE23" s="6"/>
      <c r="AF23" s="6"/>
      <c r="AG23" s="6"/>
      <c r="AH23" s="14"/>
      <c r="AI23" s="14"/>
      <c r="AJ23" s="14"/>
      <c r="AK23" s="14"/>
      <c r="AL23" s="6"/>
      <c r="AM23" s="14"/>
      <c r="AN23" s="6"/>
      <c r="AO23" s="6"/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/>
      <c r="BC23" s="6"/>
      <c r="BD23" s="14"/>
      <c r="BE23" s="14"/>
      <c r="BF23" s="14"/>
      <c r="BG23" s="14"/>
      <c r="BH23" s="6"/>
      <c r="BI23" s="6"/>
      <c r="BJ23" s="6"/>
      <c r="BK23" s="14"/>
      <c r="BL23" s="14"/>
      <c r="BM23" s="14"/>
      <c r="BN23" s="6"/>
      <c r="BO23" s="14"/>
      <c r="BP23" s="6"/>
      <c r="BQ23" s="6"/>
      <c r="BR23" s="14"/>
      <c r="BS23" s="14"/>
      <c r="BT23" s="14"/>
      <c r="BU23" s="6"/>
      <c r="BV23" s="14"/>
      <c r="BW23" s="14"/>
      <c r="BX23" s="14"/>
      <c r="BY23" s="6"/>
      <c r="BZ23" s="14"/>
      <c r="CA23" s="3"/>
      <c r="CB23" s="3"/>
      <c r="CC23" s="3"/>
      <c r="CD23" s="3"/>
      <c r="CE23" s="17"/>
      <c r="CF23" s="17"/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>
        <v>1</v>
      </c>
      <c r="AB24" s="6"/>
      <c r="AC24" s="14"/>
      <c r="AD24" s="14"/>
      <c r="AE24" s="14"/>
      <c r="AF24" s="14"/>
      <c r="AG24" s="6"/>
      <c r="AH24" s="14"/>
      <c r="AI24" s="14"/>
      <c r="AJ24" s="3"/>
      <c r="AK24" s="3">
        <v>1</v>
      </c>
      <c r="AL24" s="3"/>
      <c r="AM24" s="3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>
        <v>1</v>
      </c>
      <c r="Y25" s="6"/>
      <c r="Z25" s="6"/>
      <c r="AA25" s="6"/>
      <c r="AB25" s="6">
        <v>1</v>
      </c>
      <c r="AC25" s="14"/>
      <c r="AD25" s="14">
        <v>1</v>
      </c>
      <c r="AE25" s="14"/>
      <c r="AF25" s="6"/>
      <c r="AG25" s="14"/>
      <c r="AH25" s="14">
        <v>1</v>
      </c>
      <c r="AI25" s="14"/>
      <c r="AJ25" s="3">
        <v>1</v>
      </c>
      <c r="AK25" s="3">
        <v>1</v>
      </c>
      <c r="AL25" s="3">
        <v>1</v>
      </c>
      <c r="AM25" s="3">
        <v>1</v>
      </c>
      <c r="AN25" s="14"/>
      <c r="AO25" s="3"/>
      <c r="AP25" s="3">
        <v>1</v>
      </c>
      <c r="AQ25" s="3">
        <v>1</v>
      </c>
      <c r="AR25" s="3">
        <v>1</v>
      </c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>
        <v>1</v>
      </c>
      <c r="Y26" s="14"/>
      <c r="Z26" s="14"/>
      <c r="AA26" s="14"/>
      <c r="AB26" s="6">
        <v>1</v>
      </c>
      <c r="AC26" s="14"/>
      <c r="AD26" s="14">
        <v>1</v>
      </c>
      <c r="AE26" s="14"/>
      <c r="AF26" s="6"/>
      <c r="AG26" s="14"/>
      <c r="AH26" s="14">
        <v>1</v>
      </c>
      <c r="AI26" s="14"/>
      <c r="AJ26" s="3"/>
      <c r="AK26" s="3">
        <v>1</v>
      </c>
      <c r="AL26" s="3"/>
      <c r="AM26" s="3"/>
      <c r="AN26" s="14"/>
      <c r="AO26" s="3">
        <v>1</v>
      </c>
      <c r="AP26" s="3"/>
      <c r="AQ26" s="3"/>
      <c r="AR26" s="3"/>
      <c r="AS26" s="3">
        <v>1</v>
      </c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>
        <v>1</v>
      </c>
      <c r="Y27" s="14">
        <v>1</v>
      </c>
      <c r="Z27" s="14">
        <v>1</v>
      </c>
      <c r="AA27" s="6">
        <v>1</v>
      </c>
      <c r="AB27" s="6">
        <v>1</v>
      </c>
      <c r="AC27" s="14"/>
      <c r="AD27" s="14">
        <v>1</v>
      </c>
      <c r="AE27" s="14"/>
      <c r="AF27" s="6"/>
      <c r="AG27" s="14"/>
      <c r="AH27" s="14">
        <v>1</v>
      </c>
      <c r="AI27" s="14"/>
      <c r="AJ27" s="3"/>
      <c r="AK27" s="3">
        <v>1</v>
      </c>
      <c r="AL27" s="3"/>
      <c r="AM27" s="3"/>
      <c r="AN27" s="14"/>
      <c r="AO27" s="3">
        <v>1</v>
      </c>
      <c r="AP27" s="3"/>
      <c r="AQ27" s="3"/>
      <c r="AR27" s="3"/>
      <c r="AS27" s="3">
        <v>1</v>
      </c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>
        <v>1</v>
      </c>
      <c r="Y28" s="6"/>
      <c r="Z28" s="6"/>
      <c r="AA28" s="14"/>
      <c r="AB28" s="6">
        <v>1</v>
      </c>
      <c r="AC28" s="14"/>
      <c r="AD28" s="14">
        <v>1</v>
      </c>
      <c r="AE28" s="14"/>
      <c r="AF28" s="6"/>
      <c r="AG28" s="14"/>
      <c r="AH28" s="14">
        <v>1</v>
      </c>
      <c r="AI28" s="14"/>
      <c r="AJ28" s="3"/>
      <c r="AK28" s="3">
        <v>1</v>
      </c>
      <c r="AL28" s="3"/>
      <c r="AM28" s="3"/>
      <c r="AN28" s="14"/>
      <c r="AO28" s="3">
        <v>1</v>
      </c>
      <c r="AP28" s="3"/>
      <c r="AQ28" s="3"/>
      <c r="AR28" s="3"/>
      <c r="AS28" s="3">
        <v>1</v>
      </c>
      <c r="AT28" s="3"/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>
        <v>1</v>
      </c>
      <c r="Y29" s="14"/>
      <c r="Z29" s="14"/>
      <c r="AA29" s="14"/>
      <c r="AB29" s="14">
        <v>1</v>
      </c>
      <c r="AC29" s="14"/>
      <c r="AD29" s="14"/>
      <c r="AE29" s="14">
        <v>1</v>
      </c>
      <c r="AF29" s="14">
        <v>1</v>
      </c>
      <c r="AG29" s="14">
        <v>1</v>
      </c>
      <c r="AH29" s="14">
        <v>1</v>
      </c>
      <c r="AI29" s="14"/>
      <c r="AJ29" s="3"/>
      <c r="AK29" s="3"/>
      <c r="AL29" s="3">
        <v>1</v>
      </c>
      <c r="AM29" s="3">
        <v>1</v>
      </c>
      <c r="AN29" s="14"/>
      <c r="AO29" s="3"/>
      <c r="AP29" s="3">
        <v>1</v>
      </c>
      <c r="AQ29" s="3">
        <v>1</v>
      </c>
      <c r="AR29" s="3">
        <v>1</v>
      </c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6"/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14"/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>
        <v>1</v>
      </c>
      <c r="Y33" s="14"/>
      <c r="Z33" s="14"/>
      <c r="AA33" s="14"/>
      <c r="AB33" s="14">
        <v>1</v>
      </c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>
        <v>1</v>
      </c>
      <c r="BH33" s="3">
        <v>1</v>
      </c>
      <c r="BI33" s="3">
        <v>1</v>
      </c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>
        <v>1</v>
      </c>
      <c r="Y34" s="6">
        <v>1</v>
      </c>
      <c r="Z34" s="6"/>
      <c r="AA34" s="14">
        <v>1</v>
      </c>
      <c r="AB34" s="14">
        <v>1</v>
      </c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>
        <v>1</v>
      </c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>
        <v>1</v>
      </c>
      <c r="Y35" s="14">
        <v>1</v>
      </c>
      <c r="Z35" s="14"/>
      <c r="AA35" s="6">
        <v>1</v>
      </c>
      <c r="AB35" s="14">
        <v>1</v>
      </c>
      <c r="AC35" s="14"/>
      <c r="AD35" s="14"/>
      <c r="AE35" s="6"/>
      <c r="AF35" s="6">
        <v>1</v>
      </c>
      <c r="AG35" s="6">
        <v>1</v>
      </c>
      <c r="AH35" s="6">
        <v>1</v>
      </c>
      <c r="AI35" s="6"/>
      <c r="AJ35" s="14"/>
      <c r="AK35" s="14"/>
      <c r="AL35" s="14">
        <v>1</v>
      </c>
      <c r="AM35" s="6"/>
      <c r="AN35" s="14">
        <v>1</v>
      </c>
      <c r="AO35" s="14">
        <v>1</v>
      </c>
      <c r="AP35" s="14"/>
      <c r="AQ35" s="14"/>
      <c r="AR35" s="14"/>
      <c r="AS35" s="6">
        <v>1</v>
      </c>
      <c r="AT35" s="14"/>
      <c r="AU35" s="14"/>
      <c r="AV35" s="14"/>
      <c r="AW35" s="6">
        <v>1</v>
      </c>
      <c r="AX35" s="14"/>
      <c r="AY35" s="14"/>
      <c r="AZ35" s="6"/>
      <c r="BA35" s="14">
        <v>1</v>
      </c>
      <c r="BB35" s="14">
        <v>1</v>
      </c>
      <c r="BC35" s="14">
        <v>1</v>
      </c>
      <c r="BD35" s="6"/>
      <c r="BE35" s="14"/>
      <c r="BF35" s="3"/>
      <c r="BG35" s="3"/>
      <c r="BH35" s="3"/>
      <c r="BI35" s="3">
        <v>1</v>
      </c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>
        <v>1</v>
      </c>
      <c r="Y36" s="14"/>
      <c r="Z36" s="14">
        <v>1</v>
      </c>
      <c r="AA36" s="14"/>
      <c r="AB36" s="6">
        <v>1</v>
      </c>
      <c r="AC36" s="14"/>
      <c r="AD36" s="14"/>
      <c r="AE36" s="6">
        <v>1</v>
      </c>
      <c r="AF36" s="14"/>
      <c r="AG36" s="14"/>
      <c r="AH36" s="14"/>
      <c r="AI36" s="14">
        <v>1</v>
      </c>
      <c r="AJ36" s="14"/>
      <c r="AK36" s="14"/>
      <c r="AL36" s="14">
        <v>1</v>
      </c>
      <c r="AM36" s="6">
        <v>1</v>
      </c>
      <c r="AN36" s="14"/>
      <c r="AO36" s="14"/>
      <c r="AP36" s="14">
        <v>1</v>
      </c>
      <c r="AQ36" s="14"/>
      <c r="AR36" s="14"/>
      <c r="AS36" s="6">
        <v>1</v>
      </c>
      <c r="AT36" s="14"/>
      <c r="AU36" s="14"/>
      <c r="AV36" s="14"/>
      <c r="AW36" s="6">
        <v>1</v>
      </c>
      <c r="AX36" s="14"/>
      <c r="AY36" s="14"/>
      <c r="AZ36" s="6">
        <v>1</v>
      </c>
      <c r="BA36" s="14"/>
      <c r="BB36" s="14"/>
      <c r="BC36" s="14"/>
      <c r="BD36" s="6">
        <v>1</v>
      </c>
      <c r="BE36" s="14"/>
      <c r="BF36" s="3"/>
      <c r="BG36" s="3"/>
      <c r="BH36" s="3"/>
      <c r="BI36" s="3">
        <v>1</v>
      </c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>
        <v>1</v>
      </c>
      <c r="Y37" s="14"/>
      <c r="Z37" s="14"/>
      <c r="AA37" s="14"/>
      <c r="AB37" s="6">
        <v>1</v>
      </c>
      <c r="AC37" s="14"/>
      <c r="AD37" s="14"/>
      <c r="AE37" s="6"/>
      <c r="AF37" s="14">
        <v>1</v>
      </c>
      <c r="AG37" s="14">
        <v>1</v>
      </c>
      <c r="AH37" s="14">
        <v>1</v>
      </c>
      <c r="AI37" s="6">
        <v>1</v>
      </c>
      <c r="AJ37" s="14"/>
      <c r="AK37" s="14"/>
      <c r="AL37" s="14">
        <v>1</v>
      </c>
      <c r="AM37" s="6"/>
      <c r="AN37" s="14"/>
      <c r="AO37" s="14"/>
      <c r="AP37" s="14">
        <v>1</v>
      </c>
      <c r="AQ37" s="14"/>
      <c r="AR37" s="14"/>
      <c r="AS37" s="6">
        <v>1</v>
      </c>
      <c r="AT37" s="14"/>
      <c r="AU37" s="14"/>
      <c r="AV37" s="6"/>
      <c r="AW37" s="6">
        <v>1</v>
      </c>
      <c r="AX37" s="14"/>
      <c r="AY37" s="14"/>
      <c r="AZ37" s="6"/>
      <c r="BA37" s="6">
        <v>1</v>
      </c>
      <c r="BB37" s="14">
        <v>1</v>
      </c>
      <c r="BC37" s="14">
        <v>1</v>
      </c>
      <c r="BD37" s="6">
        <v>1</v>
      </c>
      <c r="BE37" s="14"/>
      <c r="BF37" s="3"/>
      <c r="BG37" s="3"/>
      <c r="BH37" s="3"/>
      <c r="BI37" s="3">
        <v>1</v>
      </c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>
        <v>1</v>
      </c>
      <c r="Y38" s="6"/>
      <c r="Z38" s="6"/>
      <c r="AA38" s="6"/>
      <c r="AB38" s="14">
        <v>1</v>
      </c>
      <c r="AC38" s="14"/>
      <c r="AD38" s="14"/>
      <c r="AE38" s="14">
        <v>1</v>
      </c>
      <c r="AF38" s="6"/>
      <c r="AG38" s="6"/>
      <c r="AH38" s="6"/>
      <c r="AI38" s="14">
        <v>1</v>
      </c>
      <c r="AJ38" s="14"/>
      <c r="AK38" s="14"/>
      <c r="AL38" s="14">
        <v>1</v>
      </c>
      <c r="AM38" s="14"/>
      <c r="AN38" s="6"/>
      <c r="AO38" s="6"/>
      <c r="AP38" s="14">
        <v>1</v>
      </c>
      <c r="AQ38" s="14"/>
      <c r="AR38" s="14"/>
      <c r="AS38" s="14">
        <v>1</v>
      </c>
      <c r="AT38" s="6"/>
      <c r="AU38" s="6"/>
      <c r="AV38" s="14"/>
      <c r="AW38" s="6">
        <v>1</v>
      </c>
      <c r="AX38" s="14"/>
      <c r="AY38" s="14"/>
      <c r="AZ38" s="6">
        <v>1</v>
      </c>
      <c r="BA38" s="14"/>
      <c r="BB38" s="6"/>
      <c r="BC38" s="6"/>
      <c r="BD38" s="14">
        <v>1</v>
      </c>
      <c r="BE38" s="14"/>
      <c r="BF38" s="3"/>
      <c r="BG38" s="3"/>
      <c r="BH38" s="3"/>
      <c r="BI38" s="3">
        <v>1</v>
      </c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>
        <v>1</v>
      </c>
      <c r="Y39" s="14"/>
      <c r="Z39" s="14"/>
      <c r="AA39" s="14"/>
      <c r="AB39" s="14">
        <v>1</v>
      </c>
      <c r="AC39" s="14"/>
      <c r="AD39" s="14"/>
      <c r="AE39" s="14">
        <v>1</v>
      </c>
      <c r="AF39" s="14"/>
      <c r="AG39" s="14"/>
      <c r="AH39" s="14">
        <v>1</v>
      </c>
      <c r="AI39" s="14">
        <v>1</v>
      </c>
      <c r="AJ39" s="14"/>
      <c r="AK39" s="14"/>
      <c r="AL39" s="14">
        <v>1</v>
      </c>
      <c r="AM39" s="14"/>
      <c r="AN39" s="14"/>
      <c r="AO39" s="14"/>
      <c r="AP39" s="14">
        <v>1</v>
      </c>
      <c r="AQ39" s="14"/>
      <c r="AR39" s="14"/>
      <c r="AS39" s="14">
        <v>1</v>
      </c>
      <c r="AT39" s="14"/>
      <c r="AU39" s="14"/>
      <c r="AV39" s="14">
        <v>1</v>
      </c>
      <c r="AW39" s="14">
        <v>1</v>
      </c>
      <c r="AX39" s="14"/>
      <c r="AY39" s="14"/>
      <c r="AZ39" s="6">
        <v>1</v>
      </c>
      <c r="BA39" s="14"/>
      <c r="BB39" s="14"/>
      <c r="BC39" s="14">
        <v>1</v>
      </c>
      <c r="BD39" s="14">
        <v>1</v>
      </c>
      <c r="BE39" s="14"/>
      <c r="BF39" s="3"/>
      <c r="BG39" s="3"/>
      <c r="BH39" s="3"/>
      <c r="BI39" s="3">
        <v>1</v>
      </c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>
        <v>1</v>
      </c>
      <c r="Y40" s="14"/>
      <c r="Z40" s="14"/>
      <c r="AA40" s="14"/>
      <c r="AB40" s="14">
        <v>1</v>
      </c>
      <c r="AC40" s="14"/>
      <c r="AD40" s="14"/>
      <c r="AE40" s="14"/>
      <c r="AF40" s="14">
        <v>1</v>
      </c>
      <c r="AG40" s="14">
        <v>1</v>
      </c>
      <c r="AH40" s="14"/>
      <c r="AI40" s="14">
        <v>1</v>
      </c>
      <c r="AJ40" s="14"/>
      <c r="AK40" s="14"/>
      <c r="AL40" s="14">
        <v>1</v>
      </c>
      <c r="AM40" s="14"/>
      <c r="AN40" s="14"/>
      <c r="AO40" s="14"/>
      <c r="AP40" s="14">
        <v>1</v>
      </c>
      <c r="AQ40" s="14"/>
      <c r="AR40" s="14"/>
      <c r="AS40" s="14"/>
      <c r="AT40" s="14">
        <v>1</v>
      </c>
      <c r="AU40" s="14">
        <v>1</v>
      </c>
      <c r="AV40" s="14"/>
      <c r="AW40" s="14">
        <v>1</v>
      </c>
      <c r="AX40" s="14"/>
      <c r="AY40" s="14"/>
      <c r="AZ40" s="6"/>
      <c r="BA40" s="14">
        <v>1</v>
      </c>
      <c r="BB40" s="14">
        <v>1</v>
      </c>
      <c r="BC40" s="14"/>
      <c r="BD40" s="14">
        <v>1</v>
      </c>
      <c r="BE40" s="14"/>
      <c r="BF40" s="3"/>
      <c r="BG40" s="3"/>
      <c r="BH40" s="3"/>
      <c r="BI40" s="3">
        <v>1</v>
      </c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6"/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/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>
        <v>1</v>
      </c>
      <c r="AA43" s="14">
        <v>1</v>
      </c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>
        <v>1</v>
      </c>
      <c r="AN43" s="6"/>
      <c r="AO43" s="6"/>
      <c r="AP43" s="14"/>
      <c r="AQ43" s="14"/>
      <c r="AR43" s="14"/>
      <c r="AS43" s="6"/>
      <c r="AT43" s="6">
        <v>1</v>
      </c>
      <c r="AU43" s="6"/>
      <c r="AV43" s="6"/>
      <c r="AW43" s="14"/>
      <c r="AX43" s="14"/>
      <c r="AY43" s="14"/>
      <c r="AZ43" s="6"/>
      <c r="BA43" s="6"/>
      <c r="BB43" s="6">
        <v>1</v>
      </c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>
        <v>1</v>
      </c>
      <c r="Y44" s="6"/>
      <c r="Z44" s="6"/>
      <c r="AA44" s="14"/>
      <c r="AB44" s="14">
        <v>1</v>
      </c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>
        <v>1</v>
      </c>
      <c r="AN44" s="14"/>
      <c r="AO44" s="14"/>
      <c r="AP44" s="14"/>
      <c r="AQ44" s="14"/>
      <c r="AR44" s="14"/>
      <c r="AS44" s="14"/>
      <c r="AT44" s="6">
        <v>1</v>
      </c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>
        <v>1</v>
      </c>
      <c r="Y45" s="14"/>
      <c r="Z45" s="14"/>
      <c r="AA45" s="6"/>
      <c r="AB45" s="14"/>
      <c r="AC45" s="14"/>
      <c r="AD45" s="14"/>
      <c r="AE45" s="6"/>
      <c r="AF45" s="6">
        <v>1</v>
      </c>
      <c r="AG45" s="6">
        <v>1</v>
      </c>
      <c r="AH45" s="6">
        <v>1</v>
      </c>
      <c r="AI45" s="6"/>
      <c r="AJ45" s="14"/>
      <c r="AK45" s="14"/>
      <c r="AL45" s="14">
        <v>1</v>
      </c>
      <c r="AM45" s="6">
        <v>1</v>
      </c>
      <c r="AN45" s="14">
        <v>1</v>
      </c>
      <c r="AO45" s="14">
        <v>1</v>
      </c>
      <c r="AP45" s="14"/>
      <c r="AQ45" s="14"/>
      <c r="AR45" s="14"/>
      <c r="AS45" s="14">
        <v>1</v>
      </c>
      <c r="AT45" s="6">
        <v>1</v>
      </c>
      <c r="AU45" s="14">
        <v>1</v>
      </c>
      <c r="AV45" s="14">
        <v>1</v>
      </c>
      <c r="AW45" s="14"/>
      <c r="AX45" s="14"/>
      <c r="AY45" s="14"/>
      <c r="AZ45" s="14">
        <v>1</v>
      </c>
      <c r="BA45" s="14">
        <v>1</v>
      </c>
      <c r="BB45" s="6">
        <v>1</v>
      </c>
      <c r="BC45" s="14"/>
      <c r="BD45" s="14"/>
      <c r="BE45" s="14"/>
      <c r="BF45" s="14"/>
      <c r="BG45" s="6">
        <v>1</v>
      </c>
      <c r="BH45" s="14"/>
      <c r="BI45" s="14">
        <v>1</v>
      </c>
      <c r="BJ45" s="14">
        <v>1</v>
      </c>
      <c r="BK45" s="6"/>
      <c r="BL45" s="14"/>
      <c r="BM45" s="14"/>
      <c r="BN45" s="6"/>
      <c r="BO45" s="14">
        <v>1</v>
      </c>
      <c r="BP45" s="14">
        <v>1</v>
      </c>
      <c r="BQ45" s="14"/>
      <c r="BR45" s="6">
        <v>1</v>
      </c>
      <c r="BS45" s="14"/>
      <c r="BT45" s="14"/>
      <c r="BU45" s="14"/>
      <c r="BV45" s="6">
        <v>1</v>
      </c>
      <c r="BW45" s="6">
        <v>1</v>
      </c>
      <c r="BX45" s="14">
        <v>1</v>
      </c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>
        <v>1</v>
      </c>
      <c r="Z46" s="14">
        <v>1</v>
      </c>
      <c r="AA46" s="14"/>
      <c r="AB46" s="6"/>
      <c r="AC46" s="14"/>
      <c r="AD46" s="14"/>
      <c r="AE46" s="6">
        <v>1</v>
      </c>
      <c r="AF46" s="14"/>
      <c r="AG46" s="14"/>
      <c r="AH46" s="14"/>
      <c r="AI46" s="14">
        <v>1</v>
      </c>
      <c r="AJ46" s="14"/>
      <c r="AK46" s="14"/>
      <c r="AL46" s="14"/>
      <c r="AM46" s="6">
        <v>1</v>
      </c>
      <c r="AN46" s="14"/>
      <c r="AO46" s="14"/>
      <c r="AP46" s="14"/>
      <c r="AQ46" s="14"/>
      <c r="AR46" s="14"/>
      <c r="AS46" s="14"/>
      <c r="AT46" s="6">
        <v>1</v>
      </c>
      <c r="AU46" s="14"/>
      <c r="AV46" s="14"/>
      <c r="AW46" s="14"/>
      <c r="AX46" s="14"/>
      <c r="AY46" s="14"/>
      <c r="AZ46" s="14"/>
      <c r="BA46" s="14"/>
      <c r="BB46" s="6">
        <v>1</v>
      </c>
      <c r="BC46" s="14"/>
      <c r="BD46" s="14"/>
      <c r="BE46" s="14"/>
      <c r="BF46" s="14"/>
      <c r="BG46" s="6">
        <v>1</v>
      </c>
      <c r="BH46" s="14">
        <v>1</v>
      </c>
      <c r="BI46" s="14"/>
      <c r="BJ46" s="14"/>
      <c r="BK46" s="6">
        <v>1</v>
      </c>
      <c r="BL46" s="14"/>
      <c r="BM46" s="14"/>
      <c r="BN46" s="6">
        <v>1</v>
      </c>
      <c r="BO46" s="14"/>
      <c r="BP46" s="14"/>
      <c r="BQ46" s="14">
        <v>1</v>
      </c>
      <c r="BR46" s="6">
        <v>1</v>
      </c>
      <c r="BS46" s="14"/>
      <c r="BT46" s="14"/>
      <c r="BU46" s="14">
        <v>1</v>
      </c>
      <c r="BV46" s="14"/>
      <c r="BW46" s="14"/>
      <c r="BX46" s="6"/>
      <c r="BY46" s="14">
        <v>1</v>
      </c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>
        <v>1</v>
      </c>
      <c r="AB47" s="6"/>
      <c r="AC47" s="14"/>
      <c r="AD47" s="14"/>
      <c r="AE47" s="6">
        <v>1</v>
      </c>
      <c r="AF47" s="14">
        <v>1</v>
      </c>
      <c r="AG47" s="14">
        <v>1</v>
      </c>
      <c r="AH47" s="14">
        <v>1</v>
      </c>
      <c r="AI47" s="6">
        <v>1</v>
      </c>
      <c r="AJ47" s="14"/>
      <c r="AK47" s="14"/>
      <c r="AL47" s="14"/>
      <c r="AM47" s="6">
        <v>1</v>
      </c>
      <c r="AN47" s="14"/>
      <c r="AO47" s="14"/>
      <c r="AP47" s="14"/>
      <c r="AQ47" s="14"/>
      <c r="AR47" s="14"/>
      <c r="AS47" s="14"/>
      <c r="AT47" s="6">
        <v>1</v>
      </c>
      <c r="AU47" s="14"/>
      <c r="AV47" s="14"/>
      <c r="AW47" s="14"/>
      <c r="AX47" s="14"/>
      <c r="AY47" s="14"/>
      <c r="AZ47" s="14"/>
      <c r="BA47" s="14"/>
      <c r="BB47" s="6">
        <v>1</v>
      </c>
      <c r="BC47" s="14"/>
      <c r="BD47" s="14"/>
      <c r="BE47" s="14"/>
      <c r="BF47" s="14"/>
      <c r="BG47" s="6">
        <v>1</v>
      </c>
      <c r="BH47" s="14"/>
      <c r="BI47" s="14"/>
      <c r="BJ47" s="14"/>
      <c r="BK47" s="6">
        <v>1</v>
      </c>
      <c r="BL47" s="14"/>
      <c r="BM47" s="14"/>
      <c r="BN47" s="6">
        <v>1</v>
      </c>
      <c r="BO47" s="14"/>
      <c r="BP47" s="14"/>
      <c r="BQ47" s="6"/>
      <c r="BR47" s="6">
        <v>1</v>
      </c>
      <c r="BS47" s="14"/>
      <c r="BT47" s="14"/>
      <c r="BU47" s="6"/>
      <c r="BV47" s="14">
        <v>1</v>
      </c>
      <c r="BW47" s="14">
        <v>1</v>
      </c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6"/>
      <c r="Z48" s="6"/>
      <c r="AA48" s="6"/>
      <c r="AB48" s="14">
        <v>1</v>
      </c>
      <c r="AC48" s="14"/>
      <c r="AD48" s="14"/>
      <c r="AE48" s="14">
        <v>1</v>
      </c>
      <c r="AF48" s="6"/>
      <c r="AG48" s="6"/>
      <c r="AH48" s="6"/>
      <c r="AI48" s="14"/>
      <c r="AJ48" s="14"/>
      <c r="AK48" s="14"/>
      <c r="AL48" s="14"/>
      <c r="AM48" s="14">
        <v>1</v>
      </c>
      <c r="AN48" s="6"/>
      <c r="AO48" s="6"/>
      <c r="AP48" s="14"/>
      <c r="AQ48" s="14"/>
      <c r="AR48" s="14"/>
      <c r="AS48" s="14"/>
      <c r="AT48" s="14">
        <v>1</v>
      </c>
      <c r="AU48" s="6"/>
      <c r="AV48" s="6"/>
      <c r="AW48" s="14"/>
      <c r="AX48" s="14"/>
      <c r="AY48" s="14"/>
      <c r="AZ48" s="14"/>
      <c r="BA48" s="14"/>
      <c r="BB48" s="6">
        <v>1</v>
      </c>
      <c r="BC48" s="14"/>
      <c r="BD48" s="14"/>
      <c r="BE48" s="14"/>
      <c r="BF48" s="14"/>
      <c r="BG48" s="6">
        <v>1</v>
      </c>
      <c r="BH48" s="14"/>
      <c r="BI48" s="14"/>
      <c r="BJ48" s="14"/>
      <c r="BK48" s="6">
        <v>1</v>
      </c>
      <c r="BL48" s="14"/>
      <c r="BM48" s="14"/>
      <c r="BN48" s="14">
        <v>1</v>
      </c>
      <c r="BO48" s="6"/>
      <c r="BP48" s="6"/>
      <c r="BQ48" s="14"/>
      <c r="BR48" s="6">
        <v>1</v>
      </c>
      <c r="BS48" s="14"/>
      <c r="BT48" s="14"/>
      <c r="BU48" s="14"/>
      <c r="BV48" s="6"/>
      <c r="BW48" s="6"/>
      <c r="BX48" s="6">
        <v>1</v>
      </c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>
        <v>1</v>
      </c>
      <c r="Y49" s="14"/>
      <c r="Z49" s="14"/>
      <c r="AA49" s="14"/>
      <c r="AB49" s="14">
        <v>1</v>
      </c>
      <c r="AC49" s="14"/>
      <c r="AD49" s="14"/>
      <c r="AE49" s="14">
        <v>1</v>
      </c>
      <c r="AF49" s="14"/>
      <c r="AG49" s="14"/>
      <c r="AH49" s="14"/>
      <c r="AI49" s="14">
        <v>1</v>
      </c>
      <c r="AJ49" s="14"/>
      <c r="AK49" s="14"/>
      <c r="AL49" s="14"/>
      <c r="AM49" s="14">
        <v>1</v>
      </c>
      <c r="AN49" s="14"/>
      <c r="AO49" s="14"/>
      <c r="AP49" s="14"/>
      <c r="AQ49" s="14"/>
      <c r="AR49" s="14"/>
      <c r="AS49" s="14"/>
      <c r="AT49" s="14">
        <v>1</v>
      </c>
      <c r="AU49" s="14"/>
      <c r="AV49" s="14"/>
      <c r="AW49" s="14"/>
      <c r="AX49" s="14"/>
      <c r="AY49" s="14"/>
      <c r="AZ49" s="14"/>
      <c r="BA49" s="14"/>
      <c r="BB49" s="14">
        <v>1</v>
      </c>
      <c r="BC49" s="14"/>
      <c r="BD49" s="14"/>
      <c r="BE49" s="14"/>
      <c r="BF49" s="14"/>
      <c r="BG49" s="14">
        <v>1</v>
      </c>
      <c r="BH49" s="14"/>
      <c r="BI49" s="14"/>
      <c r="BJ49" s="14"/>
      <c r="BK49" s="14">
        <v>1</v>
      </c>
      <c r="BL49" s="14"/>
      <c r="BM49" s="14"/>
      <c r="BN49" s="14">
        <v>1</v>
      </c>
      <c r="BO49" s="14"/>
      <c r="BP49" s="14"/>
      <c r="BQ49" s="14">
        <v>1</v>
      </c>
      <c r="BR49" s="6">
        <v>1</v>
      </c>
      <c r="BS49" s="14"/>
      <c r="BT49" s="14"/>
      <c r="BU49" s="14">
        <v>1</v>
      </c>
      <c r="BV49" s="14"/>
      <c r="BW49" s="14"/>
      <c r="BX49" s="14"/>
      <c r="BY49" s="14">
        <v>1</v>
      </c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14">
        <v>1</v>
      </c>
      <c r="Z50" s="14">
        <v>1</v>
      </c>
      <c r="AA50" s="14">
        <v>1</v>
      </c>
      <c r="AB50" s="14"/>
      <c r="AC50" s="14"/>
      <c r="AD50" s="14"/>
      <c r="AE50" s="14"/>
      <c r="AF50" s="14">
        <v>1</v>
      </c>
      <c r="AG50" s="14">
        <v>1</v>
      </c>
      <c r="AH50" s="14">
        <v>1</v>
      </c>
      <c r="AI50" s="14"/>
      <c r="AJ50" s="14"/>
      <c r="AK50" s="14"/>
      <c r="AL50" s="14"/>
      <c r="AM50" s="14"/>
      <c r="AN50" s="14">
        <v>1</v>
      </c>
      <c r="AO50" s="14">
        <v>1</v>
      </c>
      <c r="AP50" s="14"/>
      <c r="AQ50" s="14"/>
      <c r="AR50" s="14"/>
      <c r="AS50" s="14"/>
      <c r="AT50" s="14"/>
      <c r="AU50" s="14">
        <v>1</v>
      </c>
      <c r="AV50" s="14">
        <v>1</v>
      </c>
      <c r="AW50" s="14"/>
      <c r="AX50" s="14"/>
      <c r="AY50" s="14"/>
      <c r="AZ50" s="14"/>
      <c r="BA50" s="14"/>
      <c r="BB50" s="14">
        <v>1</v>
      </c>
      <c r="BC50" s="14"/>
      <c r="BD50" s="14"/>
      <c r="BE50" s="14"/>
      <c r="BF50" s="14"/>
      <c r="BG50" s="14">
        <v>1</v>
      </c>
      <c r="BH50" s="14"/>
      <c r="BI50" s="14"/>
      <c r="BJ50" s="14"/>
      <c r="BK50" s="14">
        <v>1</v>
      </c>
      <c r="BL50" s="14"/>
      <c r="BM50" s="14"/>
      <c r="BN50" s="6"/>
      <c r="BO50" s="6">
        <v>1</v>
      </c>
      <c r="BP50" s="6">
        <v>1</v>
      </c>
      <c r="BQ50" s="6"/>
      <c r="BR50" s="14">
        <v>1</v>
      </c>
      <c r="BS50" s="14"/>
      <c r="BT50" s="14"/>
      <c r="BU50" s="14"/>
      <c r="BV50" s="14">
        <v>1</v>
      </c>
      <c r="BW50" s="14">
        <v>1</v>
      </c>
      <c r="BX50" s="14">
        <v>1</v>
      </c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14"/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>
        <v>1</v>
      </c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6"/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>
        <v>1</v>
      </c>
      <c r="BO52" s="14">
        <v>1</v>
      </c>
      <c r="BP52" s="14">
        <v>1</v>
      </c>
      <c r="BQ52" s="14">
        <v>1</v>
      </c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>
        <v>1</v>
      </c>
      <c r="Y53" s="6"/>
      <c r="Z53" s="14"/>
      <c r="AA53" s="6"/>
      <c r="AB53" s="6">
        <v>1</v>
      </c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>
        <v>1</v>
      </c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>
        <v>1</v>
      </c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>
        <v>1</v>
      </c>
      <c r="Y54" s="14">
        <v>1</v>
      </c>
      <c r="Z54" s="6"/>
      <c r="AA54" s="14">
        <v>1</v>
      </c>
      <c r="AB54" s="6">
        <v>1</v>
      </c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>
        <v>1</v>
      </c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>
        <v>1</v>
      </c>
      <c r="Y55" s="14">
        <v>1</v>
      </c>
      <c r="Z55" s="14"/>
      <c r="AA55" s="14">
        <v>1</v>
      </c>
      <c r="AB55" s="6">
        <v>1</v>
      </c>
      <c r="AC55" s="14"/>
      <c r="AD55" s="14"/>
      <c r="AE55" s="14"/>
      <c r="AF55" s="6">
        <v>1</v>
      </c>
      <c r="AG55" s="6">
        <v>1</v>
      </c>
      <c r="AH55" s="6">
        <v>1</v>
      </c>
      <c r="AI55" s="6"/>
      <c r="AJ55" s="14"/>
      <c r="AK55" s="14"/>
      <c r="AL55" s="14">
        <v>1</v>
      </c>
      <c r="AM55" s="14">
        <v>1</v>
      </c>
      <c r="AN55" s="6">
        <v>1</v>
      </c>
      <c r="AO55" s="14"/>
      <c r="AP55" s="14"/>
      <c r="AQ55" s="14"/>
      <c r="AR55" s="14"/>
      <c r="AS55" s="6">
        <v>1</v>
      </c>
      <c r="AT55" s="14"/>
      <c r="AU55" s="14">
        <v>1</v>
      </c>
      <c r="AV55" s="14">
        <v>1</v>
      </c>
      <c r="AW55" s="6"/>
      <c r="AX55" s="14"/>
      <c r="AY55" s="14"/>
      <c r="AZ55" s="14">
        <v>1</v>
      </c>
      <c r="BA55" s="6">
        <v>1</v>
      </c>
      <c r="BB55" s="14">
        <v>1</v>
      </c>
      <c r="BC55" s="14">
        <v>1</v>
      </c>
      <c r="BD55" s="14"/>
      <c r="BE55" s="14"/>
      <c r="BF55" s="14"/>
      <c r="BG55" s="6"/>
      <c r="BH55" s="6">
        <v>1</v>
      </c>
      <c r="BI55" s="6">
        <v>1</v>
      </c>
      <c r="BJ55" s="6">
        <v>1</v>
      </c>
      <c r="BK55" s="6"/>
      <c r="BL55" s="14"/>
      <c r="BM55" s="14"/>
      <c r="BN55" s="6">
        <v>1</v>
      </c>
      <c r="BO55" s="14"/>
      <c r="BP55" s="14">
        <v>1</v>
      </c>
      <c r="BQ55" s="14">
        <v>1</v>
      </c>
      <c r="BR55" s="6"/>
      <c r="BS55" s="14"/>
      <c r="BT55" s="14"/>
      <c r="BU55" s="14"/>
      <c r="BV55" s="6">
        <v>1</v>
      </c>
      <c r="BW55" s="6">
        <v>1</v>
      </c>
      <c r="BX55" s="6">
        <v>1</v>
      </c>
      <c r="BY55" s="6"/>
      <c r="BZ55" s="14"/>
      <c r="CA55" s="14"/>
      <c r="CB55" s="6">
        <v>1</v>
      </c>
      <c r="CC55" s="14"/>
      <c r="CD55" s="14">
        <v>1</v>
      </c>
      <c r="CE55" s="16">
        <v>1</v>
      </c>
      <c r="CF55" s="15"/>
      <c r="CG55" s="16"/>
      <c r="CH55" s="16"/>
      <c r="CI55" s="15"/>
      <c r="CJ55" s="16">
        <v>1</v>
      </c>
      <c r="CK55" s="16">
        <v>1</v>
      </c>
      <c r="CL55" s="16">
        <v>1</v>
      </c>
      <c r="CM55" s="16"/>
      <c r="CN55" s="16"/>
      <c r="CO55" s="16"/>
      <c r="CP55" s="15"/>
      <c r="CQ55" s="15">
        <v>1</v>
      </c>
      <c r="CR55" s="15">
        <v>1</v>
      </c>
      <c r="CS55" s="15">
        <v>1</v>
      </c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>
        <v>1</v>
      </c>
      <c r="Y56" s="14"/>
      <c r="Z56" s="14">
        <v>1</v>
      </c>
      <c r="AA56" s="14"/>
      <c r="AB56" s="6">
        <v>1</v>
      </c>
      <c r="AC56" s="14"/>
      <c r="AD56" s="14"/>
      <c r="AE56" s="6">
        <v>1</v>
      </c>
      <c r="AF56" s="14"/>
      <c r="AG56" s="14"/>
      <c r="AH56" s="14"/>
      <c r="AI56" s="6">
        <v>1</v>
      </c>
      <c r="AJ56" s="14"/>
      <c r="AK56" s="14"/>
      <c r="AL56" s="14"/>
      <c r="AM56" s="14"/>
      <c r="AN56" s="6">
        <v>1</v>
      </c>
      <c r="AO56" s="14"/>
      <c r="AP56" s="14"/>
      <c r="AQ56" s="14"/>
      <c r="AR56" s="14"/>
      <c r="AS56" s="6">
        <v>1</v>
      </c>
      <c r="AT56" s="14">
        <v>1</v>
      </c>
      <c r="AU56" s="14"/>
      <c r="AV56" s="14"/>
      <c r="AW56" s="6">
        <v>1</v>
      </c>
      <c r="AX56" s="14"/>
      <c r="AY56" s="14"/>
      <c r="AZ56" s="14"/>
      <c r="BA56" s="6">
        <v>1</v>
      </c>
      <c r="BB56" s="14"/>
      <c r="BC56" s="14"/>
      <c r="BD56" s="14"/>
      <c r="BE56" s="14"/>
      <c r="BF56" s="14"/>
      <c r="BG56" s="6">
        <v>1</v>
      </c>
      <c r="BH56" s="14"/>
      <c r="BI56" s="14"/>
      <c r="BJ56" s="14"/>
      <c r="BK56" s="14">
        <v>1</v>
      </c>
      <c r="BL56" s="14"/>
      <c r="BM56" s="14"/>
      <c r="BN56" s="6">
        <v>1</v>
      </c>
      <c r="BO56" s="14">
        <v>1</v>
      </c>
      <c r="BP56" s="14"/>
      <c r="BQ56" s="14"/>
      <c r="BR56" s="6">
        <v>1</v>
      </c>
      <c r="BS56" s="14"/>
      <c r="BT56" s="14"/>
      <c r="BU56" s="6">
        <v>1</v>
      </c>
      <c r="BV56" s="14"/>
      <c r="BW56" s="14"/>
      <c r="BX56" s="14"/>
      <c r="BY56" s="6">
        <v>1</v>
      </c>
      <c r="BZ56" s="14"/>
      <c r="CA56" s="14"/>
      <c r="CB56" s="6">
        <v>1</v>
      </c>
      <c r="CC56" s="14">
        <v>1</v>
      </c>
      <c r="CD56" s="14"/>
      <c r="CE56" s="16"/>
      <c r="CF56" s="15">
        <v>1</v>
      </c>
      <c r="CG56" s="16"/>
      <c r="CH56" s="16"/>
      <c r="CI56" s="15">
        <v>1</v>
      </c>
      <c r="CJ56" s="16"/>
      <c r="CK56" s="16"/>
      <c r="CL56" s="16"/>
      <c r="CM56" s="16">
        <v>1</v>
      </c>
      <c r="CN56" s="16"/>
      <c r="CO56" s="16"/>
      <c r="CP56" s="15">
        <v>1</v>
      </c>
      <c r="CQ56" s="16"/>
      <c r="CR56" s="16"/>
      <c r="CS56" s="16"/>
      <c r="CT56" s="14">
        <v>1</v>
      </c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>
        <v>1</v>
      </c>
      <c r="Y57" s="14"/>
      <c r="Z57" s="14"/>
      <c r="AA57" s="14"/>
      <c r="AB57" s="6">
        <v>1</v>
      </c>
      <c r="AC57" s="14"/>
      <c r="AD57" s="14"/>
      <c r="AE57" s="6"/>
      <c r="AF57" s="14">
        <v>1</v>
      </c>
      <c r="AG57" s="14">
        <v>1</v>
      </c>
      <c r="AH57" s="6">
        <v>1</v>
      </c>
      <c r="AI57" s="6">
        <v>1</v>
      </c>
      <c r="AJ57" s="14"/>
      <c r="AK57" s="14"/>
      <c r="AL57" s="14"/>
      <c r="AM57" s="14"/>
      <c r="AN57" s="6">
        <v>1</v>
      </c>
      <c r="AO57" s="14"/>
      <c r="AP57" s="14"/>
      <c r="AQ57" s="14"/>
      <c r="AR57" s="14"/>
      <c r="AS57" s="6">
        <v>1</v>
      </c>
      <c r="AT57" s="14"/>
      <c r="AU57" s="14"/>
      <c r="AV57" s="14"/>
      <c r="AW57" s="6">
        <v>1</v>
      </c>
      <c r="AX57" s="14"/>
      <c r="AY57" s="14"/>
      <c r="AZ57" s="14"/>
      <c r="BA57" s="6">
        <v>1</v>
      </c>
      <c r="BB57" s="14"/>
      <c r="BC57" s="14"/>
      <c r="BD57" s="14"/>
      <c r="BE57" s="14"/>
      <c r="BF57" s="14"/>
      <c r="BG57" s="6">
        <v>1</v>
      </c>
      <c r="BH57" s="14">
        <v>1</v>
      </c>
      <c r="BI57" s="14">
        <v>1</v>
      </c>
      <c r="BJ57" s="14">
        <v>1</v>
      </c>
      <c r="BK57" s="6">
        <v>1</v>
      </c>
      <c r="BL57" s="14"/>
      <c r="BM57" s="14"/>
      <c r="BN57" s="6">
        <v>1</v>
      </c>
      <c r="BO57" s="14"/>
      <c r="BP57" s="14"/>
      <c r="BQ57" s="14"/>
      <c r="BR57" s="6">
        <v>1</v>
      </c>
      <c r="BS57" s="14"/>
      <c r="BT57" s="14"/>
      <c r="BU57" s="6"/>
      <c r="BV57" s="14">
        <v>1</v>
      </c>
      <c r="BW57" s="14">
        <v>1</v>
      </c>
      <c r="BX57" s="6">
        <v>1</v>
      </c>
      <c r="BY57" s="6">
        <v>1</v>
      </c>
      <c r="BZ57" s="14"/>
      <c r="CA57" s="14"/>
      <c r="CB57" s="6">
        <v>1</v>
      </c>
      <c r="CC57" s="14"/>
      <c r="CD57" s="14"/>
      <c r="CE57" s="16"/>
      <c r="CF57" s="15">
        <v>1</v>
      </c>
      <c r="CG57" s="16"/>
      <c r="CH57" s="16"/>
      <c r="CI57" s="15">
        <v>1</v>
      </c>
      <c r="CJ57" s="16"/>
      <c r="CK57" s="16"/>
      <c r="CL57" s="16"/>
      <c r="CM57" s="15"/>
      <c r="CN57" s="16"/>
      <c r="CO57" s="16"/>
      <c r="CP57" s="15">
        <v>1</v>
      </c>
      <c r="CQ57" s="16">
        <v>1</v>
      </c>
      <c r="CR57" s="16">
        <v>1</v>
      </c>
      <c r="CS57" s="16">
        <v>1</v>
      </c>
      <c r="CT57" s="6">
        <v>1</v>
      </c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>
        <v>1</v>
      </c>
      <c r="Y58" s="14"/>
      <c r="Z58" s="14"/>
      <c r="AA58" s="14"/>
      <c r="AB58" s="6">
        <v>1</v>
      </c>
      <c r="AC58" s="14"/>
      <c r="AD58" s="14"/>
      <c r="AE58" s="14">
        <v>1</v>
      </c>
      <c r="AF58" s="6"/>
      <c r="AG58" s="6"/>
      <c r="AH58" s="14"/>
      <c r="AI58" s="6">
        <v>1</v>
      </c>
      <c r="AJ58" s="14"/>
      <c r="AK58" s="14"/>
      <c r="AL58" s="14"/>
      <c r="AM58" s="14"/>
      <c r="AN58" s="6">
        <v>1</v>
      </c>
      <c r="AO58" s="14"/>
      <c r="AP58" s="14"/>
      <c r="AQ58" s="14"/>
      <c r="AR58" s="14"/>
      <c r="AS58" s="6">
        <v>1</v>
      </c>
      <c r="AT58" s="14"/>
      <c r="AU58" s="14"/>
      <c r="AV58" s="14"/>
      <c r="AW58" s="6">
        <v>1</v>
      </c>
      <c r="AX58" s="14"/>
      <c r="AY58" s="14"/>
      <c r="AZ58" s="14"/>
      <c r="BA58" s="14">
        <v>1</v>
      </c>
      <c r="BB58" s="6"/>
      <c r="BC58" s="6"/>
      <c r="BD58" s="14"/>
      <c r="BE58" s="14"/>
      <c r="BF58" s="14"/>
      <c r="BG58" s="14">
        <v>1</v>
      </c>
      <c r="BH58" s="6"/>
      <c r="BI58" s="6"/>
      <c r="BJ58" s="6"/>
      <c r="BK58" s="14"/>
      <c r="BL58" s="14"/>
      <c r="BM58" s="14"/>
      <c r="BN58" s="6">
        <v>1</v>
      </c>
      <c r="BO58" s="14"/>
      <c r="BP58" s="14"/>
      <c r="BQ58" s="14"/>
      <c r="BR58" s="6">
        <v>1</v>
      </c>
      <c r="BS58" s="14"/>
      <c r="BT58" s="14"/>
      <c r="BU58" s="14">
        <v>1</v>
      </c>
      <c r="BV58" s="6"/>
      <c r="BW58" s="6"/>
      <c r="BX58" s="14"/>
      <c r="BY58" s="6">
        <v>1</v>
      </c>
      <c r="BZ58" s="14"/>
      <c r="CA58" s="14"/>
      <c r="CB58" s="6">
        <v>1</v>
      </c>
      <c r="CC58" s="14"/>
      <c r="CD58" s="14"/>
      <c r="CE58" s="16"/>
      <c r="CF58" s="15">
        <v>1</v>
      </c>
      <c r="CG58" s="16"/>
      <c r="CH58" s="16"/>
      <c r="CI58" s="16">
        <v>1</v>
      </c>
      <c r="CJ58" s="15"/>
      <c r="CK58" s="15"/>
      <c r="CL58" s="15"/>
      <c r="CM58" s="16"/>
      <c r="CN58" s="16"/>
      <c r="CO58" s="16"/>
      <c r="CP58" s="16">
        <v>1</v>
      </c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>
        <v>1</v>
      </c>
      <c r="Y59" s="14"/>
      <c r="Z59" s="14"/>
      <c r="AA59" s="14"/>
      <c r="AB59" s="14">
        <v>1</v>
      </c>
      <c r="AC59" s="14"/>
      <c r="AD59" s="14"/>
      <c r="AE59" s="14">
        <v>1</v>
      </c>
      <c r="AF59" s="14"/>
      <c r="AG59" s="14"/>
      <c r="AH59" s="14">
        <v>1</v>
      </c>
      <c r="AI59" s="14">
        <v>1</v>
      </c>
      <c r="AJ59" s="14"/>
      <c r="AK59" s="14"/>
      <c r="AL59" s="14"/>
      <c r="AM59" s="14"/>
      <c r="AN59" s="14">
        <v>1</v>
      </c>
      <c r="AO59" s="14"/>
      <c r="AP59" s="14"/>
      <c r="AQ59" s="14"/>
      <c r="AR59" s="14"/>
      <c r="AS59" s="14">
        <v>1</v>
      </c>
      <c r="AT59" s="14"/>
      <c r="AU59" s="14"/>
      <c r="AV59" s="14"/>
      <c r="AW59" s="14">
        <v>1</v>
      </c>
      <c r="AX59" s="14"/>
      <c r="AY59" s="14"/>
      <c r="AZ59" s="14"/>
      <c r="BA59" s="14">
        <v>1</v>
      </c>
      <c r="BB59" s="14"/>
      <c r="BC59" s="14"/>
      <c r="BD59" s="14"/>
      <c r="BE59" s="14"/>
      <c r="BF59" s="14"/>
      <c r="BG59" s="14">
        <v>1</v>
      </c>
      <c r="BH59" s="14"/>
      <c r="BI59" s="14"/>
      <c r="BJ59" s="14"/>
      <c r="BK59" s="14">
        <v>1</v>
      </c>
      <c r="BL59" s="14"/>
      <c r="BM59" s="14"/>
      <c r="BN59" s="14">
        <v>1</v>
      </c>
      <c r="BO59" s="14"/>
      <c r="BP59" s="14"/>
      <c r="BQ59" s="14"/>
      <c r="BR59" s="14">
        <v>1</v>
      </c>
      <c r="BS59" s="14"/>
      <c r="BT59" s="14"/>
      <c r="BU59" s="14">
        <v>1</v>
      </c>
      <c r="BV59" s="14"/>
      <c r="BW59" s="14"/>
      <c r="BX59" s="14">
        <v>1</v>
      </c>
      <c r="BY59" s="14">
        <v>1</v>
      </c>
      <c r="BZ59" s="14"/>
      <c r="CA59" s="14"/>
      <c r="CB59" s="14">
        <v>1</v>
      </c>
      <c r="CC59" s="14"/>
      <c r="CD59" s="14"/>
      <c r="CE59" s="16"/>
      <c r="CF59" s="16">
        <v>1</v>
      </c>
      <c r="CG59" s="16"/>
      <c r="CH59" s="16"/>
      <c r="CI59" s="16">
        <v>1</v>
      </c>
      <c r="CJ59" s="16"/>
      <c r="CK59" s="16"/>
      <c r="CL59" s="16"/>
      <c r="CM59" s="16">
        <v>1</v>
      </c>
      <c r="CN59" s="16"/>
      <c r="CO59" s="16"/>
      <c r="CP59" s="16">
        <v>1</v>
      </c>
      <c r="CQ59" s="16"/>
      <c r="CR59" s="16"/>
      <c r="CS59" s="16"/>
      <c r="CT59" s="14">
        <v>1</v>
      </c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>
        <v>1</v>
      </c>
      <c r="Y60" s="14"/>
      <c r="Z60" s="14"/>
      <c r="AA60" s="14"/>
      <c r="AB60" s="14">
        <v>1</v>
      </c>
      <c r="AC60" s="14"/>
      <c r="AD60" s="14"/>
      <c r="AE60" s="14"/>
      <c r="AF60" s="14">
        <v>1</v>
      </c>
      <c r="AG60" s="14">
        <v>1</v>
      </c>
      <c r="AH60" s="14"/>
      <c r="AI60" s="14">
        <v>1</v>
      </c>
      <c r="AJ60" s="14"/>
      <c r="AK60" s="14"/>
      <c r="AL60" s="14"/>
      <c r="AM60" s="14"/>
      <c r="AN60" s="14">
        <v>1</v>
      </c>
      <c r="AO60" s="14"/>
      <c r="AP60" s="14"/>
      <c r="AQ60" s="14"/>
      <c r="AR60" s="14"/>
      <c r="AS60" s="14">
        <v>1</v>
      </c>
      <c r="AT60" s="14"/>
      <c r="AU60" s="14"/>
      <c r="AV60" s="14"/>
      <c r="AW60" s="14">
        <v>1</v>
      </c>
      <c r="AX60" s="14"/>
      <c r="AY60" s="14"/>
      <c r="AZ60" s="14"/>
      <c r="BA60" s="14"/>
      <c r="BB60" s="14">
        <v>1</v>
      </c>
      <c r="BC60" s="14">
        <v>1</v>
      </c>
      <c r="BD60" s="14"/>
      <c r="BE60" s="14"/>
      <c r="BF60" s="14"/>
      <c r="BG60" s="14"/>
      <c r="BH60" s="14">
        <v>1</v>
      </c>
      <c r="BI60" s="14">
        <v>1</v>
      </c>
      <c r="BJ60" s="14">
        <v>1</v>
      </c>
      <c r="BK60" s="14"/>
      <c r="BL60" s="14"/>
      <c r="BM60" s="14"/>
      <c r="BN60" s="14">
        <v>1</v>
      </c>
      <c r="BO60" s="14"/>
      <c r="BP60" s="14"/>
      <c r="BQ60" s="14"/>
      <c r="BR60" s="14">
        <v>1</v>
      </c>
      <c r="BS60" s="14"/>
      <c r="BT60" s="14"/>
      <c r="BU60" s="14"/>
      <c r="BV60" s="14">
        <v>1</v>
      </c>
      <c r="BW60" s="14">
        <v>1</v>
      </c>
      <c r="BX60" s="14"/>
      <c r="BY60" s="14">
        <v>1</v>
      </c>
      <c r="BZ60" s="14"/>
      <c r="CA60" s="14"/>
      <c r="CB60" s="14">
        <v>1</v>
      </c>
      <c r="CC60" s="14"/>
      <c r="CD60" s="14"/>
      <c r="CE60" s="16"/>
      <c r="CF60" s="16">
        <v>1</v>
      </c>
      <c r="CG60" s="16"/>
      <c r="CH60" s="16"/>
      <c r="CI60" s="16"/>
      <c r="CJ60" s="16">
        <v>1</v>
      </c>
      <c r="CK60" s="16">
        <v>1</v>
      </c>
      <c r="CL60" s="16">
        <v>1</v>
      </c>
      <c r="CM60" s="16"/>
      <c r="CN60" s="16"/>
      <c r="CO60" s="16"/>
      <c r="CP60" s="16"/>
      <c r="CQ60" s="16">
        <v>1</v>
      </c>
      <c r="CR60" s="16">
        <v>1</v>
      </c>
      <c r="CS60" s="16">
        <v>1</v>
      </c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  <row r="68" spans="1:146" ht="141.75" x14ac:dyDescent="2.9">
      <c r="G68" s="22" t="s">
        <v>212</v>
      </c>
      <c r="H68" s="21"/>
    </row>
  </sheetData>
  <conditionalFormatting sqref="B2:EO11">
    <cfRule type="expression" dxfId="16" priority="1">
      <formula>B2=""</formula>
    </cfRule>
    <cfRule type="expression" dxfId="15" priority="2">
      <formula>B2=1</formula>
    </cfRule>
  </conditionalFormatting>
  <conditionalFormatting sqref="B12:EO65">
    <cfRule type="expression" dxfId="14" priority="3">
      <formula>AND(B12&lt;&gt;1,B12&lt;&gt;"")</formula>
    </cfRule>
    <cfRule type="expression" dxfId="13" priority="4">
      <formula>B12=""</formula>
    </cfRule>
    <cfRule type="expression" dxfId="12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F2C95-216F-4BA7-A262-0B9540ACEDEA}">
  <sheetPr codeName="Sheet8"/>
  <dimension ref="A1:EP66"/>
  <sheetViews>
    <sheetView zoomScale="40" zoomScaleNormal="40" workbookViewId="0">
      <pane xSplit="1" ySplit="1" topLeftCell="X5" activePane="bottomRight" state="frozen"/>
      <selection pane="topRight" activeCell="B1" sqref="B1"/>
      <selection pane="bottomLeft" activeCell="A3" sqref="A3"/>
      <selection pane="bottomRight" activeCell="FC49" sqref="FC49"/>
    </sheetView>
  </sheetViews>
  <sheetFormatPr defaultRowHeight="12.4" x14ac:dyDescent="0.3"/>
  <cols>
    <col min="1" max="1" width="6" customWidth="1"/>
    <col min="2" max="145" width="2.1171875" customWidth="1"/>
    <col min="146" max="146" width="6" customWidth="1"/>
    <col min="147" max="158" width="2.1171875" customWidth="1"/>
  </cols>
  <sheetData>
    <row r="1" spans="1:146" ht="39.950000000000003" customHeight="1" x14ac:dyDescent="0.3">
      <c r="A1" s="3"/>
      <c r="B1" s="19">
        <v>1</v>
      </c>
      <c r="C1" s="19">
        <v>2</v>
      </c>
      <c r="D1" s="19">
        <v>3</v>
      </c>
      <c r="E1" s="19">
        <v>4</v>
      </c>
      <c r="F1" s="19">
        <v>5</v>
      </c>
      <c r="G1" s="19">
        <v>6</v>
      </c>
      <c r="H1" s="19">
        <v>7</v>
      </c>
      <c r="I1" s="19">
        <v>8</v>
      </c>
      <c r="J1" s="19">
        <v>9</v>
      </c>
      <c r="K1" s="19">
        <v>10</v>
      </c>
      <c r="L1" s="19">
        <v>11</v>
      </c>
      <c r="M1" s="19">
        <v>12</v>
      </c>
      <c r="N1" s="19">
        <v>13</v>
      </c>
      <c r="O1" s="19">
        <v>14</v>
      </c>
      <c r="P1" s="19">
        <v>15</v>
      </c>
      <c r="Q1" s="19">
        <v>16</v>
      </c>
      <c r="R1" s="19">
        <v>17</v>
      </c>
      <c r="S1" s="19">
        <v>18</v>
      </c>
      <c r="T1" s="19">
        <v>19</v>
      </c>
      <c r="U1" s="19">
        <v>20</v>
      </c>
      <c r="V1" s="19">
        <v>21</v>
      </c>
      <c r="W1" s="19">
        <v>22</v>
      </c>
      <c r="X1" s="19">
        <v>23</v>
      </c>
      <c r="Y1" s="19">
        <v>24</v>
      </c>
      <c r="Z1" s="19">
        <v>25</v>
      </c>
      <c r="AA1" s="19">
        <v>26</v>
      </c>
      <c r="AB1" s="19">
        <v>27</v>
      </c>
      <c r="AC1" s="19">
        <v>28</v>
      </c>
      <c r="AD1" s="19">
        <v>29</v>
      </c>
      <c r="AE1" s="19">
        <v>30</v>
      </c>
      <c r="AF1" s="19">
        <v>31</v>
      </c>
      <c r="AG1" s="19">
        <v>32</v>
      </c>
      <c r="AH1" s="19">
        <v>33</v>
      </c>
      <c r="AI1" s="19">
        <v>34</v>
      </c>
      <c r="AJ1" s="19">
        <v>35</v>
      </c>
      <c r="AK1" s="19">
        <v>36</v>
      </c>
      <c r="AL1" s="19">
        <v>37</v>
      </c>
      <c r="AM1" s="19">
        <v>38</v>
      </c>
      <c r="AN1" s="19">
        <v>39</v>
      </c>
      <c r="AO1" s="19">
        <v>40</v>
      </c>
      <c r="AP1" s="19">
        <v>41</v>
      </c>
      <c r="AQ1" s="19">
        <v>42</v>
      </c>
      <c r="AR1" s="19">
        <v>43</v>
      </c>
      <c r="AS1" s="19">
        <v>44</v>
      </c>
      <c r="AT1" s="19">
        <v>45</v>
      </c>
      <c r="AU1" s="19">
        <v>46</v>
      </c>
      <c r="AV1" s="19">
        <v>47</v>
      </c>
      <c r="AW1" s="19">
        <v>48</v>
      </c>
      <c r="AX1" s="19">
        <v>49</v>
      </c>
      <c r="AY1" s="19">
        <v>50</v>
      </c>
      <c r="AZ1" s="19">
        <v>51</v>
      </c>
      <c r="BA1" s="19">
        <v>52</v>
      </c>
      <c r="BB1" s="19">
        <v>53</v>
      </c>
      <c r="BC1" s="19">
        <v>54</v>
      </c>
      <c r="BD1" s="19">
        <v>55</v>
      </c>
      <c r="BE1" s="19">
        <v>56</v>
      </c>
      <c r="BF1" s="19">
        <v>57</v>
      </c>
      <c r="BG1" s="19">
        <v>58</v>
      </c>
      <c r="BH1" s="19">
        <v>59</v>
      </c>
      <c r="BI1" s="19">
        <v>60</v>
      </c>
      <c r="BJ1" s="19">
        <v>61</v>
      </c>
      <c r="BK1" s="19">
        <v>62</v>
      </c>
      <c r="BL1" s="19">
        <v>63</v>
      </c>
      <c r="BM1" s="19">
        <v>64</v>
      </c>
      <c r="BN1" s="19">
        <v>49</v>
      </c>
      <c r="BO1" s="19">
        <v>50</v>
      </c>
      <c r="BP1" s="19">
        <v>51</v>
      </c>
      <c r="BQ1" s="19">
        <v>52</v>
      </c>
      <c r="BR1" s="19">
        <v>53</v>
      </c>
      <c r="BS1" s="19">
        <v>54</v>
      </c>
      <c r="BT1" s="19">
        <v>55</v>
      </c>
      <c r="BU1" s="19">
        <v>56</v>
      </c>
      <c r="BV1" s="19">
        <v>57</v>
      </c>
      <c r="BW1" s="19">
        <v>58</v>
      </c>
      <c r="BX1" s="19">
        <v>59</v>
      </c>
      <c r="BY1" s="19">
        <v>60</v>
      </c>
      <c r="BZ1" s="19">
        <v>61</v>
      </c>
      <c r="CA1" s="19">
        <v>62</v>
      </c>
      <c r="CB1" s="19">
        <v>63</v>
      </c>
      <c r="CC1" s="19">
        <v>64</v>
      </c>
      <c r="CD1" s="19">
        <v>65</v>
      </c>
      <c r="CE1" s="19">
        <v>66</v>
      </c>
      <c r="CF1" s="19">
        <v>67</v>
      </c>
      <c r="CG1" s="19">
        <v>68</v>
      </c>
      <c r="CH1" s="19">
        <v>69</v>
      </c>
      <c r="CI1" s="19">
        <v>70</v>
      </c>
      <c r="CJ1" s="19">
        <v>71</v>
      </c>
      <c r="CK1" s="19">
        <v>72</v>
      </c>
      <c r="CL1" s="19">
        <v>73</v>
      </c>
      <c r="CM1" s="19">
        <v>74</v>
      </c>
      <c r="CN1" s="19">
        <v>75</v>
      </c>
      <c r="CO1" s="19">
        <v>76</v>
      </c>
      <c r="CP1" s="19">
        <v>77</v>
      </c>
      <c r="CQ1" s="19">
        <v>78</v>
      </c>
      <c r="CR1" s="19">
        <v>79</v>
      </c>
      <c r="CS1" s="19">
        <v>80</v>
      </c>
      <c r="CT1" s="19">
        <v>81</v>
      </c>
      <c r="CU1" s="19">
        <v>82</v>
      </c>
      <c r="CV1" s="19">
        <v>83</v>
      </c>
      <c r="CW1" s="19">
        <v>84</v>
      </c>
      <c r="CX1" s="19">
        <v>85</v>
      </c>
      <c r="CY1" s="19">
        <v>86</v>
      </c>
      <c r="CZ1" s="19">
        <v>87</v>
      </c>
      <c r="DA1" s="19">
        <v>88</v>
      </c>
      <c r="DB1" s="19">
        <v>89</v>
      </c>
      <c r="DC1" s="19">
        <v>90</v>
      </c>
      <c r="DD1" s="19">
        <v>91</v>
      </c>
      <c r="DE1" s="19">
        <v>92</v>
      </c>
      <c r="DF1" s="19">
        <v>93</v>
      </c>
      <c r="DG1" s="19">
        <v>94</v>
      </c>
      <c r="DH1" s="19">
        <v>95</v>
      </c>
      <c r="DI1" s="19">
        <v>96</v>
      </c>
      <c r="DJ1" s="19">
        <v>97</v>
      </c>
      <c r="DK1" s="19">
        <v>98</v>
      </c>
      <c r="DL1" s="19">
        <v>99</v>
      </c>
      <c r="DM1" s="19">
        <v>100</v>
      </c>
      <c r="DN1" s="19">
        <v>101</v>
      </c>
      <c r="DO1" s="19">
        <v>102</v>
      </c>
      <c r="DP1" s="19">
        <v>103</v>
      </c>
      <c r="DQ1" s="19">
        <v>104</v>
      </c>
      <c r="DR1" s="19">
        <v>105</v>
      </c>
      <c r="DS1" s="19">
        <v>106</v>
      </c>
      <c r="DT1" s="19">
        <v>107</v>
      </c>
      <c r="DU1" s="19">
        <v>108</v>
      </c>
      <c r="DV1" s="19">
        <v>109</v>
      </c>
      <c r="DW1" s="19">
        <v>110</v>
      </c>
      <c r="DX1" s="19">
        <v>111</v>
      </c>
      <c r="DY1" s="19">
        <v>112</v>
      </c>
      <c r="DZ1" s="19">
        <v>113</v>
      </c>
      <c r="EA1" s="19">
        <v>114</v>
      </c>
      <c r="EB1" s="19">
        <v>115</v>
      </c>
      <c r="EC1" s="19">
        <v>116</v>
      </c>
      <c r="ED1" s="19">
        <v>117</v>
      </c>
      <c r="EE1" s="19">
        <v>118</v>
      </c>
      <c r="EF1" s="19">
        <v>119</v>
      </c>
      <c r="EG1" s="19">
        <v>120</v>
      </c>
      <c r="EH1" s="19">
        <v>121</v>
      </c>
      <c r="EI1" s="19">
        <v>122</v>
      </c>
      <c r="EJ1" s="19">
        <v>123</v>
      </c>
      <c r="EK1" s="19">
        <v>124</v>
      </c>
      <c r="EL1" s="19">
        <v>125</v>
      </c>
      <c r="EM1" s="19">
        <v>126</v>
      </c>
      <c r="EN1" s="19">
        <v>127</v>
      </c>
      <c r="EO1" s="19">
        <v>128</v>
      </c>
      <c r="EP1" s="3"/>
    </row>
    <row r="2" spans="1:146" x14ac:dyDescent="0.3">
      <c r="A2" s="3">
        <v>1</v>
      </c>
      <c r="DR2" s="17"/>
      <c r="DS2" s="17"/>
      <c r="DT2" s="17"/>
      <c r="DU2" s="17"/>
      <c r="DV2" s="17"/>
      <c r="ED2" s="18"/>
      <c r="EE2" s="18"/>
      <c r="EF2" s="18"/>
      <c r="EG2" s="18"/>
      <c r="EH2" s="18"/>
      <c r="EI2" s="18"/>
      <c r="EJ2" s="18"/>
      <c r="EK2" s="18"/>
      <c r="EL2" s="18"/>
      <c r="EM2" s="18"/>
      <c r="EN2" s="18"/>
      <c r="EP2" s="3"/>
    </row>
    <row r="3" spans="1:146" x14ac:dyDescent="0.3">
      <c r="A3" s="3">
        <v>2</v>
      </c>
      <c r="DE3">
        <v>1</v>
      </c>
      <c r="DF3">
        <v>1</v>
      </c>
      <c r="DG3">
        <v>1</v>
      </c>
      <c r="DL3">
        <v>1</v>
      </c>
      <c r="DM3">
        <v>1</v>
      </c>
      <c r="DN3">
        <v>1</v>
      </c>
      <c r="DR3" s="17"/>
      <c r="DS3" s="17">
        <v>1</v>
      </c>
      <c r="DT3" s="17"/>
      <c r="DU3" s="17"/>
      <c r="DV3" s="17"/>
      <c r="ED3">
        <v>1</v>
      </c>
      <c r="EE3">
        <v>1</v>
      </c>
      <c r="EF3">
        <v>1</v>
      </c>
      <c r="EG3">
        <v>1</v>
      </c>
      <c r="EH3">
        <v>1</v>
      </c>
      <c r="EI3">
        <v>1</v>
      </c>
      <c r="EJ3">
        <v>1</v>
      </c>
      <c r="EK3">
        <v>1</v>
      </c>
      <c r="EL3">
        <v>1</v>
      </c>
      <c r="EM3">
        <v>1</v>
      </c>
      <c r="EN3">
        <v>1</v>
      </c>
      <c r="EP3" s="3"/>
    </row>
    <row r="4" spans="1:146" x14ac:dyDescent="0.3">
      <c r="A4" s="3">
        <v>3</v>
      </c>
      <c r="DD4">
        <v>1</v>
      </c>
      <c r="DH4">
        <v>1</v>
      </c>
      <c r="DK4">
        <v>1</v>
      </c>
      <c r="DO4">
        <v>1</v>
      </c>
      <c r="DR4" s="17">
        <v>1</v>
      </c>
      <c r="DS4" s="17"/>
      <c r="DT4" s="17">
        <v>1</v>
      </c>
      <c r="DU4" s="17"/>
      <c r="DV4" s="17">
        <v>1</v>
      </c>
      <c r="EC4">
        <v>1</v>
      </c>
      <c r="EN4">
        <v>1</v>
      </c>
      <c r="EP4" s="3"/>
    </row>
    <row r="5" spans="1:146" x14ac:dyDescent="0.3">
      <c r="A5" s="3">
        <v>4</v>
      </c>
      <c r="DD5">
        <v>1</v>
      </c>
      <c r="DK5">
        <v>1</v>
      </c>
      <c r="DO5">
        <v>1</v>
      </c>
      <c r="DR5" s="17">
        <v>1</v>
      </c>
      <c r="DS5" s="17"/>
      <c r="DT5" s="17">
        <v>1</v>
      </c>
      <c r="DU5" s="17">
        <v>1</v>
      </c>
      <c r="DV5" s="17"/>
      <c r="EB5">
        <v>1</v>
      </c>
      <c r="EH5">
        <v>1</v>
      </c>
      <c r="EI5">
        <v>1</v>
      </c>
      <c r="EK5">
        <v>1</v>
      </c>
      <c r="EL5">
        <v>1</v>
      </c>
      <c r="EN5">
        <v>1</v>
      </c>
      <c r="EP5" s="3"/>
    </row>
    <row r="6" spans="1:146" x14ac:dyDescent="0.3">
      <c r="A6" s="3">
        <v>5</v>
      </c>
      <c r="DD6">
        <v>1</v>
      </c>
      <c r="DE6">
        <v>1</v>
      </c>
      <c r="DF6">
        <v>1</v>
      </c>
      <c r="DG6">
        <v>1</v>
      </c>
      <c r="DK6">
        <v>1</v>
      </c>
      <c r="DM6">
        <v>1</v>
      </c>
      <c r="DO6">
        <v>1</v>
      </c>
      <c r="DR6" s="17"/>
      <c r="DS6" s="17">
        <v>1</v>
      </c>
      <c r="DT6" s="17">
        <v>1</v>
      </c>
      <c r="DU6" s="17"/>
      <c r="DV6" s="17"/>
      <c r="EB6">
        <v>1</v>
      </c>
      <c r="EH6">
        <v>1</v>
      </c>
      <c r="EI6">
        <v>1</v>
      </c>
      <c r="EK6">
        <v>1</v>
      </c>
      <c r="EL6">
        <v>1</v>
      </c>
      <c r="EN6">
        <v>1</v>
      </c>
      <c r="EP6" s="3"/>
    </row>
    <row r="7" spans="1:146" x14ac:dyDescent="0.3">
      <c r="A7" s="3">
        <v>6</v>
      </c>
      <c r="DD7">
        <v>1</v>
      </c>
      <c r="DH7">
        <v>1</v>
      </c>
      <c r="DK7">
        <v>1</v>
      </c>
      <c r="DO7">
        <v>1</v>
      </c>
      <c r="DR7" s="17"/>
      <c r="DS7" s="17">
        <v>1</v>
      </c>
      <c r="DT7" s="17"/>
      <c r="DU7" s="17">
        <v>1</v>
      </c>
      <c r="DV7" s="17"/>
      <c r="EB7">
        <v>1</v>
      </c>
      <c r="EH7">
        <v>1</v>
      </c>
      <c r="EI7">
        <v>1</v>
      </c>
      <c r="EK7">
        <v>1</v>
      </c>
      <c r="EL7">
        <v>1</v>
      </c>
      <c r="EN7">
        <v>1</v>
      </c>
      <c r="EP7" s="3"/>
    </row>
    <row r="8" spans="1:146" x14ac:dyDescent="0.3">
      <c r="A8" s="3">
        <v>7</v>
      </c>
      <c r="DD8">
        <v>1</v>
      </c>
      <c r="DH8">
        <v>1</v>
      </c>
      <c r="DK8">
        <v>1</v>
      </c>
      <c r="DO8">
        <v>1</v>
      </c>
      <c r="DR8" s="17">
        <v>1</v>
      </c>
      <c r="DS8" s="17"/>
      <c r="DT8" s="17">
        <v>1</v>
      </c>
      <c r="DU8" s="17"/>
      <c r="DV8" s="17">
        <v>1</v>
      </c>
      <c r="EB8">
        <v>1</v>
      </c>
      <c r="EH8">
        <v>1</v>
      </c>
      <c r="EI8">
        <v>1</v>
      </c>
      <c r="EK8">
        <v>1</v>
      </c>
      <c r="EL8">
        <v>1</v>
      </c>
      <c r="EN8">
        <v>1</v>
      </c>
      <c r="EP8" s="3"/>
    </row>
    <row r="9" spans="1:146" x14ac:dyDescent="0.3">
      <c r="A9" s="3">
        <v>8</v>
      </c>
      <c r="DD9">
        <v>1</v>
      </c>
      <c r="DH9">
        <v>1</v>
      </c>
      <c r="DK9">
        <v>1</v>
      </c>
      <c r="DO9">
        <v>1</v>
      </c>
      <c r="DR9" s="17"/>
      <c r="DS9" s="17"/>
      <c r="DT9" s="17">
        <v>1</v>
      </c>
      <c r="DU9" s="17"/>
      <c r="DV9" s="17">
        <v>1</v>
      </c>
      <c r="EC9">
        <v>1</v>
      </c>
      <c r="EN9">
        <v>1</v>
      </c>
      <c r="EP9" s="3"/>
    </row>
    <row r="10" spans="1:146" x14ac:dyDescent="0.3">
      <c r="A10" s="3">
        <v>9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17"/>
      <c r="CF10" s="17"/>
      <c r="CG10" s="17"/>
      <c r="CH10" s="17"/>
      <c r="CI10" s="17"/>
      <c r="CJ10" s="17"/>
      <c r="CK10" s="17"/>
      <c r="CL10" s="17"/>
      <c r="CM10" s="17"/>
      <c r="CN10" s="17"/>
      <c r="CO10" s="17"/>
      <c r="CP10" s="17"/>
      <c r="CQ10" s="17"/>
      <c r="CR10" s="17"/>
      <c r="CS10" s="17"/>
      <c r="CT10" s="3"/>
      <c r="CU10" s="17"/>
      <c r="CV10" s="17"/>
      <c r="CW10" s="17"/>
      <c r="CX10" s="17"/>
      <c r="CY10" s="17"/>
      <c r="CZ10" s="17"/>
      <c r="DA10" s="17"/>
      <c r="DB10" s="17"/>
      <c r="DC10" s="17"/>
      <c r="DD10" s="17"/>
      <c r="DE10" s="17">
        <v>1</v>
      </c>
      <c r="DF10" s="17">
        <v>1</v>
      </c>
      <c r="DG10" s="17">
        <v>1</v>
      </c>
      <c r="DH10" s="17"/>
      <c r="DI10" s="17"/>
      <c r="DJ10" s="3"/>
      <c r="DK10" s="17"/>
      <c r="DL10" s="17">
        <v>1</v>
      </c>
      <c r="DM10" s="17">
        <v>1</v>
      </c>
      <c r="DN10" s="17">
        <v>1</v>
      </c>
      <c r="DO10" s="17"/>
      <c r="DP10" s="17"/>
      <c r="DQ10" s="17"/>
      <c r="DR10" s="17"/>
      <c r="DS10" s="17"/>
      <c r="DT10" s="17"/>
      <c r="DU10" s="17">
        <v>1</v>
      </c>
      <c r="DV10" s="17"/>
      <c r="DW10" s="17"/>
      <c r="DX10" s="17"/>
      <c r="DY10" s="17"/>
      <c r="DZ10" s="3"/>
      <c r="EA10" s="17"/>
      <c r="EB10" s="17"/>
      <c r="EC10" s="17"/>
      <c r="ED10" s="17">
        <v>1</v>
      </c>
      <c r="EE10" s="17">
        <v>1</v>
      </c>
      <c r="EF10" s="17">
        <v>1</v>
      </c>
      <c r="EG10" s="17">
        <v>1</v>
      </c>
      <c r="EH10" s="17">
        <v>1</v>
      </c>
      <c r="EI10" s="17">
        <v>1</v>
      </c>
      <c r="EJ10" s="17">
        <v>1</v>
      </c>
      <c r="EK10" s="17">
        <v>1</v>
      </c>
      <c r="EL10" s="17">
        <v>1</v>
      </c>
      <c r="EM10" s="17">
        <v>1</v>
      </c>
      <c r="EN10" s="17">
        <v>1</v>
      </c>
      <c r="EO10" s="17"/>
      <c r="EP10" s="3"/>
    </row>
    <row r="11" spans="1:146" x14ac:dyDescent="0.3">
      <c r="A11" s="3">
        <v>10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17"/>
      <c r="CF11" s="17"/>
      <c r="CG11" s="17"/>
      <c r="CH11" s="17"/>
      <c r="CI11" s="17"/>
      <c r="CJ11" s="17"/>
      <c r="CK11" s="17"/>
      <c r="CL11" s="17"/>
      <c r="CM11" s="17"/>
      <c r="CN11" s="17"/>
      <c r="CO11" s="17"/>
      <c r="CP11" s="17"/>
      <c r="CQ11" s="17"/>
      <c r="CR11" s="17"/>
      <c r="CS11" s="17"/>
      <c r="CT11" s="3"/>
      <c r="CU11" s="17"/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3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3"/>
      <c r="EA11" s="17"/>
      <c r="EB11" s="17"/>
      <c r="EC11" s="17"/>
      <c r="ED11" s="17"/>
      <c r="EE11" s="17"/>
      <c r="EF11" s="17"/>
      <c r="EG11" s="17"/>
      <c r="EH11" s="17"/>
      <c r="EI11" s="17"/>
      <c r="EJ11" s="17"/>
      <c r="EK11" s="17"/>
      <c r="EL11" s="17"/>
      <c r="EM11" s="17"/>
      <c r="EN11" s="17"/>
      <c r="EO11" s="17"/>
      <c r="EP11" s="3"/>
    </row>
    <row r="12" spans="1:146" x14ac:dyDescent="0.3">
      <c r="A12" s="3">
        <v>11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17"/>
      <c r="CF12" s="17"/>
      <c r="CG12" s="17"/>
      <c r="CH12" s="17"/>
      <c r="CI12" s="17"/>
      <c r="CJ12" s="17"/>
      <c r="CK12" s="17"/>
      <c r="CL12" s="17"/>
      <c r="CM12" s="17"/>
      <c r="CN12" s="17"/>
      <c r="CO12" s="17"/>
      <c r="CP12" s="17"/>
      <c r="CQ12" s="17"/>
      <c r="CR12" s="17"/>
      <c r="CS12" s="17"/>
      <c r="CT12" s="3"/>
      <c r="CU12" s="17"/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3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3"/>
      <c r="EA12" s="17"/>
      <c r="EB12" s="17"/>
      <c r="EC12" s="17"/>
      <c r="ED12" s="17"/>
      <c r="EE12" s="17"/>
      <c r="EF12" s="17"/>
      <c r="EG12" s="17"/>
      <c r="EH12" s="17"/>
      <c r="EI12" s="17"/>
      <c r="EJ12" s="17"/>
      <c r="EK12" s="17"/>
      <c r="EL12" s="17"/>
      <c r="EM12" s="17"/>
      <c r="EN12" s="17"/>
      <c r="EO12" s="17"/>
      <c r="EP12" s="3"/>
    </row>
    <row r="13" spans="1:146" x14ac:dyDescent="0.3">
      <c r="A13" s="3">
        <v>12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17"/>
      <c r="CF13" s="17"/>
      <c r="CG13" s="17"/>
      <c r="CH13" s="17"/>
      <c r="CI13" s="17"/>
      <c r="CJ13" s="17"/>
      <c r="CK13" s="17"/>
      <c r="CL13" s="17"/>
      <c r="CM13" s="17"/>
      <c r="CN13" s="17"/>
      <c r="CO13" s="17"/>
      <c r="CP13" s="17"/>
      <c r="CQ13" s="17"/>
      <c r="CR13" s="17"/>
      <c r="CS13" s="17"/>
      <c r="CT13" s="3"/>
      <c r="CU13" s="17"/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3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3"/>
      <c r="EA13" s="17"/>
      <c r="EB13" s="17"/>
      <c r="EC13" s="17"/>
      <c r="ED13" s="17"/>
      <c r="EE13" s="17"/>
      <c r="EF13" s="17"/>
      <c r="EG13" s="17"/>
      <c r="EH13" s="17"/>
      <c r="EI13" s="17"/>
      <c r="EJ13" s="17"/>
      <c r="EK13" s="17"/>
      <c r="EL13" s="17"/>
      <c r="EM13" s="17"/>
      <c r="EN13" s="17"/>
      <c r="EO13" s="17"/>
      <c r="EP13" s="3"/>
    </row>
    <row r="14" spans="1:146" x14ac:dyDescent="0.3">
      <c r="A14" s="3">
        <v>13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>
        <v>1</v>
      </c>
      <c r="Z14" s="3">
        <v>1</v>
      </c>
      <c r="AA14" s="3">
        <v>1</v>
      </c>
      <c r="AB14" s="3">
        <v>1</v>
      </c>
      <c r="AC14" s="3">
        <v>1</v>
      </c>
      <c r="AD14" s="3">
        <v>1</v>
      </c>
      <c r="AE14" s="3">
        <v>1</v>
      </c>
      <c r="AF14" s="3">
        <v>1</v>
      </c>
      <c r="AG14" s="3">
        <v>1</v>
      </c>
      <c r="AH14" s="3">
        <v>1</v>
      </c>
      <c r="AI14" s="3">
        <v>1</v>
      </c>
      <c r="AJ14" s="3">
        <v>1</v>
      </c>
      <c r="AK14" s="3">
        <v>1</v>
      </c>
      <c r="AL14" s="3">
        <v>1</v>
      </c>
      <c r="AM14" s="3">
        <v>1</v>
      </c>
      <c r="AN14" s="3">
        <v>1</v>
      </c>
      <c r="AO14" s="3">
        <v>1</v>
      </c>
      <c r="AP14" s="3">
        <v>1</v>
      </c>
      <c r="AQ14" s="3">
        <v>1</v>
      </c>
      <c r="AR14" s="3">
        <v>1</v>
      </c>
      <c r="AS14" s="3">
        <v>1</v>
      </c>
      <c r="AT14" s="3">
        <v>1</v>
      </c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7"/>
      <c r="CP14" s="17"/>
      <c r="CQ14" s="17"/>
      <c r="CR14" s="17"/>
      <c r="CS14" s="17"/>
      <c r="CT14" s="3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3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3"/>
      <c r="EA14" s="17"/>
      <c r="EB14" s="17"/>
      <c r="EC14" s="17"/>
      <c r="ED14" s="17"/>
      <c r="EE14" s="17"/>
      <c r="EF14" s="17"/>
      <c r="EG14" s="17"/>
      <c r="EH14" s="17"/>
      <c r="EI14" s="17"/>
      <c r="EJ14" s="17"/>
      <c r="EK14" s="17"/>
      <c r="EL14" s="17"/>
      <c r="EM14" s="17"/>
      <c r="EN14" s="17"/>
      <c r="EO14" s="17"/>
      <c r="EP14" s="3"/>
    </row>
    <row r="15" spans="1:146" x14ac:dyDescent="0.3">
      <c r="A15" s="3">
        <v>14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>
        <v>1</v>
      </c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17"/>
      <c r="CF15" s="17"/>
      <c r="CG15" s="17"/>
      <c r="CH15" s="17"/>
      <c r="CI15" s="17"/>
      <c r="CJ15" s="17"/>
      <c r="CK15" s="17"/>
      <c r="CL15" s="17"/>
      <c r="CM15" s="17"/>
      <c r="CN15" s="17"/>
      <c r="CO15" s="17"/>
      <c r="CP15" s="17"/>
      <c r="CQ15" s="17"/>
      <c r="CR15" s="17"/>
      <c r="CS15" s="17"/>
      <c r="CT15" s="3"/>
      <c r="CU15" s="17"/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3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3"/>
      <c r="EA15" s="17"/>
      <c r="EB15" s="17"/>
      <c r="EC15" s="17"/>
      <c r="ED15" s="17"/>
      <c r="EE15" s="17"/>
      <c r="EF15" s="17"/>
      <c r="EG15" s="17"/>
      <c r="EH15" s="17"/>
      <c r="EI15" s="17"/>
      <c r="EJ15" s="17"/>
      <c r="EK15" s="17"/>
      <c r="EL15" s="17"/>
      <c r="EM15" s="17"/>
      <c r="EN15" s="17"/>
      <c r="EO15" s="17"/>
      <c r="EP15" s="3"/>
    </row>
    <row r="16" spans="1:146" x14ac:dyDescent="0.3">
      <c r="A16" s="3">
        <v>15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>
        <v>1</v>
      </c>
      <c r="Z16" s="3"/>
      <c r="AA16" s="3"/>
      <c r="AB16" s="3"/>
      <c r="AC16" s="3"/>
      <c r="AD16" s="3"/>
      <c r="AE16" s="3">
        <v>1</v>
      </c>
      <c r="AF16" s="3"/>
      <c r="AG16" s="3"/>
      <c r="AH16" s="3"/>
      <c r="AI16" s="3">
        <v>1</v>
      </c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>
        <v>1</v>
      </c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>
        <v>1</v>
      </c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17"/>
      <c r="CF16" s="17"/>
      <c r="CG16" s="17"/>
      <c r="CH16" s="17"/>
      <c r="CI16" s="17"/>
      <c r="CJ16" s="17"/>
      <c r="CK16" s="17"/>
      <c r="CL16" s="17"/>
      <c r="CM16" s="17"/>
      <c r="CN16" s="17"/>
      <c r="CO16" s="17"/>
      <c r="CP16" s="17"/>
      <c r="CQ16" s="17"/>
      <c r="CR16" s="17"/>
      <c r="CS16" s="17"/>
      <c r="CT16" s="3"/>
      <c r="CU16" s="17"/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3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3"/>
      <c r="EA16" s="17"/>
      <c r="EB16" s="17"/>
      <c r="EC16" s="17"/>
      <c r="ED16" s="17"/>
      <c r="EE16" s="17"/>
      <c r="EF16" s="17"/>
      <c r="EG16" s="17"/>
      <c r="EH16" s="17"/>
      <c r="EI16" s="17"/>
      <c r="EJ16" s="17"/>
      <c r="EK16" s="17"/>
      <c r="EL16" s="17"/>
      <c r="EM16" s="17"/>
      <c r="EN16" s="17"/>
      <c r="EO16" s="17"/>
      <c r="EP16" s="3"/>
    </row>
    <row r="17" spans="1:146" x14ac:dyDescent="0.3">
      <c r="A17" s="3">
        <v>16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>
        <v>1</v>
      </c>
      <c r="Z17" s="3"/>
      <c r="AA17" s="3"/>
      <c r="AB17" s="3"/>
      <c r="AC17" s="3"/>
      <c r="AD17" s="3"/>
      <c r="AE17" s="3">
        <v>1</v>
      </c>
      <c r="AF17" s="3">
        <v>1</v>
      </c>
      <c r="AG17" s="3"/>
      <c r="AH17" s="3"/>
      <c r="AI17" s="3">
        <v>1</v>
      </c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>
        <v>1</v>
      </c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17"/>
      <c r="CF17" s="17"/>
      <c r="CG17" s="17"/>
      <c r="CH17" s="17"/>
      <c r="CI17" s="17"/>
      <c r="CJ17" s="17"/>
      <c r="CK17" s="17"/>
      <c r="CL17" s="17"/>
      <c r="CM17" s="17"/>
      <c r="CN17" s="17"/>
      <c r="CO17" s="17"/>
      <c r="CP17" s="17"/>
      <c r="CQ17" s="17"/>
      <c r="CR17" s="17"/>
      <c r="CS17" s="17"/>
      <c r="CT17" s="3"/>
      <c r="CU17" s="17"/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3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3"/>
      <c r="EA17" s="17"/>
      <c r="EB17" s="17"/>
      <c r="EC17" s="17"/>
      <c r="ED17" s="17"/>
      <c r="EE17" s="17"/>
      <c r="EF17" s="17"/>
      <c r="EG17" s="17"/>
      <c r="EH17" s="17"/>
      <c r="EI17" s="17"/>
      <c r="EJ17" s="17"/>
      <c r="EK17" s="17"/>
      <c r="EL17" s="17"/>
      <c r="EM17" s="17"/>
      <c r="EN17" s="17"/>
      <c r="EO17" s="17"/>
      <c r="EP17" s="3"/>
    </row>
    <row r="18" spans="1:146" x14ac:dyDescent="0.3">
      <c r="A18" s="3">
        <v>17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>
        <v>1</v>
      </c>
      <c r="Z18" s="3"/>
      <c r="AA18" s="3"/>
      <c r="AB18" s="3"/>
      <c r="AC18" s="3"/>
      <c r="AD18" s="3"/>
      <c r="AE18" s="3">
        <v>1</v>
      </c>
      <c r="AF18" s="3">
        <v>1</v>
      </c>
      <c r="AG18" s="3"/>
      <c r="AH18" s="3"/>
      <c r="AI18" s="3">
        <v>1</v>
      </c>
      <c r="AJ18" s="3"/>
      <c r="AK18" s="3"/>
      <c r="AL18" s="3"/>
      <c r="AM18" s="3">
        <v>1</v>
      </c>
      <c r="AN18" s="3">
        <v>1</v>
      </c>
      <c r="AO18" s="3">
        <v>1</v>
      </c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>
        <v>1</v>
      </c>
      <c r="BA18" s="3">
        <v>1</v>
      </c>
      <c r="BB18" s="3">
        <v>1</v>
      </c>
      <c r="BC18" s="3"/>
      <c r="BD18" s="3"/>
      <c r="BE18" s="3"/>
      <c r="BF18" s="3"/>
      <c r="BG18" s="3">
        <v>1</v>
      </c>
      <c r="BH18" s="3"/>
      <c r="BI18" s="3">
        <v>1</v>
      </c>
      <c r="BJ18" s="3">
        <v>1</v>
      </c>
      <c r="BK18" s="3"/>
      <c r="BL18" s="3"/>
      <c r="BM18" s="3"/>
      <c r="BN18" s="3"/>
      <c r="BO18" s="3">
        <v>1</v>
      </c>
      <c r="BP18" s="3">
        <v>1</v>
      </c>
      <c r="BQ18" s="3"/>
      <c r="BR18" s="3">
        <v>1</v>
      </c>
      <c r="BS18" s="3"/>
      <c r="BT18" s="3"/>
      <c r="BU18" s="3"/>
      <c r="BV18" s="3">
        <v>1</v>
      </c>
      <c r="BW18" s="3">
        <v>1</v>
      </c>
      <c r="BX18" s="3">
        <v>1</v>
      </c>
      <c r="BY18" s="3"/>
      <c r="BZ18" s="3"/>
      <c r="CA18" s="3"/>
      <c r="CB18" s="3">
        <v>1</v>
      </c>
      <c r="CC18" s="3"/>
      <c r="CD18" s="3"/>
      <c r="CE18" s="17"/>
      <c r="CF18" s="17">
        <v>1</v>
      </c>
      <c r="CG18" s="17"/>
      <c r="CH18" s="17"/>
      <c r="CI18" s="17"/>
      <c r="CJ18" s="17"/>
      <c r="CK18" s="17"/>
      <c r="CL18" s="17"/>
      <c r="CM18" s="17"/>
      <c r="CN18" s="17"/>
      <c r="CO18" s="17"/>
      <c r="CP18" s="17"/>
      <c r="CQ18" s="17"/>
      <c r="CR18" s="17"/>
      <c r="CS18" s="17"/>
      <c r="CT18" s="3"/>
      <c r="CU18" s="17"/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3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3"/>
      <c r="EA18" s="17"/>
      <c r="EB18" s="17"/>
      <c r="EC18" s="17"/>
      <c r="ED18" s="17"/>
      <c r="EE18" s="17"/>
      <c r="EF18" s="17"/>
      <c r="EG18" s="17"/>
      <c r="EH18" s="17"/>
      <c r="EI18" s="17"/>
      <c r="EJ18" s="17"/>
      <c r="EK18" s="17"/>
      <c r="EL18" s="17"/>
      <c r="EM18" s="17"/>
      <c r="EN18" s="17"/>
      <c r="EO18" s="17"/>
      <c r="EP18" s="3"/>
    </row>
    <row r="19" spans="1:146" x14ac:dyDescent="0.3">
      <c r="A19" s="3">
        <v>18</v>
      </c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>
        <v>1</v>
      </c>
      <c r="Z19" s="3"/>
      <c r="AA19" s="3"/>
      <c r="AB19" s="3"/>
      <c r="AC19" s="3"/>
      <c r="AD19" s="3"/>
      <c r="AE19" s="3">
        <v>1</v>
      </c>
      <c r="AF19" s="3"/>
      <c r="AG19" s="3">
        <v>1</v>
      </c>
      <c r="AH19" s="3"/>
      <c r="AI19" s="3">
        <v>1</v>
      </c>
      <c r="AJ19" s="3"/>
      <c r="AK19" s="3"/>
      <c r="AL19" s="3">
        <v>1</v>
      </c>
      <c r="AM19" s="3"/>
      <c r="AN19" s="3"/>
      <c r="AO19" s="3"/>
      <c r="AP19" s="3">
        <v>1</v>
      </c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>
        <v>1</v>
      </c>
      <c r="BC19" s="3"/>
      <c r="BD19" s="3"/>
      <c r="BE19" s="3"/>
      <c r="BF19" s="3"/>
      <c r="BG19" s="3">
        <v>1</v>
      </c>
      <c r="BH19" s="3">
        <v>1</v>
      </c>
      <c r="BI19" s="3"/>
      <c r="BJ19" s="3"/>
      <c r="BK19" s="3">
        <v>1</v>
      </c>
      <c r="BL19" s="3"/>
      <c r="BM19" s="3"/>
      <c r="BN19" s="3">
        <v>1</v>
      </c>
      <c r="BO19" s="3"/>
      <c r="BP19" s="3"/>
      <c r="BQ19" s="3">
        <v>1</v>
      </c>
      <c r="BR19" s="3">
        <v>1</v>
      </c>
      <c r="BS19" s="3"/>
      <c r="BT19" s="3"/>
      <c r="BU19" s="3">
        <v>1</v>
      </c>
      <c r="BV19" s="3"/>
      <c r="BW19" s="3"/>
      <c r="BX19" s="3"/>
      <c r="BY19" s="3">
        <v>1</v>
      </c>
      <c r="BZ19" s="3"/>
      <c r="CA19" s="3"/>
      <c r="CB19" s="3"/>
      <c r="CC19" s="3">
        <v>1</v>
      </c>
      <c r="CD19" s="3"/>
      <c r="CE19" s="17">
        <v>1</v>
      </c>
      <c r="CF19" s="17"/>
      <c r="CG19" s="17"/>
      <c r="CH19" s="17"/>
      <c r="CI19" s="17"/>
      <c r="CJ19" s="17"/>
      <c r="CK19" s="17"/>
      <c r="CL19" s="17"/>
      <c r="CM19" s="17"/>
      <c r="CN19" s="17"/>
      <c r="CO19" s="17"/>
      <c r="CP19" s="17"/>
      <c r="CQ19" s="17"/>
      <c r="CR19" s="17"/>
      <c r="CS19" s="17"/>
      <c r="CT19" s="3"/>
      <c r="CU19" s="17"/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3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3"/>
      <c r="EA19" s="17"/>
      <c r="EB19" s="17"/>
      <c r="EC19" s="17"/>
      <c r="ED19" s="17"/>
      <c r="EE19" s="17"/>
      <c r="EF19" s="17"/>
      <c r="EG19" s="17"/>
      <c r="EH19" s="17"/>
      <c r="EI19" s="17"/>
      <c r="EJ19" s="17"/>
      <c r="EK19" s="17"/>
      <c r="EL19" s="17"/>
      <c r="EM19" s="17"/>
      <c r="EN19" s="17"/>
      <c r="EO19" s="17"/>
      <c r="EP19" s="3"/>
    </row>
    <row r="20" spans="1:146" x14ac:dyDescent="0.3">
      <c r="A20" s="3">
        <v>19</v>
      </c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>
        <v>1</v>
      </c>
      <c r="Z20" s="3"/>
      <c r="AA20" s="3"/>
      <c r="AB20" s="3"/>
      <c r="AC20" s="3"/>
      <c r="AD20" s="3"/>
      <c r="AE20" s="3">
        <v>1</v>
      </c>
      <c r="AF20" s="3"/>
      <c r="AG20" s="3">
        <v>1</v>
      </c>
      <c r="AH20" s="3"/>
      <c r="AI20" s="3">
        <v>1</v>
      </c>
      <c r="AJ20" s="3"/>
      <c r="AK20" s="3"/>
      <c r="AL20" s="3">
        <v>1</v>
      </c>
      <c r="AM20" s="3"/>
      <c r="AN20" s="3"/>
      <c r="AO20" s="3"/>
      <c r="AP20" s="3">
        <v>1</v>
      </c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>
        <v>1</v>
      </c>
      <c r="BC20" s="3"/>
      <c r="BD20" s="3"/>
      <c r="BE20" s="3"/>
      <c r="BF20" s="3"/>
      <c r="BG20" s="3">
        <v>1</v>
      </c>
      <c r="BH20" s="3"/>
      <c r="BI20" s="3"/>
      <c r="BJ20" s="3"/>
      <c r="BK20" s="3">
        <v>1</v>
      </c>
      <c r="BL20" s="3"/>
      <c r="BM20" s="3"/>
      <c r="BN20" s="3">
        <v>1</v>
      </c>
      <c r="BO20" s="3"/>
      <c r="BP20" s="3"/>
      <c r="BQ20" s="3"/>
      <c r="BR20" s="3">
        <v>1</v>
      </c>
      <c r="BS20" s="3"/>
      <c r="BT20" s="3"/>
      <c r="BU20" s="3">
        <v>1</v>
      </c>
      <c r="BV20" s="3">
        <v>1</v>
      </c>
      <c r="BW20" s="3">
        <v>1</v>
      </c>
      <c r="BX20" s="3">
        <v>1</v>
      </c>
      <c r="BY20" s="3">
        <v>1</v>
      </c>
      <c r="BZ20" s="3"/>
      <c r="CA20" s="3"/>
      <c r="CB20" s="3"/>
      <c r="CC20" s="3"/>
      <c r="CD20" s="3">
        <v>1</v>
      </c>
      <c r="CE20" s="17"/>
      <c r="CF20" s="17"/>
      <c r="CG20" s="17"/>
      <c r="CH20" s="17"/>
      <c r="CI20" s="17"/>
      <c r="CJ20" s="17"/>
      <c r="CK20" s="17"/>
      <c r="CL20" s="17"/>
      <c r="CM20" s="17"/>
      <c r="CN20" s="17"/>
      <c r="CO20" s="17"/>
      <c r="CP20" s="17"/>
      <c r="CQ20" s="17"/>
      <c r="CR20" s="17"/>
      <c r="CS20" s="17"/>
      <c r="CT20" s="3"/>
      <c r="CU20" s="17"/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3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3"/>
      <c r="EA20" s="17"/>
      <c r="EB20" s="17"/>
      <c r="EC20" s="17"/>
      <c r="ED20" s="17"/>
      <c r="EE20" s="17"/>
      <c r="EF20" s="17"/>
      <c r="EG20" s="17"/>
      <c r="EH20" s="17"/>
      <c r="EI20" s="17"/>
      <c r="EJ20" s="17"/>
      <c r="EK20" s="17"/>
      <c r="EL20" s="17"/>
      <c r="EM20" s="17"/>
      <c r="EN20" s="17"/>
      <c r="EO20" s="17"/>
      <c r="EP20" s="3"/>
    </row>
    <row r="21" spans="1:146" x14ac:dyDescent="0.3">
      <c r="A21" s="3">
        <v>20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14"/>
      <c r="Q21" s="6"/>
      <c r="R21" s="14"/>
      <c r="S21" s="14"/>
      <c r="T21" s="14"/>
      <c r="U21" s="6"/>
      <c r="V21" s="14"/>
      <c r="W21" s="14"/>
      <c r="X21" s="14"/>
      <c r="Y21" s="14">
        <v>1</v>
      </c>
      <c r="Z21" s="14"/>
      <c r="AA21" s="14"/>
      <c r="AB21" s="14"/>
      <c r="AC21" s="14"/>
      <c r="AD21" s="14"/>
      <c r="AE21" s="14">
        <v>1</v>
      </c>
      <c r="AF21" s="14"/>
      <c r="AG21" s="6"/>
      <c r="AH21" s="14">
        <v>1</v>
      </c>
      <c r="AI21" s="14">
        <v>1</v>
      </c>
      <c r="AJ21" s="14"/>
      <c r="AK21" s="14"/>
      <c r="AL21" s="14">
        <v>1</v>
      </c>
      <c r="AM21" s="14"/>
      <c r="AN21" s="14"/>
      <c r="AO21" s="14"/>
      <c r="AP21" s="14">
        <v>1</v>
      </c>
      <c r="AQ21" s="14"/>
      <c r="AR21" s="3"/>
      <c r="AS21" s="3"/>
      <c r="AT21" s="3"/>
      <c r="AU21" s="3"/>
      <c r="AV21" s="3"/>
      <c r="AW21" s="3"/>
      <c r="AX21" s="3"/>
      <c r="AY21" s="14"/>
      <c r="AZ21" s="14"/>
      <c r="BA21" s="14"/>
      <c r="BB21" s="14">
        <v>1</v>
      </c>
      <c r="BC21" s="14"/>
      <c r="BD21" s="14"/>
      <c r="BE21" s="14"/>
      <c r="BF21" s="14"/>
      <c r="BG21" s="14">
        <v>1</v>
      </c>
      <c r="BH21" s="14"/>
      <c r="BI21" s="14"/>
      <c r="BJ21" s="14"/>
      <c r="BK21" s="14">
        <v>1</v>
      </c>
      <c r="BL21" s="14"/>
      <c r="BM21" s="14"/>
      <c r="BN21" s="14">
        <v>1</v>
      </c>
      <c r="BO21" s="14"/>
      <c r="BP21" s="14"/>
      <c r="BQ21" s="14"/>
      <c r="BR21" s="14">
        <v>1</v>
      </c>
      <c r="BS21" s="14"/>
      <c r="BT21" s="14"/>
      <c r="BU21" s="14">
        <v>1</v>
      </c>
      <c r="BV21" s="14"/>
      <c r="BW21" s="14"/>
      <c r="BX21" s="14"/>
      <c r="BY21" s="14"/>
      <c r="BZ21" s="14"/>
      <c r="CA21" s="3"/>
      <c r="CB21" s="3"/>
      <c r="CC21" s="3"/>
      <c r="CD21" s="3">
        <v>1</v>
      </c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7"/>
      <c r="CP21" s="17"/>
      <c r="CQ21" s="17"/>
      <c r="CR21" s="17"/>
      <c r="CS21" s="17"/>
      <c r="CT21" s="3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3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3"/>
      <c r="EA21" s="17"/>
      <c r="EB21" s="17"/>
      <c r="EC21" s="17"/>
      <c r="ED21" s="17"/>
      <c r="EE21" s="17"/>
      <c r="EF21" s="17"/>
      <c r="EG21" s="17"/>
      <c r="EH21" s="17"/>
      <c r="EI21" s="17"/>
      <c r="EJ21" s="17"/>
      <c r="EK21" s="17"/>
      <c r="EL21" s="17"/>
      <c r="EM21" s="17"/>
      <c r="EN21" s="17"/>
      <c r="EO21" s="17"/>
      <c r="EP21" s="3"/>
    </row>
    <row r="22" spans="1:146" x14ac:dyDescent="0.3">
      <c r="A22" s="3">
        <v>21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4"/>
      <c r="Q22" s="6"/>
      <c r="R22" s="6"/>
      <c r="S22" s="14"/>
      <c r="T22" s="6"/>
      <c r="U22" s="6"/>
      <c r="V22" s="14"/>
      <c r="W22" s="14"/>
      <c r="X22" s="14"/>
      <c r="Y22" s="14">
        <v>1</v>
      </c>
      <c r="Z22" s="14"/>
      <c r="AA22" s="14"/>
      <c r="AB22" s="14"/>
      <c r="AC22" s="14"/>
      <c r="AD22" s="14"/>
      <c r="AE22" s="14">
        <v>1</v>
      </c>
      <c r="AF22" s="14"/>
      <c r="AG22" s="14"/>
      <c r="AH22" s="14">
        <v>1</v>
      </c>
      <c r="AI22" s="14">
        <v>1</v>
      </c>
      <c r="AJ22" s="14"/>
      <c r="AK22" s="14"/>
      <c r="AL22" s="14">
        <v>1</v>
      </c>
      <c r="AM22" s="14"/>
      <c r="AN22" s="14"/>
      <c r="AO22" s="14"/>
      <c r="AP22" s="14">
        <v>1</v>
      </c>
      <c r="AQ22" s="14"/>
      <c r="AR22" s="3"/>
      <c r="AS22" s="3"/>
      <c r="AT22" s="3"/>
      <c r="AU22" s="3"/>
      <c r="AV22" s="3"/>
      <c r="AW22" s="3"/>
      <c r="AX22" s="3"/>
      <c r="AY22" s="14"/>
      <c r="AZ22" s="14"/>
      <c r="BA22" s="14"/>
      <c r="BB22" s="14">
        <v>1</v>
      </c>
      <c r="BC22" s="14"/>
      <c r="BD22" s="14"/>
      <c r="BE22" s="14"/>
      <c r="BF22" s="14"/>
      <c r="BG22" s="14">
        <v>1</v>
      </c>
      <c r="BH22" s="14"/>
      <c r="BI22" s="14"/>
      <c r="BJ22" s="14"/>
      <c r="BK22" s="14">
        <v>1</v>
      </c>
      <c r="BL22" s="14"/>
      <c r="BM22" s="14"/>
      <c r="BN22" s="14">
        <v>1</v>
      </c>
      <c r="BO22" s="14"/>
      <c r="BP22" s="14"/>
      <c r="BQ22" s="14">
        <v>1</v>
      </c>
      <c r="BR22" s="14">
        <v>1</v>
      </c>
      <c r="BS22" s="14"/>
      <c r="BT22" s="14"/>
      <c r="BU22" s="14">
        <v>1</v>
      </c>
      <c r="BV22" s="14"/>
      <c r="BW22" s="14"/>
      <c r="BX22" s="14"/>
      <c r="BY22" s="14">
        <v>1</v>
      </c>
      <c r="BZ22" s="14"/>
      <c r="CA22" s="3"/>
      <c r="CB22" s="3"/>
      <c r="CC22" s="3">
        <v>1</v>
      </c>
      <c r="CD22" s="3"/>
      <c r="CE22" s="17">
        <v>1</v>
      </c>
      <c r="CF22" s="17"/>
      <c r="CG22" s="17"/>
      <c r="CH22" s="17"/>
      <c r="CI22" s="17"/>
      <c r="CJ22" s="17"/>
      <c r="CK22" s="17"/>
      <c r="CL22" s="17"/>
      <c r="CM22" s="17"/>
      <c r="CN22" s="17"/>
      <c r="CO22" s="17"/>
      <c r="CP22" s="17"/>
      <c r="CQ22" s="17"/>
      <c r="CR22" s="17"/>
      <c r="CS22" s="17"/>
      <c r="CT22" s="3"/>
      <c r="CU22" s="17"/>
      <c r="CV22" s="17"/>
      <c r="CW22" s="17"/>
      <c r="CX22" s="17"/>
      <c r="CY22" s="17"/>
      <c r="CZ22" s="17"/>
      <c r="DA22" s="17"/>
      <c r="DB22" s="17"/>
      <c r="DC22" s="17"/>
      <c r="DD22" s="17"/>
      <c r="DE22" s="17"/>
      <c r="DF22" s="17"/>
      <c r="DG22" s="17"/>
      <c r="DH22" s="17"/>
      <c r="DI22" s="17"/>
      <c r="DJ22" s="3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3"/>
      <c r="EA22" s="17"/>
      <c r="EB22" s="17"/>
      <c r="EC22" s="17"/>
      <c r="ED22" s="17"/>
      <c r="EE22" s="17"/>
      <c r="EF22" s="17"/>
      <c r="EG22" s="17"/>
      <c r="EH22" s="17"/>
      <c r="EI22" s="17"/>
      <c r="EJ22" s="17"/>
      <c r="EK22" s="17"/>
      <c r="EL22" s="17"/>
      <c r="EM22" s="17"/>
      <c r="EN22" s="17"/>
      <c r="EO22" s="17"/>
      <c r="EP22" s="3"/>
    </row>
    <row r="23" spans="1:146" x14ac:dyDescent="0.3">
      <c r="A23" s="3">
        <v>22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14"/>
      <c r="Q23" s="6"/>
      <c r="R23" s="6"/>
      <c r="S23" s="14"/>
      <c r="T23" s="6"/>
      <c r="U23" s="6"/>
      <c r="V23" s="14"/>
      <c r="W23" s="14"/>
      <c r="X23" s="14"/>
      <c r="Y23" s="3">
        <v>1</v>
      </c>
      <c r="Z23" s="6"/>
      <c r="AA23" s="6"/>
      <c r="AB23" s="14"/>
      <c r="AC23" s="14"/>
      <c r="AD23" s="14"/>
      <c r="AE23" s="6">
        <v>1</v>
      </c>
      <c r="AF23" s="6"/>
      <c r="AG23" s="6"/>
      <c r="AH23" s="14"/>
      <c r="AI23" s="14">
        <v>1</v>
      </c>
      <c r="AJ23" s="14"/>
      <c r="AK23" s="14"/>
      <c r="AL23" s="6"/>
      <c r="AM23" s="14">
        <v>1</v>
      </c>
      <c r="AN23" s="6">
        <v>1</v>
      </c>
      <c r="AO23" s="6">
        <v>1</v>
      </c>
      <c r="AP23" s="14"/>
      <c r="AQ23" s="14"/>
      <c r="AR23" s="3"/>
      <c r="AS23" s="3"/>
      <c r="AT23" s="3"/>
      <c r="AU23" s="3"/>
      <c r="AV23" s="3"/>
      <c r="AW23" s="3"/>
      <c r="AX23" s="3"/>
      <c r="AY23" s="14"/>
      <c r="AZ23" s="6"/>
      <c r="BA23" s="6"/>
      <c r="BB23" s="6">
        <v>1</v>
      </c>
      <c r="BC23" s="6"/>
      <c r="BD23" s="14"/>
      <c r="BE23" s="14"/>
      <c r="BF23" s="14"/>
      <c r="BG23" s="14">
        <v>1</v>
      </c>
      <c r="BH23" s="6"/>
      <c r="BI23" s="6"/>
      <c r="BJ23" s="6"/>
      <c r="BK23" s="14">
        <v>1</v>
      </c>
      <c r="BL23" s="14"/>
      <c r="BM23" s="14"/>
      <c r="BN23" s="6"/>
      <c r="BO23" s="14">
        <v>1</v>
      </c>
      <c r="BP23" s="6">
        <v>1</v>
      </c>
      <c r="BQ23" s="6"/>
      <c r="BR23" s="14">
        <v>1</v>
      </c>
      <c r="BS23" s="14"/>
      <c r="BT23" s="14"/>
      <c r="BU23" s="6"/>
      <c r="BV23" s="14">
        <v>1</v>
      </c>
      <c r="BW23" s="14">
        <v>1</v>
      </c>
      <c r="BX23" s="14">
        <v>1</v>
      </c>
      <c r="BY23" s="6"/>
      <c r="BZ23" s="14"/>
      <c r="CA23" s="3"/>
      <c r="CB23" s="3">
        <v>1</v>
      </c>
      <c r="CC23" s="3"/>
      <c r="CD23" s="3"/>
      <c r="CE23" s="17"/>
      <c r="CF23" s="17">
        <v>1</v>
      </c>
      <c r="CG23" s="17"/>
      <c r="CH23" s="17"/>
      <c r="CI23" s="17"/>
      <c r="CJ23" s="17"/>
      <c r="CK23" s="17"/>
      <c r="CL23" s="17"/>
      <c r="CM23" s="17"/>
      <c r="CN23" s="17"/>
      <c r="CO23" s="17"/>
      <c r="CP23" s="17"/>
      <c r="CQ23" s="17"/>
      <c r="CR23" s="17"/>
      <c r="CS23" s="17"/>
      <c r="CT23" s="3"/>
      <c r="CU23" s="17"/>
      <c r="CV23" s="17"/>
      <c r="CW23" s="17"/>
      <c r="CX23" s="17"/>
      <c r="CY23" s="17"/>
      <c r="CZ23" s="17"/>
      <c r="DA23" s="17"/>
      <c r="DB23" s="17"/>
      <c r="DC23" s="17"/>
      <c r="DD23" s="17"/>
      <c r="DE23" s="17"/>
      <c r="DF23" s="17"/>
      <c r="DG23" s="17"/>
      <c r="DH23" s="17"/>
      <c r="DI23" s="17"/>
      <c r="DJ23" s="3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3"/>
      <c r="EA23" s="17"/>
      <c r="EB23" s="17"/>
      <c r="EC23" s="17"/>
      <c r="ED23" s="17"/>
      <c r="EE23" s="17"/>
      <c r="EF23" s="17"/>
      <c r="EG23" s="17"/>
      <c r="EH23" s="17"/>
      <c r="EI23" s="17"/>
      <c r="EJ23" s="17"/>
      <c r="EK23" s="17"/>
      <c r="EL23" s="17"/>
      <c r="EM23" s="17"/>
      <c r="EN23" s="17"/>
      <c r="EO23" s="17"/>
      <c r="EP23" s="3"/>
    </row>
    <row r="24" spans="1:146" x14ac:dyDescent="0.3">
      <c r="A24" s="3">
        <v>23</v>
      </c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14"/>
      <c r="Q24" s="6"/>
      <c r="R24" s="14"/>
      <c r="S24" s="6"/>
      <c r="T24" s="14"/>
      <c r="U24" s="6"/>
      <c r="V24" s="14"/>
      <c r="W24" s="14"/>
      <c r="X24" s="6"/>
      <c r="Y24" s="14">
        <v>1</v>
      </c>
      <c r="Z24" s="14"/>
      <c r="AA24" s="14"/>
      <c r="AB24" s="6"/>
      <c r="AC24" s="14"/>
      <c r="AD24" s="14"/>
      <c r="AE24" s="14"/>
      <c r="AF24" s="14"/>
      <c r="AG24" s="6"/>
      <c r="AH24" s="14"/>
      <c r="AI24" s="14"/>
      <c r="AJ24" s="14"/>
      <c r="AK24" s="14"/>
      <c r="AL24" s="6"/>
      <c r="AM24" s="6"/>
      <c r="AN24" s="14"/>
      <c r="AO24" s="14"/>
      <c r="AP24" s="6"/>
      <c r="AQ24" s="14"/>
      <c r="AR24" s="3"/>
      <c r="AS24" s="3"/>
      <c r="AT24" s="3"/>
      <c r="AU24" s="3"/>
      <c r="AV24" s="3"/>
      <c r="AW24" s="3"/>
      <c r="AX24" s="3"/>
      <c r="AY24" s="14"/>
      <c r="AZ24" s="6"/>
      <c r="BA24" s="14"/>
      <c r="BB24" s="6"/>
      <c r="BC24" s="14"/>
      <c r="BD24" s="6"/>
      <c r="BE24" s="14"/>
      <c r="BF24" s="14"/>
      <c r="BG24" s="6"/>
      <c r="BH24" s="14"/>
      <c r="BI24" s="14"/>
      <c r="BJ24" s="14"/>
      <c r="BK24" s="6"/>
      <c r="BL24" s="14"/>
      <c r="BM24" s="14"/>
      <c r="BN24" s="6"/>
      <c r="BO24" s="6"/>
      <c r="BP24" s="14"/>
      <c r="BQ24" s="14"/>
      <c r="BR24" s="6"/>
      <c r="BS24" s="14"/>
      <c r="BT24" s="14"/>
      <c r="BU24" s="6"/>
      <c r="BV24" s="14"/>
      <c r="BW24" s="14"/>
      <c r="BX24" s="14"/>
      <c r="BY24" s="6"/>
      <c r="BZ24" s="14"/>
      <c r="CA24" s="3"/>
      <c r="CB24" s="3"/>
      <c r="CC24" s="3"/>
      <c r="CD24" s="3"/>
      <c r="CE24" s="17"/>
      <c r="CF24" s="17"/>
      <c r="CG24" s="17"/>
      <c r="CH24" s="17"/>
      <c r="CI24" s="17"/>
      <c r="CJ24" s="17"/>
      <c r="CK24" s="17"/>
      <c r="CL24" s="17"/>
      <c r="CM24" s="17"/>
      <c r="CN24" s="17"/>
      <c r="CO24" s="17"/>
      <c r="CP24" s="17"/>
      <c r="CQ24" s="17"/>
      <c r="CR24" s="17"/>
      <c r="CS24" s="17"/>
      <c r="CT24" s="3"/>
      <c r="CU24" s="17"/>
      <c r="CV24" s="17"/>
      <c r="CW24" s="17"/>
      <c r="CX24" s="17"/>
      <c r="CY24" s="17"/>
      <c r="CZ24" s="17"/>
      <c r="DA24" s="17"/>
      <c r="DB24" s="17"/>
      <c r="DC24" s="17"/>
      <c r="DD24" s="17"/>
      <c r="DE24" s="17"/>
      <c r="DF24" s="17"/>
      <c r="DG24" s="17"/>
      <c r="DH24" s="17"/>
      <c r="DI24" s="17"/>
      <c r="DJ24" s="3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3"/>
      <c r="EA24" s="17"/>
      <c r="EB24" s="17"/>
      <c r="EC24" s="17"/>
      <c r="ED24" s="17"/>
      <c r="EE24" s="17"/>
      <c r="EF24" s="17"/>
      <c r="EG24" s="17"/>
      <c r="EH24" s="17"/>
      <c r="EI24" s="17"/>
      <c r="EJ24" s="17"/>
      <c r="EK24" s="17"/>
      <c r="EL24" s="17"/>
      <c r="EM24" s="17"/>
      <c r="EN24" s="17"/>
      <c r="EO24" s="17"/>
      <c r="EP24" s="3"/>
    </row>
    <row r="25" spans="1:146" x14ac:dyDescent="0.3">
      <c r="A25" s="3">
        <v>24</v>
      </c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14"/>
      <c r="Q25" s="6"/>
      <c r="R25" s="14"/>
      <c r="S25" s="14"/>
      <c r="T25" s="14"/>
      <c r="U25" s="6"/>
      <c r="V25" s="14"/>
      <c r="W25" s="14"/>
      <c r="X25" s="14"/>
      <c r="Y25" s="14">
        <v>1</v>
      </c>
      <c r="Z25" s="6"/>
      <c r="AA25" s="6"/>
      <c r="AB25" s="6"/>
      <c r="AC25" s="14"/>
      <c r="AD25" s="14"/>
      <c r="AE25" s="14"/>
      <c r="AF25" s="14"/>
      <c r="AG25" s="6"/>
      <c r="AH25" s="14"/>
      <c r="AI25" s="14"/>
      <c r="AJ25" s="14"/>
      <c r="AK25" s="14"/>
      <c r="AL25" s="6"/>
      <c r="AM25" s="14"/>
      <c r="AN25" s="14"/>
      <c r="AO25" s="14"/>
      <c r="AP25" s="6"/>
      <c r="AQ25" s="14"/>
      <c r="AR25" s="3"/>
      <c r="AS25" s="3"/>
      <c r="AT25" s="3"/>
      <c r="AU25" s="3"/>
      <c r="AV25" s="3"/>
      <c r="AW25" s="3"/>
      <c r="AX25" s="3"/>
      <c r="AY25" s="14"/>
      <c r="AZ25" s="6"/>
      <c r="BA25" s="14"/>
      <c r="BB25" s="6"/>
      <c r="BC25" s="14"/>
      <c r="BD25" s="6"/>
      <c r="BE25" s="14"/>
      <c r="BF25" s="14"/>
      <c r="BG25" s="6"/>
      <c r="BH25" s="6"/>
      <c r="BI25" s="6"/>
      <c r="BJ25" s="6"/>
      <c r="BK25" s="6"/>
      <c r="BL25" s="14"/>
      <c r="BM25" s="14"/>
      <c r="BN25" s="6"/>
      <c r="BO25" s="14"/>
      <c r="BP25" s="14"/>
      <c r="BQ25" s="14"/>
      <c r="BR25" s="6"/>
      <c r="BS25" s="14"/>
      <c r="BT25" s="14"/>
      <c r="BU25" s="6"/>
      <c r="BV25" s="14"/>
      <c r="BW25" s="14"/>
      <c r="BX25" s="14"/>
      <c r="BY25" s="6"/>
      <c r="BZ25" s="14"/>
      <c r="CA25" s="3"/>
      <c r="CB25" s="3"/>
      <c r="CC25" s="3"/>
      <c r="CD25" s="3"/>
      <c r="CE25" s="17"/>
      <c r="CF25" s="17"/>
      <c r="CG25" s="17"/>
      <c r="CH25" s="17"/>
      <c r="CI25" s="17"/>
      <c r="CJ25" s="17"/>
      <c r="CK25" s="17"/>
      <c r="CL25" s="17"/>
      <c r="CM25" s="17"/>
      <c r="CN25" s="17"/>
      <c r="CO25" s="17"/>
      <c r="CP25" s="17"/>
      <c r="CQ25" s="17"/>
      <c r="CR25" s="17"/>
      <c r="CS25" s="17"/>
      <c r="CT25" s="3"/>
      <c r="CU25" s="17"/>
      <c r="CV25" s="17"/>
      <c r="CW25" s="17"/>
      <c r="CX25" s="17"/>
      <c r="CY25" s="17"/>
      <c r="CZ25" s="17"/>
      <c r="DA25" s="17"/>
      <c r="DB25" s="17"/>
      <c r="DC25" s="17"/>
      <c r="DD25" s="17"/>
      <c r="DE25" s="17"/>
      <c r="DF25" s="17"/>
      <c r="DG25" s="17"/>
      <c r="DH25" s="17"/>
      <c r="DI25" s="17"/>
      <c r="DJ25" s="3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3"/>
      <c r="EA25" s="17"/>
      <c r="EB25" s="17"/>
      <c r="EC25" s="17"/>
      <c r="ED25" s="17"/>
      <c r="EE25" s="17"/>
      <c r="EF25" s="17"/>
      <c r="EG25" s="17"/>
      <c r="EH25" s="17"/>
      <c r="EI25" s="17"/>
      <c r="EJ25" s="17"/>
      <c r="EK25" s="17"/>
      <c r="EL25" s="17"/>
      <c r="EM25" s="17"/>
      <c r="EN25" s="17"/>
      <c r="EO25" s="17"/>
      <c r="EP25" s="3"/>
    </row>
    <row r="26" spans="1:146" x14ac:dyDescent="0.3">
      <c r="A26" s="3">
        <v>25</v>
      </c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14"/>
      <c r="Q26" s="6"/>
      <c r="R26" s="14"/>
      <c r="S26" s="14"/>
      <c r="T26" s="14"/>
      <c r="U26" s="6"/>
      <c r="V26" s="14"/>
      <c r="W26" s="14"/>
      <c r="X26" s="6"/>
      <c r="Y26" s="14">
        <v>1</v>
      </c>
      <c r="Z26" s="14"/>
      <c r="AA26" s="14"/>
      <c r="AB26" s="6"/>
      <c r="AC26" s="14"/>
      <c r="AD26" s="14"/>
      <c r="AE26" s="14"/>
      <c r="AF26" s="14"/>
      <c r="AG26" s="6"/>
      <c r="AH26" s="14"/>
      <c r="AI26" s="14"/>
      <c r="AJ26" s="14"/>
      <c r="AK26" s="14"/>
      <c r="AL26" s="6"/>
      <c r="AM26" s="14"/>
      <c r="AN26" s="14"/>
      <c r="AO26" s="14"/>
      <c r="AP26" s="6"/>
      <c r="AQ26" s="14"/>
      <c r="AR26" s="3"/>
      <c r="AS26" s="3"/>
      <c r="AT26" s="3"/>
      <c r="AU26" s="3"/>
      <c r="AV26" s="3"/>
      <c r="AW26" s="3"/>
      <c r="AX26" s="3"/>
      <c r="AY26" s="14"/>
      <c r="AZ26" s="6"/>
      <c r="BA26" s="14"/>
      <c r="BB26" s="6"/>
      <c r="BC26" s="14"/>
      <c r="BD26" s="6"/>
      <c r="BE26" s="14"/>
      <c r="BF26" s="14"/>
      <c r="BG26" s="6"/>
      <c r="BH26" s="14"/>
      <c r="BI26" s="14"/>
      <c r="BJ26" s="14"/>
      <c r="BK26" s="14"/>
      <c r="BL26" s="14"/>
      <c r="BM26" s="14"/>
      <c r="BN26" s="6"/>
      <c r="BO26" s="14"/>
      <c r="BP26" s="14"/>
      <c r="BQ26" s="14"/>
      <c r="BR26" s="6"/>
      <c r="BS26" s="14"/>
      <c r="BT26" s="14"/>
      <c r="BU26" s="6"/>
      <c r="BV26" s="14"/>
      <c r="BW26" s="14"/>
      <c r="BX26" s="14"/>
      <c r="BY26" s="6"/>
      <c r="BZ26" s="14"/>
      <c r="CA26" s="3"/>
      <c r="CB26" s="3"/>
      <c r="CC26" s="3"/>
      <c r="CD26" s="3"/>
      <c r="CE26" s="17"/>
      <c r="CF26" s="17"/>
      <c r="CG26" s="17"/>
      <c r="CH26" s="17"/>
      <c r="CI26" s="17"/>
      <c r="CJ26" s="17"/>
      <c r="CK26" s="17"/>
      <c r="CL26" s="17"/>
      <c r="CM26" s="17"/>
      <c r="CN26" s="17"/>
      <c r="CO26" s="17"/>
      <c r="CP26" s="17"/>
      <c r="CQ26" s="17"/>
      <c r="CR26" s="17"/>
      <c r="CS26" s="17"/>
      <c r="CT26" s="3"/>
      <c r="CU26" s="17"/>
      <c r="CV26" s="17"/>
      <c r="CW26" s="17"/>
      <c r="CX26" s="17"/>
      <c r="CY26" s="17"/>
      <c r="CZ26" s="17"/>
      <c r="DA26" s="17"/>
      <c r="DB26" s="17"/>
      <c r="DC26" s="17"/>
      <c r="DD26" s="17"/>
      <c r="DE26" s="17"/>
      <c r="DF26" s="17"/>
      <c r="DG26" s="17"/>
      <c r="DH26" s="17"/>
      <c r="DI26" s="17"/>
      <c r="DJ26" s="3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3"/>
      <c r="EA26" s="17"/>
      <c r="EB26" s="17"/>
      <c r="EC26" s="17"/>
      <c r="ED26" s="17"/>
      <c r="EE26" s="17"/>
      <c r="EF26" s="17"/>
      <c r="EG26" s="17"/>
      <c r="EH26" s="17"/>
      <c r="EI26" s="17"/>
      <c r="EJ26" s="17"/>
      <c r="EK26" s="17"/>
      <c r="EL26" s="17"/>
      <c r="EM26" s="17"/>
      <c r="EN26" s="17"/>
      <c r="EO26" s="17"/>
      <c r="EP26" s="3"/>
    </row>
    <row r="27" spans="1:146" x14ac:dyDescent="0.3">
      <c r="A27" s="3">
        <v>26</v>
      </c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14"/>
      <c r="Q27" s="6"/>
      <c r="R27" s="14"/>
      <c r="S27" s="14"/>
      <c r="T27" s="14"/>
      <c r="U27" s="6"/>
      <c r="V27" s="14"/>
      <c r="W27" s="14"/>
      <c r="X27" s="6"/>
      <c r="Y27" s="14">
        <v>1</v>
      </c>
      <c r="Z27" s="14"/>
      <c r="AA27" s="6"/>
      <c r="AB27" s="6"/>
      <c r="AC27" s="14"/>
      <c r="AD27" s="14"/>
      <c r="AE27" s="14"/>
      <c r="AF27" s="14"/>
      <c r="AG27" s="6"/>
      <c r="AH27" s="14"/>
      <c r="AI27" s="14"/>
      <c r="AJ27" s="14"/>
      <c r="AK27" s="14"/>
      <c r="AL27" s="6"/>
      <c r="AM27" s="14"/>
      <c r="AN27" s="14"/>
      <c r="AO27" s="14"/>
      <c r="AP27" s="6"/>
      <c r="AQ27" s="14"/>
      <c r="AR27" s="3"/>
      <c r="AS27" s="3"/>
      <c r="AT27" s="3"/>
      <c r="AU27" s="3"/>
      <c r="AV27" s="3"/>
      <c r="AW27" s="3"/>
      <c r="AX27" s="3"/>
      <c r="AY27" s="14"/>
      <c r="AZ27" s="6"/>
      <c r="BA27" s="14"/>
      <c r="BB27" s="6"/>
      <c r="BC27" s="14"/>
      <c r="BD27" s="6"/>
      <c r="BE27" s="14"/>
      <c r="BF27" s="14"/>
      <c r="BG27" s="6"/>
      <c r="BH27" s="14"/>
      <c r="BI27" s="14"/>
      <c r="BJ27" s="14"/>
      <c r="BK27" s="6"/>
      <c r="BL27" s="14"/>
      <c r="BM27" s="14"/>
      <c r="BN27" s="6"/>
      <c r="BO27" s="14"/>
      <c r="BP27" s="14"/>
      <c r="BQ27" s="14"/>
      <c r="BR27" s="6"/>
      <c r="BS27" s="14"/>
      <c r="BT27" s="14"/>
      <c r="BU27" s="6"/>
      <c r="BV27" s="14"/>
      <c r="BW27" s="14"/>
      <c r="BX27" s="6"/>
      <c r="BY27" s="6"/>
      <c r="BZ27" s="14"/>
      <c r="CA27" s="3"/>
      <c r="CB27" s="3"/>
      <c r="CC27" s="3"/>
      <c r="CD27" s="3"/>
      <c r="CE27" s="17"/>
      <c r="CF27" s="17"/>
      <c r="CG27" s="17"/>
      <c r="CH27" s="17"/>
      <c r="CI27" s="17"/>
      <c r="CJ27" s="17"/>
      <c r="CK27" s="17"/>
      <c r="CL27" s="17"/>
      <c r="CM27" s="17"/>
      <c r="CN27" s="17"/>
      <c r="CO27" s="17"/>
      <c r="CP27" s="17"/>
      <c r="CQ27" s="17"/>
      <c r="CR27" s="17"/>
      <c r="CS27" s="17"/>
      <c r="CT27" s="3"/>
      <c r="CU27" s="17"/>
      <c r="CV27" s="17"/>
      <c r="CW27" s="17"/>
      <c r="CX27" s="17"/>
      <c r="CY27" s="17"/>
      <c r="CZ27" s="17"/>
      <c r="DA27" s="17"/>
      <c r="DB27" s="17"/>
      <c r="DC27" s="17"/>
      <c r="DD27" s="17"/>
      <c r="DE27" s="17"/>
      <c r="DF27" s="17"/>
      <c r="DG27" s="17"/>
      <c r="DH27" s="17"/>
      <c r="DI27" s="17"/>
      <c r="DJ27" s="3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3"/>
      <c r="EA27" s="17"/>
      <c r="EB27" s="17"/>
      <c r="EC27" s="17"/>
      <c r="ED27" s="17"/>
      <c r="EE27" s="17"/>
      <c r="EF27" s="17"/>
      <c r="EG27" s="17"/>
      <c r="EH27" s="17"/>
      <c r="EI27" s="17"/>
      <c r="EJ27" s="17"/>
      <c r="EK27" s="17"/>
      <c r="EL27" s="17"/>
      <c r="EM27" s="17"/>
      <c r="EN27" s="17"/>
      <c r="EO27" s="17"/>
      <c r="EP27" s="3"/>
    </row>
    <row r="28" spans="1:146" x14ac:dyDescent="0.3">
      <c r="A28" s="3">
        <v>27</v>
      </c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14"/>
      <c r="Q28" s="6"/>
      <c r="R28" s="14"/>
      <c r="S28" s="14"/>
      <c r="T28" s="14"/>
      <c r="U28" s="6"/>
      <c r="V28" s="14"/>
      <c r="W28" s="14"/>
      <c r="X28" s="14"/>
      <c r="Y28" s="14">
        <v>1</v>
      </c>
      <c r="Z28" s="14">
        <v>1</v>
      </c>
      <c r="AA28" s="14">
        <v>1</v>
      </c>
      <c r="AB28" s="14">
        <v>1</v>
      </c>
      <c r="AC28" s="14">
        <v>1</v>
      </c>
      <c r="AD28" s="14">
        <v>1</v>
      </c>
      <c r="AE28" s="14">
        <v>1</v>
      </c>
      <c r="AF28" s="14">
        <v>1</v>
      </c>
      <c r="AG28" s="14">
        <v>1</v>
      </c>
      <c r="AH28" s="14">
        <v>1</v>
      </c>
      <c r="AI28" s="14">
        <v>1</v>
      </c>
      <c r="AJ28" s="14">
        <v>1</v>
      </c>
      <c r="AK28" s="14">
        <v>1</v>
      </c>
      <c r="AL28" s="14">
        <v>1</v>
      </c>
      <c r="AM28" s="14">
        <v>1</v>
      </c>
      <c r="AN28" s="14">
        <v>1</v>
      </c>
      <c r="AO28" s="14">
        <v>1</v>
      </c>
      <c r="AP28" s="14">
        <v>1</v>
      </c>
      <c r="AQ28" s="14">
        <v>1</v>
      </c>
      <c r="AR28" s="14">
        <v>1</v>
      </c>
      <c r="AS28" s="14">
        <v>1</v>
      </c>
      <c r="AT28" s="14">
        <v>1</v>
      </c>
      <c r="AU28" s="3"/>
      <c r="AV28" s="3"/>
      <c r="AW28" s="3"/>
      <c r="AX28" s="3"/>
      <c r="AY28" s="14"/>
      <c r="AZ28" s="6"/>
      <c r="BA28" s="14"/>
      <c r="BB28" s="6"/>
      <c r="BC28" s="14"/>
      <c r="BD28" s="6"/>
      <c r="BE28" s="14"/>
      <c r="BF28" s="14"/>
      <c r="BG28" s="14"/>
      <c r="BH28" s="6"/>
      <c r="BI28" s="6"/>
      <c r="BJ28" s="6"/>
      <c r="BK28" s="14"/>
      <c r="BL28" s="14"/>
      <c r="BM28" s="14"/>
      <c r="BN28" s="6"/>
      <c r="BO28" s="14"/>
      <c r="BP28" s="14"/>
      <c r="BQ28" s="14"/>
      <c r="BR28" s="6"/>
      <c r="BS28" s="14"/>
      <c r="BT28" s="14"/>
      <c r="BU28" s="14"/>
      <c r="BV28" s="6"/>
      <c r="BW28" s="6"/>
      <c r="BX28" s="14"/>
      <c r="BY28" s="6"/>
      <c r="BZ28" s="14"/>
      <c r="CA28" s="3"/>
      <c r="CB28" s="3"/>
      <c r="CC28" s="3"/>
      <c r="CD28" s="3"/>
      <c r="CE28" s="17"/>
      <c r="CF28" s="17"/>
      <c r="CG28" s="17"/>
      <c r="CH28" s="17"/>
      <c r="CI28" s="17"/>
      <c r="CJ28" s="17"/>
      <c r="CK28" s="17"/>
      <c r="CL28" s="17"/>
      <c r="CM28" s="17"/>
      <c r="CN28" s="17"/>
      <c r="CO28" s="17"/>
      <c r="CP28" s="17"/>
      <c r="CQ28" s="17"/>
      <c r="CR28" s="17"/>
      <c r="CS28" s="17"/>
      <c r="CT28" s="3"/>
      <c r="CU28" s="17"/>
      <c r="CV28" s="17"/>
      <c r="CW28" s="17"/>
      <c r="CX28" s="17"/>
      <c r="CY28" s="17"/>
      <c r="CZ28" s="17"/>
      <c r="DA28" s="17"/>
      <c r="DB28" s="17"/>
      <c r="DC28" s="17"/>
      <c r="DD28" s="17"/>
      <c r="DE28" s="17"/>
      <c r="DF28" s="17"/>
      <c r="DG28" s="17"/>
      <c r="DH28" s="17"/>
      <c r="DI28" s="17"/>
      <c r="DJ28" s="3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3"/>
      <c r="EA28" s="17"/>
      <c r="EB28" s="17"/>
      <c r="EC28" s="17"/>
      <c r="ED28" s="17"/>
      <c r="EE28" s="17"/>
      <c r="EF28" s="17"/>
      <c r="EG28" s="17"/>
      <c r="EH28" s="17"/>
      <c r="EI28" s="17"/>
      <c r="EJ28" s="17"/>
      <c r="EK28" s="17"/>
      <c r="EL28" s="17"/>
      <c r="EM28" s="17"/>
      <c r="EN28" s="17"/>
      <c r="EO28" s="17"/>
      <c r="EP28" s="3"/>
    </row>
    <row r="29" spans="1:146" x14ac:dyDescent="0.3">
      <c r="A29" s="3">
        <v>28</v>
      </c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3"/>
      <c r="AS29" s="3"/>
      <c r="AT29" s="3"/>
      <c r="AU29" s="3"/>
      <c r="AV29" s="3"/>
      <c r="AW29" s="3"/>
      <c r="AX29" s="3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3"/>
      <c r="CB29" s="3"/>
      <c r="CC29" s="3"/>
      <c r="CD29" s="3"/>
      <c r="CE29" s="17"/>
      <c r="CF29" s="17"/>
      <c r="CG29" s="17"/>
      <c r="CH29" s="17"/>
      <c r="CI29" s="17"/>
      <c r="CJ29" s="17"/>
      <c r="CK29" s="17"/>
      <c r="CL29" s="17"/>
      <c r="CM29" s="17"/>
      <c r="CN29" s="17"/>
      <c r="CO29" s="17"/>
      <c r="CP29" s="17"/>
      <c r="CQ29" s="17"/>
      <c r="CR29" s="17"/>
      <c r="CS29" s="17"/>
      <c r="CT29" s="3"/>
      <c r="CU29" s="17"/>
      <c r="CV29" s="17"/>
      <c r="CW29" s="17"/>
      <c r="CX29" s="17"/>
      <c r="CY29" s="17"/>
      <c r="CZ29" s="17"/>
      <c r="DA29" s="17"/>
      <c r="DB29" s="17"/>
      <c r="DC29" s="17"/>
      <c r="DD29" s="17"/>
      <c r="DE29" s="17"/>
      <c r="DF29" s="17"/>
      <c r="DG29" s="17"/>
      <c r="DH29" s="17"/>
      <c r="DI29" s="17"/>
      <c r="DJ29" s="3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3"/>
      <c r="EA29" s="17"/>
      <c r="EB29" s="17"/>
      <c r="EC29" s="17"/>
      <c r="ED29" s="17"/>
      <c r="EE29" s="17"/>
      <c r="EF29" s="17"/>
      <c r="EG29" s="17"/>
      <c r="EH29" s="17"/>
      <c r="EI29" s="17"/>
      <c r="EJ29" s="17"/>
      <c r="EK29" s="17"/>
      <c r="EL29" s="17"/>
      <c r="EM29" s="17"/>
      <c r="EN29" s="17"/>
      <c r="EO29" s="17"/>
      <c r="EP29" s="3"/>
    </row>
    <row r="30" spans="1:146" x14ac:dyDescent="0.3">
      <c r="A30" s="3">
        <v>29</v>
      </c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3"/>
      <c r="AS30" s="3"/>
      <c r="AT30" s="3"/>
      <c r="AU30" s="3"/>
      <c r="AV30" s="3"/>
      <c r="AW30" s="3"/>
      <c r="AX30" s="3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3"/>
      <c r="CB30" s="3"/>
      <c r="CC30" s="3"/>
      <c r="CD30" s="3"/>
      <c r="CE30" s="17"/>
      <c r="CF30" s="17"/>
      <c r="CG30" s="17"/>
      <c r="CH30" s="17"/>
      <c r="CI30" s="17"/>
      <c r="CJ30" s="17"/>
      <c r="CK30" s="17"/>
      <c r="CL30" s="17"/>
      <c r="CM30" s="17"/>
      <c r="CN30" s="17"/>
      <c r="CO30" s="17"/>
      <c r="CP30" s="17"/>
      <c r="CQ30" s="17"/>
      <c r="CR30" s="17"/>
      <c r="CS30" s="17"/>
      <c r="CT30" s="3"/>
      <c r="CU30" s="17"/>
      <c r="CV30" s="17"/>
      <c r="CW30" s="17"/>
      <c r="CX30" s="17"/>
      <c r="CY30" s="17"/>
      <c r="CZ30" s="17"/>
      <c r="DA30" s="17"/>
      <c r="DB30" s="17"/>
      <c r="DC30" s="17"/>
      <c r="DD30" s="17"/>
      <c r="DE30" s="17"/>
      <c r="DF30" s="17"/>
      <c r="DG30" s="17"/>
      <c r="DH30" s="17"/>
      <c r="DI30" s="17"/>
      <c r="DJ30" s="3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3"/>
      <c r="EA30" s="17"/>
      <c r="EB30" s="17"/>
      <c r="EC30" s="17"/>
      <c r="ED30" s="17"/>
      <c r="EE30" s="17"/>
      <c r="EF30" s="17"/>
      <c r="EG30" s="17"/>
      <c r="EH30" s="17"/>
      <c r="EI30" s="17"/>
      <c r="EJ30" s="17"/>
      <c r="EK30" s="17"/>
      <c r="EL30" s="17"/>
      <c r="EM30" s="17"/>
      <c r="EN30" s="17"/>
      <c r="EO30" s="17"/>
      <c r="EP30" s="3"/>
    </row>
    <row r="31" spans="1:146" x14ac:dyDescent="0.3">
      <c r="A31" s="3">
        <v>30</v>
      </c>
      <c r="B31" s="3"/>
      <c r="C31" s="3"/>
      <c r="D31" s="3"/>
      <c r="E31" s="3"/>
      <c r="F31" s="3"/>
      <c r="G31" s="3"/>
      <c r="H31" s="3"/>
      <c r="I31" s="14"/>
      <c r="J31" s="14"/>
      <c r="K31" s="14"/>
      <c r="L31" s="14"/>
      <c r="M31" s="14"/>
      <c r="N31" s="14"/>
      <c r="O31" s="14"/>
      <c r="P31" s="3"/>
      <c r="Q31" s="3"/>
      <c r="R31" s="3"/>
      <c r="S31" s="3"/>
      <c r="T31" s="3"/>
      <c r="U31" s="3"/>
      <c r="V31" s="3"/>
      <c r="W31" s="14"/>
      <c r="X31" s="14"/>
      <c r="Y31" s="3">
        <v>1</v>
      </c>
      <c r="Z31" s="6"/>
      <c r="AA31" s="6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6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3"/>
      <c r="CU31" s="17"/>
      <c r="CV31" s="17"/>
      <c r="CW31" s="17"/>
      <c r="CX31" s="17"/>
      <c r="CY31" s="17"/>
      <c r="CZ31" s="17"/>
      <c r="DA31" s="17"/>
      <c r="DB31" s="17"/>
      <c r="DC31" s="17"/>
      <c r="DD31" s="17"/>
      <c r="DE31" s="17"/>
      <c r="DF31" s="17"/>
      <c r="DG31" s="17"/>
      <c r="DH31" s="17"/>
      <c r="DI31" s="17"/>
      <c r="DJ31" s="3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3"/>
      <c r="EA31" s="17"/>
      <c r="EB31" s="17"/>
      <c r="EC31" s="17"/>
      <c r="ED31" s="17"/>
      <c r="EE31" s="17"/>
      <c r="EF31" s="17"/>
      <c r="EG31" s="17"/>
      <c r="EH31" s="17"/>
      <c r="EI31" s="17"/>
      <c r="EJ31" s="17"/>
      <c r="EK31" s="17"/>
      <c r="EL31" s="17"/>
      <c r="EM31" s="17"/>
      <c r="EN31" s="17"/>
      <c r="EO31" s="17"/>
      <c r="EP31" s="3"/>
    </row>
    <row r="32" spans="1:146" x14ac:dyDescent="0.3">
      <c r="A32" s="3">
        <v>31</v>
      </c>
      <c r="B32" s="3"/>
      <c r="C32" s="3"/>
      <c r="D32" s="3"/>
      <c r="E32" s="3"/>
      <c r="F32" s="3"/>
      <c r="G32" s="3"/>
      <c r="H32" s="3"/>
      <c r="I32" s="14"/>
      <c r="J32" s="14"/>
      <c r="K32" s="14"/>
      <c r="L32" s="14"/>
      <c r="M32" s="14"/>
      <c r="N32" s="14"/>
      <c r="O32" s="14"/>
      <c r="P32" s="3"/>
      <c r="Q32" s="3"/>
      <c r="R32" s="3"/>
      <c r="S32" s="3"/>
      <c r="T32" s="3"/>
      <c r="U32" s="3"/>
      <c r="V32" s="3"/>
      <c r="W32" s="14"/>
      <c r="X32" s="6"/>
      <c r="Y32" s="3">
        <v>1</v>
      </c>
      <c r="Z32" s="14"/>
      <c r="AA32" s="14"/>
      <c r="AB32" s="6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6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17"/>
      <c r="CF32" s="17"/>
      <c r="CG32" s="17"/>
      <c r="CH32" s="17"/>
      <c r="CI32" s="17"/>
      <c r="CJ32" s="17"/>
      <c r="CK32" s="17"/>
      <c r="CL32" s="17"/>
      <c r="CM32" s="17"/>
      <c r="CN32" s="17"/>
      <c r="CO32" s="17"/>
      <c r="CP32" s="17"/>
      <c r="CQ32" s="17"/>
      <c r="CR32" s="17"/>
      <c r="CS32" s="17"/>
      <c r="CT32" s="3"/>
      <c r="CU32" s="17"/>
      <c r="CV32" s="17"/>
      <c r="CW32" s="17"/>
      <c r="CX32" s="17"/>
      <c r="CY32" s="17"/>
      <c r="CZ32" s="17"/>
      <c r="DA32" s="17"/>
      <c r="DB32" s="17"/>
      <c r="DC32" s="17"/>
      <c r="DD32" s="17"/>
      <c r="DE32" s="17"/>
      <c r="DF32" s="17"/>
      <c r="DG32" s="17"/>
      <c r="DH32" s="17"/>
      <c r="DI32" s="17"/>
      <c r="DJ32" s="3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3"/>
      <c r="EA32" s="17"/>
      <c r="EB32" s="17"/>
      <c r="EC32" s="17"/>
      <c r="ED32" s="17"/>
      <c r="EE32" s="17"/>
      <c r="EF32" s="17"/>
      <c r="EG32" s="17"/>
      <c r="EH32" s="17"/>
      <c r="EI32" s="17"/>
      <c r="EJ32" s="17"/>
      <c r="EK32" s="17"/>
      <c r="EL32" s="17"/>
      <c r="EM32" s="17"/>
      <c r="EN32" s="17"/>
      <c r="EO32" s="17"/>
      <c r="EP32" s="3"/>
    </row>
    <row r="33" spans="1:146" x14ac:dyDescent="0.3">
      <c r="A33" s="3">
        <v>32</v>
      </c>
      <c r="B33" s="3"/>
      <c r="C33" s="3"/>
      <c r="D33" s="3"/>
      <c r="E33" s="3"/>
      <c r="F33" s="3"/>
      <c r="G33" s="3"/>
      <c r="H33" s="3"/>
      <c r="I33" s="14"/>
      <c r="J33" s="6"/>
      <c r="K33" s="6"/>
      <c r="L33" s="14"/>
      <c r="M33" s="14"/>
      <c r="N33" s="14"/>
      <c r="O33" s="14"/>
      <c r="P33" s="3"/>
      <c r="Q33" s="3"/>
      <c r="R33" s="3"/>
      <c r="S33" s="3"/>
      <c r="T33" s="3"/>
      <c r="U33" s="3"/>
      <c r="V33" s="3"/>
      <c r="W33" s="14"/>
      <c r="X33" s="6"/>
      <c r="Y33" s="3">
        <v>1</v>
      </c>
      <c r="Z33" s="14"/>
      <c r="AA33" s="14"/>
      <c r="AB33" s="14"/>
      <c r="AC33" s="14"/>
      <c r="AD33" s="14"/>
      <c r="AE33" s="14"/>
      <c r="AF33" s="6"/>
      <c r="AG33" s="6"/>
      <c r="AH33" s="6"/>
      <c r="AI33" s="14"/>
      <c r="AJ33" s="14"/>
      <c r="AK33" s="14"/>
      <c r="AL33" s="6"/>
      <c r="AM33" s="6"/>
      <c r="AN33" s="6"/>
      <c r="AO33" s="6"/>
      <c r="AP33" s="14"/>
      <c r="AQ33" s="14"/>
      <c r="AR33" s="14"/>
      <c r="AS33" s="6"/>
      <c r="AT33" s="14"/>
      <c r="AU33" s="14"/>
      <c r="AV33" s="14"/>
      <c r="AW33" s="6"/>
      <c r="AX33" s="14"/>
      <c r="AY33" s="14"/>
      <c r="AZ33" s="6"/>
      <c r="BA33" s="14"/>
      <c r="BB33" s="6"/>
      <c r="BC33" s="6"/>
      <c r="BD33" s="14"/>
      <c r="BE33" s="14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17"/>
      <c r="CF33" s="17"/>
      <c r="CG33" s="17"/>
      <c r="CH33" s="17"/>
      <c r="CI33" s="17"/>
      <c r="CJ33" s="17"/>
      <c r="CK33" s="17"/>
      <c r="CL33" s="17"/>
      <c r="CM33" s="17"/>
      <c r="CN33" s="17"/>
      <c r="CO33" s="17"/>
      <c r="CP33" s="17"/>
      <c r="CQ33" s="17"/>
      <c r="CR33" s="17"/>
      <c r="CS33" s="17"/>
      <c r="CT33" s="3"/>
      <c r="CU33" s="17"/>
      <c r="CV33" s="17"/>
      <c r="CW33" s="17"/>
      <c r="CX33" s="17"/>
      <c r="CY33" s="17"/>
      <c r="CZ33" s="17"/>
      <c r="DA33" s="17"/>
      <c r="DB33" s="17"/>
      <c r="DC33" s="17"/>
      <c r="DD33" s="17"/>
      <c r="DE33" s="17"/>
      <c r="DF33" s="17"/>
      <c r="DG33" s="17"/>
      <c r="DH33" s="17"/>
      <c r="DI33" s="17"/>
      <c r="DJ33" s="3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3"/>
      <c r="EA33" s="17"/>
      <c r="EB33" s="17"/>
      <c r="EC33" s="17"/>
      <c r="ED33" s="17"/>
      <c r="EE33" s="17"/>
      <c r="EF33" s="17"/>
      <c r="EG33" s="17"/>
      <c r="EH33" s="17"/>
      <c r="EI33" s="17"/>
      <c r="EJ33" s="17"/>
      <c r="EK33" s="17"/>
      <c r="EL33" s="17"/>
      <c r="EM33" s="17"/>
      <c r="EN33" s="17"/>
      <c r="EO33" s="17"/>
      <c r="EP33" s="3"/>
    </row>
    <row r="34" spans="1:146" x14ac:dyDescent="0.3">
      <c r="A34" s="3">
        <v>33</v>
      </c>
      <c r="B34" s="3"/>
      <c r="C34" s="3"/>
      <c r="D34" s="3"/>
      <c r="E34" s="3"/>
      <c r="F34" s="3"/>
      <c r="G34" s="3"/>
      <c r="H34" s="3"/>
      <c r="I34" s="14"/>
      <c r="J34" s="14"/>
      <c r="K34" s="14"/>
      <c r="L34" s="6"/>
      <c r="M34" s="6"/>
      <c r="N34" s="14"/>
      <c r="O34" s="14"/>
      <c r="P34" s="3"/>
      <c r="Q34" s="3"/>
      <c r="R34" s="3"/>
      <c r="S34" s="3"/>
      <c r="T34" s="3"/>
      <c r="U34" s="3"/>
      <c r="V34" s="3"/>
      <c r="W34" s="14"/>
      <c r="X34" s="14"/>
      <c r="Y34" s="3">
        <v>1</v>
      </c>
      <c r="Z34" s="6"/>
      <c r="AA34" s="14"/>
      <c r="AB34" s="14"/>
      <c r="AC34" s="14"/>
      <c r="AD34" s="14"/>
      <c r="AE34" s="6"/>
      <c r="AF34" s="14"/>
      <c r="AG34" s="14"/>
      <c r="AH34" s="14"/>
      <c r="AI34" s="6"/>
      <c r="AJ34" s="14"/>
      <c r="AK34" s="14"/>
      <c r="AL34" s="14"/>
      <c r="AM34" s="6"/>
      <c r="AN34" s="14"/>
      <c r="AO34" s="14"/>
      <c r="AP34" s="14"/>
      <c r="AQ34" s="14"/>
      <c r="AR34" s="14"/>
      <c r="AS34" s="6"/>
      <c r="AT34" s="14"/>
      <c r="AU34" s="14"/>
      <c r="AV34" s="14"/>
      <c r="AW34" s="6"/>
      <c r="AX34" s="14"/>
      <c r="AY34" s="14"/>
      <c r="AZ34" s="6"/>
      <c r="BA34" s="6"/>
      <c r="BB34" s="14"/>
      <c r="BC34" s="14"/>
      <c r="BD34" s="6"/>
      <c r="BE34" s="14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17"/>
      <c r="CF34" s="17"/>
      <c r="CG34" s="17"/>
      <c r="CH34" s="17"/>
      <c r="CI34" s="17"/>
      <c r="CJ34" s="17"/>
      <c r="CK34" s="17"/>
      <c r="CL34" s="17"/>
      <c r="CM34" s="17"/>
      <c r="CN34" s="17"/>
      <c r="CO34" s="17"/>
      <c r="CP34" s="17"/>
      <c r="CQ34" s="17"/>
      <c r="CR34" s="17"/>
      <c r="CS34" s="17"/>
      <c r="CT34" s="3"/>
      <c r="CU34" s="17"/>
      <c r="CV34" s="17"/>
      <c r="CW34" s="17"/>
      <c r="CX34" s="17"/>
      <c r="CY34" s="17"/>
      <c r="CZ34" s="17"/>
      <c r="DA34" s="17"/>
      <c r="DB34" s="17"/>
      <c r="DC34" s="17"/>
      <c r="DD34" s="17"/>
      <c r="DE34" s="17"/>
      <c r="DF34" s="17"/>
      <c r="DG34" s="17"/>
      <c r="DH34" s="17"/>
      <c r="DI34" s="17"/>
      <c r="DJ34" s="3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3"/>
      <c r="EA34" s="17"/>
      <c r="EB34" s="17"/>
      <c r="EC34" s="17"/>
      <c r="ED34" s="17"/>
      <c r="EE34" s="17"/>
      <c r="EF34" s="17"/>
      <c r="EG34" s="17"/>
      <c r="EH34" s="17"/>
      <c r="EI34" s="17"/>
      <c r="EJ34" s="17"/>
      <c r="EK34" s="17"/>
      <c r="EL34" s="17"/>
      <c r="EM34" s="17"/>
      <c r="EN34" s="17"/>
      <c r="EO34" s="17"/>
      <c r="EP34" s="3"/>
    </row>
    <row r="35" spans="1:146" x14ac:dyDescent="0.3">
      <c r="A35" s="3">
        <v>34</v>
      </c>
      <c r="B35" s="3"/>
      <c r="C35" s="3"/>
      <c r="D35" s="3"/>
      <c r="E35" s="3"/>
      <c r="F35" s="3"/>
      <c r="G35" s="3"/>
      <c r="H35" s="3"/>
      <c r="I35" s="14"/>
      <c r="J35" s="14"/>
      <c r="K35" s="14"/>
      <c r="L35" s="14"/>
      <c r="M35" s="14"/>
      <c r="N35" s="6"/>
      <c r="O35" s="14"/>
      <c r="P35" s="3"/>
      <c r="Q35" s="3"/>
      <c r="R35" s="3"/>
      <c r="S35" s="3"/>
      <c r="T35" s="3"/>
      <c r="U35" s="3"/>
      <c r="V35" s="3"/>
      <c r="W35" s="14"/>
      <c r="X35" s="14"/>
      <c r="Y35" s="3">
        <v>1</v>
      </c>
      <c r="Z35" s="14"/>
      <c r="AA35" s="6"/>
      <c r="AB35" s="14"/>
      <c r="AC35" s="14"/>
      <c r="AD35" s="14"/>
      <c r="AE35" s="6"/>
      <c r="AF35" s="6"/>
      <c r="AG35" s="6"/>
      <c r="AH35" s="6"/>
      <c r="AI35" s="6"/>
      <c r="AJ35" s="14"/>
      <c r="AK35" s="14"/>
      <c r="AL35" s="14"/>
      <c r="AM35" s="6"/>
      <c r="AN35" s="14"/>
      <c r="AO35" s="14"/>
      <c r="AP35" s="14"/>
      <c r="AQ35" s="14"/>
      <c r="AR35" s="14"/>
      <c r="AS35" s="6"/>
      <c r="AT35" s="14"/>
      <c r="AU35" s="14"/>
      <c r="AV35" s="14"/>
      <c r="AW35" s="6"/>
      <c r="AX35" s="14"/>
      <c r="AY35" s="14"/>
      <c r="AZ35" s="6"/>
      <c r="BA35" s="14"/>
      <c r="BB35" s="14"/>
      <c r="BC35" s="14"/>
      <c r="BD35" s="6"/>
      <c r="BE35" s="14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3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3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3"/>
      <c r="EA35" s="17"/>
      <c r="EB35" s="17"/>
      <c r="EC35" s="17"/>
      <c r="ED35" s="17"/>
      <c r="EE35" s="17"/>
      <c r="EF35" s="17"/>
      <c r="EG35" s="17"/>
      <c r="EH35" s="17"/>
      <c r="EI35" s="17"/>
      <c r="EJ35" s="17"/>
      <c r="EK35" s="17"/>
      <c r="EL35" s="17"/>
      <c r="EM35" s="17"/>
      <c r="EN35" s="17"/>
      <c r="EO35" s="17"/>
      <c r="EP35" s="3"/>
    </row>
    <row r="36" spans="1:146" x14ac:dyDescent="0.3">
      <c r="A36" s="3">
        <v>35</v>
      </c>
      <c r="B36" s="3"/>
      <c r="C36" s="3"/>
      <c r="D36" s="3"/>
      <c r="E36" s="3"/>
      <c r="F36" s="3"/>
      <c r="G36" s="3"/>
      <c r="H36" s="3"/>
      <c r="I36" s="14"/>
      <c r="J36" s="14"/>
      <c r="K36" s="14"/>
      <c r="L36" s="6"/>
      <c r="M36" s="6"/>
      <c r="N36" s="14"/>
      <c r="O36" s="14"/>
      <c r="P36" s="3"/>
      <c r="Q36" s="3"/>
      <c r="R36" s="3"/>
      <c r="S36" s="3"/>
      <c r="T36" s="3"/>
      <c r="U36" s="3"/>
      <c r="V36" s="3"/>
      <c r="W36" s="14"/>
      <c r="X36" s="14"/>
      <c r="Y36" s="3">
        <v>1</v>
      </c>
      <c r="Z36" s="14"/>
      <c r="AA36" s="14"/>
      <c r="AB36" s="6"/>
      <c r="AC36" s="14"/>
      <c r="AD36" s="14"/>
      <c r="AE36" s="6"/>
      <c r="AF36" s="14"/>
      <c r="AG36" s="14"/>
      <c r="AH36" s="14"/>
      <c r="AI36" s="14"/>
      <c r="AJ36" s="14"/>
      <c r="AK36" s="14"/>
      <c r="AL36" s="14"/>
      <c r="AM36" s="6"/>
      <c r="AN36" s="14"/>
      <c r="AO36" s="14"/>
      <c r="AP36" s="14"/>
      <c r="AQ36" s="14"/>
      <c r="AR36" s="14"/>
      <c r="AS36" s="6"/>
      <c r="AT36" s="14"/>
      <c r="AU36" s="14"/>
      <c r="AV36" s="14"/>
      <c r="AW36" s="6"/>
      <c r="AX36" s="14"/>
      <c r="AY36" s="14"/>
      <c r="AZ36" s="6"/>
      <c r="BA36" s="14"/>
      <c r="BB36" s="14"/>
      <c r="BC36" s="14"/>
      <c r="BD36" s="6"/>
      <c r="BE36" s="14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3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3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3"/>
      <c r="EA36" s="17"/>
      <c r="EB36" s="17"/>
      <c r="EC36" s="17"/>
      <c r="ED36" s="17"/>
      <c r="EE36" s="17"/>
      <c r="EF36" s="17"/>
      <c r="EG36" s="17"/>
      <c r="EH36" s="17"/>
      <c r="EI36" s="17"/>
      <c r="EJ36" s="17"/>
      <c r="EK36" s="17"/>
      <c r="EL36" s="17"/>
      <c r="EM36" s="17"/>
      <c r="EN36" s="17"/>
      <c r="EO36" s="17"/>
      <c r="EP36" s="3"/>
    </row>
    <row r="37" spans="1:146" x14ac:dyDescent="0.3">
      <c r="A37" s="3">
        <v>36</v>
      </c>
      <c r="B37" s="3"/>
      <c r="C37" s="3"/>
      <c r="D37" s="3"/>
      <c r="E37" s="3"/>
      <c r="F37" s="3"/>
      <c r="G37" s="3"/>
      <c r="H37" s="3"/>
      <c r="I37" s="14"/>
      <c r="J37" s="6"/>
      <c r="K37" s="6"/>
      <c r="L37" s="14"/>
      <c r="M37" s="14"/>
      <c r="N37" s="14"/>
      <c r="O37" s="14"/>
      <c r="P37" s="3"/>
      <c r="Q37" s="3"/>
      <c r="R37" s="3"/>
      <c r="S37" s="3"/>
      <c r="T37" s="3"/>
      <c r="U37" s="3"/>
      <c r="V37" s="3"/>
      <c r="W37" s="14"/>
      <c r="X37" s="6"/>
      <c r="Y37" s="3">
        <v>1</v>
      </c>
      <c r="Z37" s="14"/>
      <c r="AA37" s="14"/>
      <c r="AB37" s="6"/>
      <c r="AC37" s="14"/>
      <c r="AD37" s="14"/>
      <c r="AE37" s="6"/>
      <c r="AF37" s="14"/>
      <c r="AG37" s="14"/>
      <c r="AH37" s="14"/>
      <c r="AI37" s="6"/>
      <c r="AJ37" s="14"/>
      <c r="AK37" s="14"/>
      <c r="AL37" s="14"/>
      <c r="AM37" s="6"/>
      <c r="AN37" s="14"/>
      <c r="AO37" s="14"/>
      <c r="AP37" s="14"/>
      <c r="AQ37" s="14"/>
      <c r="AR37" s="14"/>
      <c r="AS37" s="6"/>
      <c r="AT37" s="14"/>
      <c r="AU37" s="14"/>
      <c r="AV37" s="6"/>
      <c r="AW37" s="6"/>
      <c r="AX37" s="14"/>
      <c r="AY37" s="14"/>
      <c r="AZ37" s="6"/>
      <c r="BA37" s="6"/>
      <c r="BB37" s="14"/>
      <c r="BC37" s="14"/>
      <c r="BD37" s="6"/>
      <c r="BE37" s="14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3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3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3"/>
      <c r="EA37" s="17"/>
      <c r="EB37" s="17"/>
      <c r="EC37" s="17"/>
      <c r="ED37" s="17"/>
      <c r="EE37" s="17"/>
      <c r="EF37" s="17"/>
      <c r="EG37" s="17"/>
      <c r="EH37" s="17"/>
      <c r="EI37" s="17"/>
      <c r="EJ37" s="17"/>
      <c r="EK37" s="17"/>
      <c r="EL37" s="17"/>
      <c r="EM37" s="17"/>
      <c r="EN37" s="17"/>
      <c r="EO37" s="17"/>
      <c r="EP37" s="3"/>
    </row>
    <row r="38" spans="1:146" x14ac:dyDescent="0.3">
      <c r="A38" s="3">
        <v>37</v>
      </c>
      <c r="B38" s="3"/>
      <c r="C38" s="3"/>
      <c r="D38" s="3"/>
      <c r="E38" s="3"/>
      <c r="F38" s="3"/>
      <c r="G38" s="3"/>
      <c r="H38" s="3"/>
      <c r="I38" s="14"/>
      <c r="J38" s="14"/>
      <c r="K38" s="14"/>
      <c r="L38" s="14"/>
      <c r="M38" s="14"/>
      <c r="N38" s="14"/>
      <c r="O38" s="14"/>
      <c r="P38" s="3"/>
      <c r="Q38" s="3"/>
      <c r="R38" s="3"/>
      <c r="S38" s="3"/>
      <c r="T38" s="3"/>
      <c r="U38" s="3"/>
      <c r="V38" s="3"/>
      <c r="W38" s="14"/>
      <c r="X38" s="14"/>
      <c r="Y38" s="14">
        <v>1</v>
      </c>
      <c r="Z38" s="6"/>
      <c r="AA38" s="6"/>
      <c r="AB38" s="14"/>
      <c r="AC38" s="14"/>
      <c r="AD38" s="14"/>
      <c r="AE38" s="14"/>
      <c r="AF38" s="6"/>
      <c r="AG38" s="6"/>
      <c r="AH38" s="6"/>
      <c r="AI38" s="14"/>
      <c r="AJ38" s="14"/>
      <c r="AK38" s="14"/>
      <c r="AL38" s="14"/>
      <c r="AM38" s="14"/>
      <c r="AN38" s="6"/>
      <c r="AO38" s="6"/>
      <c r="AP38" s="14"/>
      <c r="AQ38" s="14"/>
      <c r="AR38" s="14"/>
      <c r="AS38" s="14"/>
      <c r="AT38" s="6"/>
      <c r="AU38" s="6"/>
      <c r="AV38" s="14"/>
      <c r="AW38" s="6"/>
      <c r="AX38" s="14"/>
      <c r="AY38" s="14"/>
      <c r="AZ38" s="6"/>
      <c r="BA38" s="14"/>
      <c r="BB38" s="6"/>
      <c r="BC38" s="6"/>
      <c r="BD38" s="14"/>
      <c r="BE38" s="14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3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3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3"/>
      <c r="EA38" s="17"/>
      <c r="EB38" s="17"/>
      <c r="EC38" s="17"/>
      <c r="ED38" s="17"/>
      <c r="EE38" s="17"/>
      <c r="EF38" s="17"/>
      <c r="EG38" s="17"/>
      <c r="EH38" s="17"/>
      <c r="EI38" s="17"/>
      <c r="EJ38" s="17"/>
      <c r="EK38" s="17"/>
      <c r="EL38" s="17"/>
      <c r="EM38" s="17"/>
      <c r="EN38" s="17"/>
      <c r="EO38" s="17"/>
      <c r="EP38" s="3"/>
    </row>
    <row r="39" spans="1:146" x14ac:dyDescent="0.3">
      <c r="A39" s="3">
        <v>38</v>
      </c>
      <c r="B39" s="3"/>
      <c r="C39" s="3"/>
      <c r="D39" s="3"/>
      <c r="E39" s="3"/>
      <c r="F39" s="3"/>
      <c r="G39" s="3"/>
      <c r="H39" s="3"/>
      <c r="I39" s="14"/>
      <c r="J39" s="14"/>
      <c r="K39" s="14"/>
      <c r="L39" s="14"/>
      <c r="M39" s="14"/>
      <c r="N39" s="14"/>
      <c r="O39" s="14"/>
      <c r="P39" s="3"/>
      <c r="Q39" s="3"/>
      <c r="R39" s="3"/>
      <c r="S39" s="3"/>
      <c r="T39" s="3"/>
      <c r="U39" s="3"/>
      <c r="V39" s="3"/>
      <c r="W39" s="14"/>
      <c r="X39" s="14"/>
      <c r="Y39" s="14">
        <v>1</v>
      </c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6"/>
      <c r="BA39" s="14"/>
      <c r="BB39" s="14"/>
      <c r="BC39" s="14"/>
      <c r="BD39" s="14"/>
      <c r="BE39" s="14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17"/>
      <c r="CF39" s="17"/>
      <c r="CG39" s="17"/>
      <c r="CH39" s="17"/>
      <c r="CI39" s="17"/>
      <c r="CJ39" s="17"/>
      <c r="CK39" s="17"/>
      <c r="CL39" s="17"/>
      <c r="CM39" s="17"/>
      <c r="CN39" s="17"/>
      <c r="CO39" s="17"/>
      <c r="CP39" s="17"/>
      <c r="CQ39" s="17"/>
      <c r="CR39" s="17"/>
      <c r="CS39" s="17"/>
      <c r="CT39" s="3"/>
      <c r="CU39" s="17"/>
      <c r="CV39" s="17"/>
      <c r="CW39" s="17"/>
      <c r="CX39" s="17"/>
      <c r="CY39" s="17"/>
      <c r="CZ39" s="17"/>
      <c r="DA39" s="17"/>
      <c r="DB39" s="17"/>
      <c r="DC39" s="17"/>
      <c r="DD39" s="17"/>
      <c r="DE39" s="17"/>
      <c r="DF39" s="17"/>
      <c r="DG39" s="17"/>
      <c r="DH39" s="17"/>
      <c r="DI39" s="17"/>
      <c r="DJ39" s="3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3"/>
      <c r="EA39" s="17"/>
      <c r="EB39" s="17"/>
      <c r="EC39" s="17"/>
      <c r="ED39" s="17"/>
      <c r="EE39" s="17"/>
      <c r="EF39" s="17"/>
      <c r="EG39" s="17"/>
      <c r="EH39" s="17"/>
      <c r="EI39" s="17"/>
      <c r="EJ39" s="17"/>
      <c r="EK39" s="17"/>
      <c r="EL39" s="17"/>
      <c r="EM39" s="17"/>
      <c r="EN39" s="17"/>
      <c r="EO39" s="17"/>
      <c r="EP39" s="3"/>
    </row>
    <row r="40" spans="1:146" x14ac:dyDescent="0.3">
      <c r="A40" s="3">
        <v>39</v>
      </c>
      <c r="B40" s="3"/>
      <c r="C40" s="3"/>
      <c r="D40" s="3"/>
      <c r="E40" s="3"/>
      <c r="F40" s="3"/>
      <c r="G40" s="3"/>
      <c r="H40" s="3"/>
      <c r="I40" s="14"/>
      <c r="J40" s="14"/>
      <c r="K40" s="14"/>
      <c r="L40" s="14"/>
      <c r="M40" s="14"/>
      <c r="N40" s="14"/>
      <c r="O40" s="14"/>
      <c r="P40" s="3"/>
      <c r="Q40" s="3"/>
      <c r="R40" s="3"/>
      <c r="S40" s="3"/>
      <c r="T40" s="3"/>
      <c r="U40" s="3"/>
      <c r="V40" s="3"/>
      <c r="W40" s="14"/>
      <c r="X40" s="14"/>
      <c r="Y40" s="3">
        <v>1</v>
      </c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6"/>
      <c r="BA40" s="14"/>
      <c r="BB40" s="14"/>
      <c r="BC40" s="14"/>
      <c r="BD40" s="14"/>
      <c r="BE40" s="14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17"/>
      <c r="CF40" s="17"/>
      <c r="CG40" s="17"/>
      <c r="CH40" s="17"/>
      <c r="CI40" s="17"/>
      <c r="CJ40" s="17"/>
      <c r="CK40" s="17"/>
      <c r="CL40" s="17"/>
      <c r="CM40" s="17"/>
      <c r="CN40" s="17"/>
      <c r="CO40" s="17"/>
      <c r="CP40" s="17"/>
      <c r="CQ40" s="17"/>
      <c r="CR40" s="17"/>
      <c r="CS40" s="17"/>
      <c r="CT40" s="3"/>
      <c r="CU40" s="17"/>
      <c r="CV40" s="17"/>
      <c r="CW40" s="17"/>
      <c r="CX40" s="17"/>
      <c r="CY40" s="17"/>
      <c r="CZ40" s="17"/>
      <c r="DA40" s="17"/>
      <c r="DB40" s="17"/>
      <c r="DC40" s="17"/>
      <c r="DD40" s="17"/>
      <c r="DE40" s="17"/>
      <c r="DF40" s="17"/>
      <c r="DG40" s="17"/>
      <c r="DH40" s="17"/>
      <c r="DI40" s="17"/>
      <c r="DJ40" s="3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3"/>
      <c r="EA40" s="17"/>
      <c r="EB40" s="17"/>
      <c r="EC40" s="17"/>
      <c r="ED40" s="17"/>
      <c r="EE40" s="17"/>
      <c r="EF40" s="17"/>
      <c r="EG40" s="17"/>
      <c r="EH40" s="17"/>
      <c r="EI40" s="17"/>
      <c r="EJ40" s="17"/>
      <c r="EK40" s="17"/>
      <c r="EL40" s="17"/>
      <c r="EM40" s="17"/>
      <c r="EN40" s="17"/>
      <c r="EO40" s="17"/>
      <c r="EP40" s="3"/>
    </row>
    <row r="41" spans="1:146" x14ac:dyDescent="0.3">
      <c r="A41" s="3">
        <v>40</v>
      </c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4"/>
      <c r="X41" s="14"/>
      <c r="Y41" s="14">
        <v>1</v>
      </c>
      <c r="Z41" s="6"/>
      <c r="AA41" s="6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  <c r="AM41" s="6"/>
      <c r="AN41" s="14"/>
      <c r="AO41" s="14"/>
      <c r="AP41" s="14"/>
      <c r="AQ41" s="14"/>
      <c r="AR41" s="14"/>
      <c r="AS41" s="14"/>
      <c r="AT41" s="6"/>
      <c r="AU41" s="14"/>
      <c r="AV41" s="14"/>
      <c r="AW41" s="14"/>
      <c r="AX41" s="14"/>
      <c r="AY41" s="14"/>
      <c r="AZ41" s="14"/>
      <c r="BA41" s="14"/>
      <c r="BB41" s="6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  <c r="BO41" s="14"/>
      <c r="BP41" s="14"/>
      <c r="BQ41" s="14"/>
      <c r="BR41" s="14"/>
      <c r="BS41" s="14"/>
      <c r="BT41" s="14"/>
      <c r="BU41" s="14"/>
      <c r="BV41" s="14"/>
      <c r="BW41" s="14"/>
      <c r="BX41" s="14"/>
      <c r="BY41" s="14"/>
      <c r="BZ41" s="14"/>
      <c r="CA41" s="3"/>
      <c r="CB41" s="3"/>
      <c r="CC41" s="3"/>
      <c r="CD41" s="3"/>
      <c r="CE41" s="17"/>
      <c r="CF41" s="17"/>
      <c r="CG41" s="17"/>
      <c r="CH41" s="17"/>
      <c r="CI41" s="17"/>
      <c r="CJ41" s="17"/>
      <c r="CK41" s="17"/>
      <c r="CL41" s="17"/>
      <c r="CM41" s="17"/>
      <c r="CN41" s="17"/>
      <c r="CO41" s="17"/>
      <c r="CP41" s="17"/>
      <c r="CQ41" s="17"/>
      <c r="CR41" s="17"/>
      <c r="CS41" s="17"/>
      <c r="CT41" s="3"/>
      <c r="CU41" s="17"/>
      <c r="CV41" s="17"/>
      <c r="CW41" s="17"/>
      <c r="CX41" s="17"/>
      <c r="CY41" s="17"/>
      <c r="CZ41" s="17"/>
      <c r="DA41" s="17"/>
      <c r="DB41" s="17"/>
      <c r="DC41" s="17"/>
      <c r="DD41" s="17"/>
      <c r="DE41" s="17"/>
      <c r="DF41" s="17"/>
      <c r="DG41" s="17"/>
      <c r="DH41" s="17"/>
      <c r="DI41" s="17"/>
      <c r="DJ41" s="3"/>
      <c r="DK41" s="17"/>
      <c r="DL41" s="17"/>
      <c r="DM41" s="17"/>
      <c r="DN41" s="17"/>
      <c r="DO41" s="17"/>
      <c r="DP41" s="17"/>
      <c r="DQ41" s="17"/>
      <c r="DR41" s="17"/>
      <c r="DS41" s="17"/>
      <c r="DT41" s="17"/>
      <c r="DU41" s="17"/>
      <c r="DV41" s="17"/>
      <c r="DW41" s="17"/>
      <c r="DX41" s="17"/>
      <c r="DY41" s="17"/>
      <c r="DZ41" s="3"/>
      <c r="EA41" s="17"/>
      <c r="EB41" s="17"/>
      <c r="EC41" s="17"/>
      <c r="ED41" s="17"/>
      <c r="EE41" s="17"/>
      <c r="EF41" s="17"/>
      <c r="EG41" s="17"/>
      <c r="EH41" s="17"/>
      <c r="EI41" s="17"/>
      <c r="EJ41" s="17"/>
      <c r="EK41" s="17"/>
      <c r="EL41" s="17"/>
      <c r="EM41" s="17"/>
      <c r="EN41" s="17"/>
      <c r="EO41" s="17"/>
      <c r="EP41" s="3"/>
    </row>
    <row r="42" spans="1:146" x14ac:dyDescent="0.3">
      <c r="A42" s="3">
        <v>41</v>
      </c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4"/>
      <c r="X42" s="6"/>
      <c r="Y42" s="14">
        <v>1</v>
      </c>
      <c r="Z42" s="14"/>
      <c r="AA42" s="14"/>
      <c r="AB42" s="6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6"/>
      <c r="AN42" s="14"/>
      <c r="AO42" s="14"/>
      <c r="AP42" s="14"/>
      <c r="AQ42" s="14"/>
      <c r="AR42" s="14"/>
      <c r="AS42" s="14"/>
      <c r="AT42" s="6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  <c r="BO42" s="14"/>
      <c r="BP42" s="14"/>
      <c r="BQ42" s="14"/>
      <c r="BR42" s="14"/>
      <c r="BS42" s="14"/>
      <c r="BT42" s="14"/>
      <c r="BU42" s="14"/>
      <c r="BV42" s="14"/>
      <c r="BW42" s="14"/>
      <c r="BX42" s="14"/>
      <c r="BY42" s="14"/>
      <c r="BZ42" s="14"/>
      <c r="CA42" s="3"/>
      <c r="CB42" s="3"/>
      <c r="CC42" s="3"/>
      <c r="CD42" s="3"/>
      <c r="CE42" s="17"/>
      <c r="CF42" s="17"/>
      <c r="CG42" s="17"/>
      <c r="CH42" s="17"/>
      <c r="CI42" s="17"/>
      <c r="CJ42" s="17"/>
      <c r="CK42" s="17"/>
      <c r="CL42" s="17"/>
      <c r="CM42" s="17"/>
      <c r="CN42" s="17"/>
      <c r="CO42" s="17"/>
      <c r="CP42" s="17"/>
      <c r="CQ42" s="17"/>
      <c r="CR42" s="17"/>
      <c r="CS42" s="17"/>
      <c r="CT42" s="3"/>
      <c r="CU42" s="17"/>
      <c r="CV42" s="17"/>
      <c r="CW42" s="17"/>
      <c r="CX42" s="17"/>
      <c r="CY42" s="17"/>
      <c r="CZ42" s="17"/>
      <c r="DA42" s="17"/>
      <c r="DB42" s="17"/>
      <c r="DC42" s="17"/>
      <c r="DD42" s="17"/>
      <c r="DE42" s="17"/>
      <c r="DF42" s="17"/>
      <c r="DG42" s="17"/>
      <c r="DH42" s="17"/>
      <c r="DI42" s="17"/>
      <c r="DJ42" s="3"/>
      <c r="DK42" s="17"/>
      <c r="DL42" s="17"/>
      <c r="DM42" s="17"/>
      <c r="DN42" s="17"/>
      <c r="DO42" s="17"/>
      <c r="DP42" s="17"/>
      <c r="DQ42" s="17"/>
      <c r="DR42" s="17"/>
      <c r="DS42" s="17"/>
      <c r="DT42" s="17"/>
      <c r="DU42" s="17"/>
      <c r="DV42" s="17"/>
      <c r="DW42" s="17"/>
      <c r="DX42" s="17"/>
      <c r="DY42" s="17"/>
      <c r="DZ42" s="3"/>
      <c r="EA42" s="17"/>
      <c r="EB42" s="17"/>
      <c r="EC42" s="17"/>
      <c r="ED42" s="17"/>
      <c r="EE42" s="17"/>
      <c r="EF42" s="17"/>
      <c r="EG42" s="17"/>
      <c r="EH42" s="17"/>
      <c r="EI42" s="17"/>
      <c r="EJ42" s="17"/>
      <c r="EK42" s="17"/>
      <c r="EL42" s="17"/>
      <c r="EM42" s="17"/>
      <c r="EN42" s="17"/>
      <c r="EO42" s="17"/>
      <c r="EP42" s="3"/>
    </row>
    <row r="43" spans="1:146" x14ac:dyDescent="0.3">
      <c r="A43" s="3">
        <v>42</v>
      </c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4"/>
      <c r="X43" s="6"/>
      <c r="Y43" s="14">
        <v>1</v>
      </c>
      <c r="Z43" s="14"/>
      <c r="AA43" s="14"/>
      <c r="AB43" s="14"/>
      <c r="AC43" s="14"/>
      <c r="AD43" s="14"/>
      <c r="AE43" s="14"/>
      <c r="AF43" s="6"/>
      <c r="AG43" s="6"/>
      <c r="AH43" s="6"/>
      <c r="AI43" s="14"/>
      <c r="AJ43" s="14"/>
      <c r="AK43" s="14"/>
      <c r="AL43" s="6"/>
      <c r="AM43" s="6"/>
      <c r="AN43" s="6"/>
      <c r="AO43" s="6"/>
      <c r="AP43" s="14"/>
      <c r="AQ43" s="14"/>
      <c r="AR43" s="14"/>
      <c r="AS43" s="6"/>
      <c r="AT43" s="6"/>
      <c r="AU43" s="6"/>
      <c r="AV43" s="6"/>
      <c r="AW43" s="14"/>
      <c r="AX43" s="14"/>
      <c r="AY43" s="14"/>
      <c r="AZ43" s="6"/>
      <c r="BA43" s="6"/>
      <c r="BB43" s="6"/>
      <c r="BC43" s="14"/>
      <c r="BD43" s="14"/>
      <c r="BE43" s="14"/>
      <c r="BF43" s="14"/>
      <c r="BG43" s="6"/>
      <c r="BH43" s="14"/>
      <c r="BI43" s="6"/>
      <c r="BJ43" s="6"/>
      <c r="BK43" s="14"/>
      <c r="BL43" s="14"/>
      <c r="BM43" s="14"/>
      <c r="BN43" s="14"/>
      <c r="BO43" s="6"/>
      <c r="BP43" s="6"/>
      <c r="BQ43" s="14"/>
      <c r="BR43" s="6"/>
      <c r="BS43" s="14"/>
      <c r="BT43" s="14"/>
      <c r="BU43" s="14"/>
      <c r="BV43" s="6"/>
      <c r="BW43" s="6"/>
      <c r="BX43" s="6"/>
      <c r="BY43" s="14"/>
      <c r="BZ43" s="14"/>
      <c r="CA43" s="3"/>
      <c r="CB43" s="3"/>
      <c r="CC43" s="3"/>
      <c r="CD43" s="3"/>
      <c r="CE43" s="17"/>
      <c r="CF43" s="17"/>
      <c r="CG43" s="17"/>
      <c r="CH43" s="17"/>
      <c r="CI43" s="17"/>
      <c r="CJ43" s="17"/>
      <c r="CK43" s="17"/>
      <c r="CL43" s="17"/>
      <c r="CM43" s="17"/>
      <c r="CN43" s="17"/>
      <c r="CO43" s="17"/>
      <c r="CP43" s="17"/>
      <c r="CQ43" s="17"/>
      <c r="CR43" s="17"/>
      <c r="CS43" s="17"/>
      <c r="CT43" s="3"/>
      <c r="CU43" s="17"/>
      <c r="CV43" s="17"/>
      <c r="CW43" s="17"/>
      <c r="CX43" s="17"/>
      <c r="CY43" s="17"/>
      <c r="CZ43" s="17"/>
      <c r="DA43" s="17"/>
      <c r="DB43" s="17"/>
      <c r="DC43" s="17"/>
      <c r="DD43" s="17"/>
      <c r="DE43" s="17"/>
      <c r="DF43" s="17"/>
      <c r="DG43" s="17"/>
      <c r="DH43" s="17"/>
      <c r="DI43" s="17"/>
      <c r="DJ43" s="3"/>
      <c r="DK43" s="17"/>
      <c r="DL43" s="17"/>
      <c r="DM43" s="17"/>
      <c r="DN43" s="17"/>
      <c r="DO43" s="17"/>
      <c r="DP43" s="17"/>
      <c r="DQ43" s="17"/>
      <c r="DR43" s="17"/>
      <c r="DS43" s="17"/>
      <c r="DT43" s="17"/>
      <c r="DU43" s="17"/>
      <c r="DV43" s="17"/>
      <c r="DW43" s="17"/>
      <c r="DX43" s="17"/>
      <c r="DY43" s="17"/>
      <c r="DZ43" s="3"/>
      <c r="EA43" s="17"/>
      <c r="EB43" s="17"/>
      <c r="EC43" s="17"/>
      <c r="ED43" s="17"/>
      <c r="EE43" s="17"/>
      <c r="EF43" s="17"/>
      <c r="EG43" s="17"/>
      <c r="EH43" s="17"/>
      <c r="EI43" s="17"/>
      <c r="EJ43" s="17"/>
      <c r="EK43" s="17"/>
      <c r="EL43" s="17"/>
      <c r="EM43" s="17"/>
      <c r="EN43" s="17"/>
      <c r="EO43" s="17"/>
      <c r="EP43" s="3"/>
    </row>
    <row r="44" spans="1:146" x14ac:dyDescent="0.3">
      <c r="A44" s="3">
        <v>43</v>
      </c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4"/>
      <c r="X44" s="14"/>
      <c r="Y44" s="14">
        <v>1</v>
      </c>
      <c r="Z44" s="6"/>
      <c r="AA44" s="14"/>
      <c r="AB44" s="14"/>
      <c r="AC44" s="14"/>
      <c r="AD44" s="14"/>
      <c r="AE44" s="6"/>
      <c r="AF44" s="14"/>
      <c r="AG44" s="14"/>
      <c r="AH44" s="14"/>
      <c r="AI44" s="6"/>
      <c r="AJ44" s="14"/>
      <c r="AK44" s="14"/>
      <c r="AL44" s="14"/>
      <c r="AM44" s="6"/>
      <c r="AN44" s="14"/>
      <c r="AO44" s="14"/>
      <c r="AP44" s="14"/>
      <c r="AQ44" s="14"/>
      <c r="AR44" s="14"/>
      <c r="AS44" s="14"/>
      <c r="AT44" s="6"/>
      <c r="AU44" s="14"/>
      <c r="AV44" s="14"/>
      <c r="AW44" s="14"/>
      <c r="AX44" s="14"/>
      <c r="AY44" s="14"/>
      <c r="AZ44" s="14"/>
      <c r="BA44" s="14"/>
      <c r="BB44" s="6"/>
      <c r="BC44" s="14"/>
      <c r="BD44" s="14"/>
      <c r="BE44" s="14"/>
      <c r="BF44" s="14"/>
      <c r="BG44" s="6"/>
      <c r="BH44" s="6"/>
      <c r="BI44" s="14"/>
      <c r="BJ44" s="14"/>
      <c r="BK44" s="6"/>
      <c r="BL44" s="14"/>
      <c r="BM44" s="14"/>
      <c r="BN44" s="6"/>
      <c r="BO44" s="14"/>
      <c r="BP44" s="14"/>
      <c r="BQ44" s="6"/>
      <c r="BR44" s="6"/>
      <c r="BS44" s="14"/>
      <c r="BT44" s="14"/>
      <c r="BU44" s="6"/>
      <c r="BV44" s="14"/>
      <c r="BW44" s="14"/>
      <c r="BX44" s="14"/>
      <c r="BY44" s="6"/>
      <c r="BZ44" s="14"/>
      <c r="CA44" s="3"/>
      <c r="CB44" s="3"/>
      <c r="CC44" s="3"/>
      <c r="CD44" s="3"/>
      <c r="CE44" s="17"/>
      <c r="CF44" s="17"/>
      <c r="CG44" s="17"/>
      <c r="CH44" s="17"/>
      <c r="CI44" s="17"/>
      <c r="CJ44" s="17"/>
      <c r="CK44" s="17"/>
      <c r="CL44" s="17"/>
      <c r="CM44" s="17"/>
      <c r="CN44" s="17"/>
      <c r="CO44" s="17"/>
      <c r="CP44" s="17"/>
      <c r="CQ44" s="17"/>
      <c r="CR44" s="17"/>
      <c r="CS44" s="17"/>
      <c r="CT44" s="3"/>
      <c r="CU44" s="17"/>
      <c r="CV44" s="17"/>
      <c r="CW44" s="17"/>
      <c r="CX44" s="17"/>
      <c r="CY44" s="17"/>
      <c r="CZ44" s="17"/>
      <c r="DA44" s="17"/>
      <c r="DB44" s="17"/>
      <c r="DC44" s="17"/>
      <c r="DD44" s="17"/>
      <c r="DE44" s="17"/>
      <c r="DF44" s="17"/>
      <c r="DG44" s="17"/>
      <c r="DH44" s="17"/>
      <c r="DI44" s="17"/>
      <c r="DJ44" s="3"/>
      <c r="DK44" s="17"/>
      <c r="DL44" s="17"/>
      <c r="DM44" s="17"/>
      <c r="DN44" s="17"/>
      <c r="DO44" s="17"/>
      <c r="DP44" s="17"/>
      <c r="DQ44" s="17"/>
      <c r="DR44" s="17"/>
      <c r="DS44" s="17"/>
      <c r="DT44" s="17"/>
      <c r="DU44" s="17"/>
      <c r="DV44" s="17"/>
      <c r="DW44" s="17"/>
      <c r="DX44" s="17"/>
      <c r="DY44" s="17"/>
      <c r="DZ44" s="3"/>
      <c r="EA44" s="17"/>
      <c r="EB44" s="17"/>
      <c r="EC44" s="17"/>
      <c r="ED44" s="17"/>
      <c r="EE44" s="17"/>
      <c r="EF44" s="17"/>
      <c r="EG44" s="17"/>
      <c r="EH44" s="17"/>
      <c r="EI44" s="17"/>
      <c r="EJ44" s="17"/>
      <c r="EK44" s="17"/>
      <c r="EL44" s="17"/>
      <c r="EM44" s="17"/>
      <c r="EN44" s="17"/>
      <c r="EO44" s="17"/>
      <c r="EP44" s="3"/>
    </row>
    <row r="45" spans="1:146" x14ac:dyDescent="0.3">
      <c r="A45" s="3">
        <v>44</v>
      </c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4"/>
      <c r="X45" s="14"/>
      <c r="Y45" s="14">
        <v>1</v>
      </c>
      <c r="Z45" s="14"/>
      <c r="AA45" s="6"/>
      <c r="AB45" s="14"/>
      <c r="AC45" s="14"/>
      <c r="AD45" s="14"/>
      <c r="AE45" s="6"/>
      <c r="AF45" s="6"/>
      <c r="AG45" s="6"/>
      <c r="AH45" s="6"/>
      <c r="AI45" s="6"/>
      <c r="AJ45" s="14"/>
      <c r="AK45" s="14"/>
      <c r="AL45" s="14"/>
      <c r="AM45" s="6"/>
      <c r="AN45" s="14"/>
      <c r="AO45" s="14"/>
      <c r="AP45" s="14"/>
      <c r="AQ45" s="14"/>
      <c r="AR45" s="14"/>
      <c r="AS45" s="14"/>
      <c r="AT45" s="6"/>
      <c r="AU45" s="14"/>
      <c r="AV45" s="14"/>
      <c r="AW45" s="14"/>
      <c r="AX45" s="14"/>
      <c r="AY45" s="14"/>
      <c r="AZ45" s="14"/>
      <c r="BA45" s="14"/>
      <c r="BB45" s="6"/>
      <c r="BC45" s="14"/>
      <c r="BD45" s="14"/>
      <c r="BE45" s="14"/>
      <c r="BF45" s="14"/>
      <c r="BG45" s="6"/>
      <c r="BH45" s="14"/>
      <c r="BI45" s="14"/>
      <c r="BJ45" s="14"/>
      <c r="BK45" s="6"/>
      <c r="BL45" s="14"/>
      <c r="BM45" s="14"/>
      <c r="BN45" s="6"/>
      <c r="BO45" s="14"/>
      <c r="BP45" s="14"/>
      <c r="BQ45" s="14"/>
      <c r="BR45" s="6"/>
      <c r="BS45" s="14"/>
      <c r="BT45" s="14"/>
      <c r="BU45" s="14"/>
      <c r="BV45" s="6"/>
      <c r="BW45" s="6"/>
      <c r="BX45" s="14"/>
      <c r="BY45" s="14"/>
      <c r="BZ45" s="14"/>
      <c r="CA45" s="3"/>
      <c r="CB45" s="3"/>
      <c r="CC45" s="3"/>
      <c r="CD45" s="3"/>
      <c r="CE45" s="17"/>
      <c r="CF45" s="17"/>
      <c r="CG45" s="17"/>
      <c r="CH45" s="17"/>
      <c r="CI45" s="17"/>
      <c r="CJ45" s="17"/>
      <c r="CK45" s="17"/>
      <c r="CL45" s="17"/>
      <c r="CM45" s="17"/>
      <c r="CN45" s="17"/>
      <c r="CO45" s="17"/>
      <c r="CP45" s="17"/>
      <c r="CQ45" s="17"/>
      <c r="CR45" s="17"/>
      <c r="CS45" s="17"/>
      <c r="CT45" s="3"/>
      <c r="CU45" s="17"/>
      <c r="CV45" s="17"/>
      <c r="CW45" s="17"/>
      <c r="CX45" s="17"/>
      <c r="CY45" s="17"/>
      <c r="CZ45" s="17"/>
      <c r="DA45" s="17"/>
      <c r="DB45" s="17"/>
      <c r="DC45" s="17"/>
      <c r="DD45" s="17"/>
      <c r="DE45" s="17"/>
      <c r="DF45" s="17"/>
      <c r="DG45" s="17"/>
      <c r="DH45" s="17"/>
      <c r="DI45" s="17"/>
      <c r="DJ45" s="3"/>
      <c r="DK45" s="17"/>
      <c r="DL45" s="17"/>
      <c r="DM45" s="17"/>
      <c r="DN45" s="17"/>
      <c r="DO45" s="17"/>
      <c r="DP45" s="17"/>
      <c r="DQ45" s="17"/>
      <c r="DR45" s="17"/>
      <c r="DS45" s="17"/>
      <c r="DT45" s="17"/>
      <c r="DU45" s="17"/>
      <c r="DV45" s="17"/>
      <c r="DW45" s="17"/>
      <c r="DX45" s="17"/>
      <c r="DY45" s="17"/>
      <c r="DZ45" s="3"/>
      <c r="EA45" s="17"/>
      <c r="EB45" s="17"/>
      <c r="EC45" s="17"/>
      <c r="ED45" s="17"/>
      <c r="EE45" s="17"/>
      <c r="EF45" s="17"/>
      <c r="EG45" s="17"/>
      <c r="EH45" s="17"/>
      <c r="EI45" s="17"/>
      <c r="EJ45" s="17"/>
      <c r="EK45" s="17"/>
      <c r="EL45" s="17"/>
      <c r="EM45" s="17"/>
      <c r="EN45" s="17"/>
      <c r="EO45" s="17"/>
      <c r="EP45" s="3"/>
    </row>
    <row r="46" spans="1:146" x14ac:dyDescent="0.3">
      <c r="A46" s="3">
        <v>45</v>
      </c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4"/>
      <c r="X46" s="14"/>
      <c r="Y46" s="14"/>
      <c r="Z46" s="14"/>
      <c r="AA46" s="14"/>
      <c r="AB46" s="6"/>
      <c r="AC46" s="14"/>
      <c r="AD46" s="14"/>
      <c r="AE46" s="6"/>
      <c r="AF46" s="14"/>
      <c r="AG46" s="14"/>
      <c r="AH46" s="14"/>
      <c r="AI46" s="14"/>
      <c r="AJ46" s="14"/>
      <c r="AK46" s="14"/>
      <c r="AL46" s="14"/>
      <c r="AM46" s="6"/>
      <c r="AN46" s="14"/>
      <c r="AO46" s="14"/>
      <c r="AP46" s="14"/>
      <c r="AQ46" s="14"/>
      <c r="AR46" s="14"/>
      <c r="AS46" s="14"/>
      <c r="AT46" s="6"/>
      <c r="AU46" s="14"/>
      <c r="AV46" s="14"/>
      <c r="AW46" s="14"/>
      <c r="AX46" s="14"/>
      <c r="AY46" s="14"/>
      <c r="AZ46" s="14"/>
      <c r="BA46" s="14"/>
      <c r="BB46" s="6"/>
      <c r="BC46" s="14"/>
      <c r="BD46" s="14"/>
      <c r="BE46" s="14"/>
      <c r="BF46" s="14"/>
      <c r="BG46" s="6"/>
      <c r="BH46" s="14"/>
      <c r="BI46" s="14"/>
      <c r="BJ46" s="14"/>
      <c r="BK46" s="6"/>
      <c r="BL46" s="14"/>
      <c r="BM46" s="14"/>
      <c r="BN46" s="6"/>
      <c r="BO46" s="14"/>
      <c r="BP46" s="14"/>
      <c r="BQ46" s="14"/>
      <c r="BR46" s="6"/>
      <c r="BS46" s="14"/>
      <c r="BT46" s="14"/>
      <c r="BU46" s="14"/>
      <c r="BV46" s="14"/>
      <c r="BW46" s="14"/>
      <c r="BX46" s="6"/>
      <c r="BY46" s="14"/>
      <c r="BZ46" s="14"/>
      <c r="CA46" s="3"/>
      <c r="CB46" s="3"/>
      <c r="CC46" s="3"/>
      <c r="CD46" s="3"/>
      <c r="CE46" s="17"/>
      <c r="CF46" s="17"/>
      <c r="CG46" s="17"/>
      <c r="CH46" s="17"/>
      <c r="CI46" s="17"/>
      <c r="CJ46" s="17"/>
      <c r="CK46" s="17"/>
      <c r="CL46" s="17"/>
      <c r="CM46" s="17"/>
      <c r="CN46" s="17"/>
      <c r="CO46" s="17"/>
      <c r="CP46" s="17"/>
      <c r="CQ46" s="17"/>
      <c r="CR46" s="17"/>
      <c r="CS46" s="17"/>
      <c r="CT46" s="3"/>
      <c r="CU46" s="17"/>
      <c r="CV46" s="17"/>
      <c r="CW46" s="17"/>
      <c r="CX46" s="17"/>
      <c r="CY46" s="17"/>
      <c r="CZ46" s="17"/>
      <c r="DA46" s="17"/>
      <c r="DB46" s="17"/>
      <c r="DC46" s="17"/>
      <c r="DD46" s="17"/>
      <c r="DE46" s="17"/>
      <c r="DF46" s="17"/>
      <c r="DG46" s="17"/>
      <c r="DH46" s="17"/>
      <c r="DI46" s="17"/>
      <c r="DJ46" s="3"/>
      <c r="DK46" s="17"/>
      <c r="DL46" s="17"/>
      <c r="DM46" s="17"/>
      <c r="DN46" s="17"/>
      <c r="DO46" s="17"/>
      <c r="DP46" s="17"/>
      <c r="DQ46" s="17"/>
      <c r="DR46" s="17"/>
      <c r="DS46" s="17"/>
      <c r="DT46" s="17"/>
      <c r="DU46" s="17"/>
      <c r="DV46" s="17"/>
      <c r="DW46" s="17"/>
      <c r="DX46" s="17"/>
      <c r="DY46" s="17"/>
      <c r="DZ46" s="3"/>
      <c r="EA46" s="17"/>
      <c r="EB46" s="17"/>
      <c r="EC46" s="17"/>
      <c r="ED46" s="17"/>
      <c r="EE46" s="17"/>
      <c r="EF46" s="17"/>
      <c r="EG46" s="17"/>
      <c r="EH46" s="17"/>
      <c r="EI46" s="17"/>
      <c r="EJ46" s="17"/>
      <c r="EK46" s="17"/>
      <c r="EL46" s="17"/>
      <c r="EM46" s="17"/>
      <c r="EN46" s="17"/>
      <c r="EO46" s="17"/>
      <c r="EP46" s="3"/>
    </row>
    <row r="47" spans="1:146" x14ac:dyDescent="0.3">
      <c r="A47" s="3">
        <v>46</v>
      </c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4"/>
      <c r="X47" s="6"/>
      <c r="Y47" s="14"/>
      <c r="Z47" s="14"/>
      <c r="AA47" s="14"/>
      <c r="AB47" s="6"/>
      <c r="AC47" s="14"/>
      <c r="AD47" s="14"/>
      <c r="AE47" s="6"/>
      <c r="AF47" s="14"/>
      <c r="AG47" s="14"/>
      <c r="AH47" s="14"/>
      <c r="AI47" s="6"/>
      <c r="AJ47" s="14"/>
      <c r="AK47" s="14"/>
      <c r="AL47" s="14"/>
      <c r="AM47" s="6"/>
      <c r="AN47" s="14"/>
      <c r="AO47" s="14"/>
      <c r="AP47" s="14"/>
      <c r="AQ47" s="14"/>
      <c r="AR47" s="14"/>
      <c r="AS47" s="14"/>
      <c r="AT47" s="6"/>
      <c r="AU47" s="14"/>
      <c r="AV47" s="14"/>
      <c r="AW47" s="14"/>
      <c r="AX47" s="14"/>
      <c r="AY47" s="14"/>
      <c r="AZ47" s="14"/>
      <c r="BA47" s="14"/>
      <c r="BB47" s="6"/>
      <c r="BC47" s="14"/>
      <c r="BD47" s="14"/>
      <c r="BE47" s="14"/>
      <c r="BF47" s="14"/>
      <c r="BG47" s="6"/>
      <c r="BH47" s="14"/>
      <c r="BI47" s="14"/>
      <c r="BJ47" s="14"/>
      <c r="BK47" s="6"/>
      <c r="BL47" s="14"/>
      <c r="BM47" s="14"/>
      <c r="BN47" s="6"/>
      <c r="BO47" s="14"/>
      <c r="BP47" s="14"/>
      <c r="BQ47" s="6"/>
      <c r="BR47" s="6"/>
      <c r="BS47" s="14"/>
      <c r="BT47" s="14"/>
      <c r="BU47" s="6"/>
      <c r="BV47" s="14"/>
      <c r="BW47" s="14"/>
      <c r="BX47" s="14"/>
      <c r="BY47" s="6"/>
      <c r="BZ47" s="14"/>
      <c r="CA47" s="3"/>
      <c r="CB47" s="3"/>
      <c r="CC47" s="3"/>
      <c r="CD47" s="3"/>
      <c r="CE47" s="17"/>
      <c r="CF47" s="17"/>
      <c r="CG47" s="17"/>
      <c r="CH47" s="17"/>
      <c r="CI47" s="17"/>
      <c r="CJ47" s="17"/>
      <c r="CK47" s="17"/>
      <c r="CL47" s="17"/>
      <c r="CM47" s="17"/>
      <c r="CN47" s="17"/>
      <c r="CO47" s="17"/>
      <c r="CP47" s="17"/>
      <c r="CQ47" s="17"/>
      <c r="CR47" s="17"/>
      <c r="CS47" s="17"/>
      <c r="CT47" s="3"/>
      <c r="CU47" s="17"/>
      <c r="CV47" s="17"/>
      <c r="CW47" s="17"/>
      <c r="CX47" s="17"/>
      <c r="CY47" s="17"/>
      <c r="CZ47" s="17"/>
      <c r="DA47" s="17"/>
      <c r="DB47" s="17"/>
      <c r="DC47" s="17"/>
      <c r="DD47" s="17"/>
      <c r="DE47" s="17"/>
      <c r="DF47" s="17"/>
      <c r="DG47" s="17"/>
      <c r="DH47" s="17"/>
      <c r="DI47" s="17"/>
      <c r="DJ47" s="3"/>
      <c r="DK47" s="17"/>
      <c r="DL47" s="17"/>
      <c r="DM47" s="17"/>
      <c r="DN47" s="17"/>
      <c r="DO47" s="17"/>
      <c r="DP47" s="17"/>
      <c r="DQ47" s="17"/>
      <c r="DR47" s="17"/>
      <c r="DS47" s="17"/>
      <c r="DT47" s="17"/>
      <c r="DU47" s="17"/>
      <c r="DV47" s="17"/>
      <c r="DW47" s="17"/>
      <c r="DX47" s="17"/>
      <c r="DY47" s="17"/>
      <c r="DZ47" s="3"/>
      <c r="EA47" s="17"/>
      <c r="EB47" s="17"/>
      <c r="EC47" s="17"/>
      <c r="ED47" s="17"/>
      <c r="EE47" s="17"/>
      <c r="EF47" s="17"/>
      <c r="EG47" s="17"/>
      <c r="EH47" s="17"/>
      <c r="EI47" s="17"/>
      <c r="EJ47" s="17"/>
      <c r="EK47" s="17"/>
      <c r="EL47" s="17"/>
      <c r="EM47" s="17"/>
      <c r="EN47" s="17"/>
      <c r="EO47" s="17"/>
      <c r="EP47" s="3"/>
    </row>
    <row r="48" spans="1:146" x14ac:dyDescent="0.3">
      <c r="A48" s="3">
        <v>47</v>
      </c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4"/>
      <c r="X48" s="14"/>
      <c r="Y48" s="3">
        <v>1</v>
      </c>
      <c r="Z48" s="6"/>
      <c r="AA48" s="6"/>
      <c r="AB48" s="14"/>
      <c r="AC48" s="14"/>
      <c r="AD48" s="14"/>
      <c r="AE48" s="14"/>
      <c r="AF48" s="6"/>
      <c r="AG48" s="6"/>
      <c r="AH48" s="6"/>
      <c r="AI48" s="14"/>
      <c r="AJ48" s="14"/>
      <c r="AK48" s="14"/>
      <c r="AL48" s="14"/>
      <c r="AM48" s="14"/>
      <c r="AN48" s="6"/>
      <c r="AO48" s="6"/>
      <c r="AP48" s="14"/>
      <c r="AQ48" s="14"/>
      <c r="AR48" s="14"/>
      <c r="AS48" s="14"/>
      <c r="AT48" s="14"/>
      <c r="AU48" s="6"/>
      <c r="AV48" s="6"/>
      <c r="AW48" s="14"/>
      <c r="AX48" s="14"/>
      <c r="AY48" s="14"/>
      <c r="AZ48" s="14"/>
      <c r="BA48" s="14"/>
      <c r="BB48" s="6"/>
      <c r="BC48" s="14"/>
      <c r="BD48" s="14"/>
      <c r="BE48" s="14"/>
      <c r="BF48" s="14"/>
      <c r="BG48" s="6"/>
      <c r="BH48" s="14"/>
      <c r="BI48" s="14"/>
      <c r="BJ48" s="14"/>
      <c r="BK48" s="6"/>
      <c r="BL48" s="14"/>
      <c r="BM48" s="14"/>
      <c r="BN48" s="14"/>
      <c r="BO48" s="6"/>
      <c r="BP48" s="6"/>
      <c r="BQ48" s="14"/>
      <c r="BR48" s="6"/>
      <c r="BS48" s="14"/>
      <c r="BT48" s="14"/>
      <c r="BU48" s="14"/>
      <c r="BV48" s="6"/>
      <c r="BW48" s="6"/>
      <c r="BX48" s="6"/>
      <c r="BY48" s="14"/>
      <c r="BZ48" s="14"/>
      <c r="CA48" s="3"/>
      <c r="CB48" s="3"/>
      <c r="CC48" s="3"/>
      <c r="CD48" s="3"/>
      <c r="CE48" s="17"/>
      <c r="CF48" s="17"/>
      <c r="CG48" s="17"/>
      <c r="CH48" s="17"/>
      <c r="CI48" s="17"/>
      <c r="CJ48" s="17"/>
      <c r="CK48" s="17"/>
      <c r="CL48" s="17"/>
      <c r="CM48" s="17"/>
      <c r="CN48" s="17"/>
      <c r="CO48" s="17"/>
      <c r="CP48" s="17"/>
      <c r="CQ48" s="17"/>
      <c r="CR48" s="17"/>
      <c r="CS48" s="17"/>
      <c r="CT48" s="3"/>
      <c r="CU48" s="17"/>
      <c r="CV48" s="17"/>
      <c r="CW48" s="17"/>
      <c r="CX48" s="17"/>
      <c r="CY48" s="17"/>
      <c r="CZ48" s="17"/>
      <c r="DA48" s="17"/>
      <c r="DB48" s="17"/>
      <c r="DC48" s="17"/>
      <c r="DD48" s="17"/>
      <c r="DE48" s="17"/>
      <c r="DF48" s="17"/>
      <c r="DG48" s="17"/>
      <c r="DH48" s="17"/>
      <c r="DI48" s="17"/>
      <c r="DJ48" s="3"/>
      <c r="DK48" s="17"/>
      <c r="DL48" s="17"/>
      <c r="DM48" s="17"/>
      <c r="DN48" s="17"/>
      <c r="DO48" s="17"/>
      <c r="DP48" s="17"/>
      <c r="DQ48" s="17"/>
      <c r="DR48" s="17"/>
      <c r="DS48" s="17"/>
      <c r="DT48" s="17"/>
      <c r="DU48" s="17"/>
      <c r="DV48" s="17"/>
      <c r="DW48" s="17"/>
      <c r="DX48" s="17"/>
      <c r="DY48" s="17"/>
      <c r="DZ48" s="3"/>
      <c r="EA48" s="17"/>
      <c r="EB48" s="17"/>
      <c r="EC48" s="17"/>
      <c r="ED48" s="17"/>
      <c r="EE48" s="17"/>
      <c r="EF48" s="17"/>
      <c r="EG48" s="17"/>
      <c r="EH48" s="17"/>
      <c r="EI48" s="17"/>
      <c r="EJ48" s="17"/>
      <c r="EK48" s="17"/>
      <c r="EL48" s="17"/>
      <c r="EM48" s="17"/>
      <c r="EN48" s="17"/>
      <c r="EO48" s="17"/>
      <c r="EP48" s="3"/>
    </row>
    <row r="49" spans="1:146" x14ac:dyDescent="0.3">
      <c r="A49" s="3">
        <v>48</v>
      </c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4"/>
      <c r="X49" s="14"/>
      <c r="Y49" s="3">
        <v>1</v>
      </c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  <c r="AZ49" s="14"/>
      <c r="BA49" s="14"/>
      <c r="BB49" s="14"/>
      <c r="BC49" s="14"/>
      <c r="BD49" s="14"/>
      <c r="BE49" s="14"/>
      <c r="BF49" s="14"/>
      <c r="BG49" s="14"/>
      <c r="BH49" s="14"/>
      <c r="BI49" s="14"/>
      <c r="BJ49" s="14"/>
      <c r="BK49" s="14"/>
      <c r="BL49" s="14"/>
      <c r="BM49" s="14"/>
      <c r="BN49" s="14"/>
      <c r="BO49" s="14"/>
      <c r="BP49" s="14"/>
      <c r="BQ49" s="14"/>
      <c r="BR49" s="6"/>
      <c r="BS49" s="14"/>
      <c r="BT49" s="14"/>
      <c r="BU49" s="14"/>
      <c r="BV49" s="14"/>
      <c r="BW49" s="14"/>
      <c r="BX49" s="14"/>
      <c r="BY49" s="14"/>
      <c r="BZ49" s="14"/>
      <c r="CA49" s="3"/>
      <c r="CB49" s="3"/>
      <c r="CC49" s="3"/>
      <c r="CD49" s="3"/>
      <c r="CE49" s="17"/>
      <c r="CF49" s="17"/>
      <c r="CG49" s="17"/>
      <c r="CH49" s="17"/>
      <c r="CI49" s="17"/>
      <c r="CJ49" s="17"/>
      <c r="CK49" s="17"/>
      <c r="CL49" s="17"/>
      <c r="CM49" s="17"/>
      <c r="CN49" s="17"/>
      <c r="CO49" s="17"/>
      <c r="CP49" s="17"/>
      <c r="CQ49" s="17"/>
      <c r="CR49" s="17"/>
      <c r="CS49" s="17"/>
      <c r="CT49" s="3"/>
      <c r="CU49" s="17"/>
      <c r="CV49" s="17"/>
      <c r="CW49" s="17"/>
      <c r="CX49" s="17"/>
      <c r="CY49" s="17"/>
      <c r="CZ49" s="17"/>
      <c r="DA49" s="17"/>
      <c r="DB49" s="17"/>
      <c r="DC49" s="17"/>
      <c r="DD49" s="17"/>
      <c r="DE49" s="17"/>
      <c r="DF49" s="17"/>
      <c r="DG49" s="17"/>
      <c r="DH49" s="17"/>
      <c r="DI49" s="17"/>
      <c r="DJ49" s="3"/>
      <c r="DK49" s="17"/>
      <c r="DL49" s="17"/>
      <c r="DM49" s="17"/>
      <c r="DN49" s="17"/>
      <c r="DO49" s="17"/>
      <c r="DP49" s="17"/>
      <c r="DQ49" s="17"/>
      <c r="DR49" s="17"/>
      <c r="DS49" s="17"/>
      <c r="DT49" s="17"/>
      <c r="DU49" s="17"/>
      <c r="DV49" s="17"/>
      <c r="DW49" s="17"/>
      <c r="DX49" s="17"/>
      <c r="DY49" s="17"/>
      <c r="DZ49" s="3"/>
      <c r="EA49" s="17"/>
      <c r="EB49" s="17"/>
      <c r="EC49" s="17"/>
      <c r="ED49" s="17"/>
      <c r="EE49" s="17"/>
      <c r="EF49" s="17"/>
      <c r="EG49" s="17"/>
      <c r="EH49" s="17"/>
      <c r="EI49" s="17"/>
      <c r="EJ49" s="17"/>
      <c r="EK49" s="17"/>
      <c r="EL49" s="17"/>
      <c r="EM49" s="17"/>
      <c r="EN49" s="17"/>
      <c r="EO49" s="17"/>
      <c r="EP49" s="3"/>
    </row>
    <row r="50" spans="1:146" x14ac:dyDescent="0.3">
      <c r="A50" s="3">
        <v>49</v>
      </c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4"/>
      <c r="X50" s="14"/>
      <c r="Y50" s="3">
        <v>1</v>
      </c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14"/>
      <c r="AW50" s="14"/>
      <c r="AX50" s="14"/>
      <c r="AY50" s="14"/>
      <c r="AZ50" s="14"/>
      <c r="BA50" s="14"/>
      <c r="BB50" s="14"/>
      <c r="BC50" s="14"/>
      <c r="BD50" s="14"/>
      <c r="BE50" s="14"/>
      <c r="BF50" s="14"/>
      <c r="BG50" s="14"/>
      <c r="BH50" s="14"/>
      <c r="BI50" s="14"/>
      <c r="BJ50" s="14"/>
      <c r="BK50" s="14"/>
      <c r="BL50" s="14"/>
      <c r="BM50" s="14"/>
      <c r="BN50" s="6"/>
      <c r="BO50" s="6"/>
      <c r="BP50" s="6"/>
      <c r="BQ50" s="6"/>
      <c r="BR50" s="14"/>
      <c r="BS50" s="14"/>
      <c r="BT50" s="14"/>
      <c r="BU50" s="14"/>
      <c r="BV50" s="14"/>
      <c r="BW50" s="14"/>
      <c r="BX50" s="14"/>
      <c r="BY50" s="14"/>
      <c r="BZ50" s="14"/>
      <c r="CA50" s="3"/>
      <c r="CB50" s="3"/>
      <c r="CC50" s="3"/>
      <c r="CD50" s="3"/>
      <c r="CE50" s="17"/>
      <c r="CF50" s="17"/>
      <c r="CG50" s="17"/>
      <c r="CH50" s="17"/>
      <c r="CI50" s="17"/>
      <c r="CJ50" s="17"/>
      <c r="CK50" s="17"/>
      <c r="CL50" s="17"/>
      <c r="CM50" s="17"/>
      <c r="CN50" s="17"/>
      <c r="CO50" s="17"/>
      <c r="CP50" s="17"/>
      <c r="CQ50" s="17"/>
      <c r="CR50" s="17"/>
      <c r="CS50" s="17"/>
      <c r="CT50" s="3"/>
      <c r="CU50" s="17"/>
      <c r="CV50" s="17"/>
      <c r="CW50" s="17"/>
      <c r="CX50" s="17"/>
      <c r="CY50" s="17"/>
      <c r="CZ50" s="17"/>
      <c r="DA50" s="17"/>
      <c r="DB50" s="17"/>
      <c r="DC50" s="17"/>
      <c r="DD50" s="17"/>
      <c r="DE50" s="17"/>
      <c r="DF50" s="17"/>
      <c r="DG50" s="17"/>
      <c r="DH50" s="17"/>
      <c r="DI50" s="17"/>
      <c r="DJ50" s="3"/>
      <c r="DK50" s="17"/>
      <c r="DL50" s="17"/>
      <c r="DM50" s="17"/>
      <c r="DN50" s="17"/>
      <c r="DO50" s="17"/>
      <c r="DP50" s="17"/>
      <c r="DQ50" s="17"/>
      <c r="DR50" s="17"/>
      <c r="DS50" s="17"/>
      <c r="DT50" s="17"/>
      <c r="DU50" s="17"/>
      <c r="DV50" s="17"/>
      <c r="DW50" s="17"/>
      <c r="DX50" s="17"/>
      <c r="DY50" s="17"/>
      <c r="DZ50" s="3"/>
      <c r="EA50" s="17"/>
      <c r="EB50" s="17"/>
      <c r="EC50" s="17"/>
      <c r="ED50" s="17"/>
      <c r="EE50" s="17"/>
      <c r="EF50" s="17"/>
      <c r="EG50" s="17"/>
      <c r="EH50" s="17"/>
      <c r="EI50" s="17"/>
      <c r="EJ50" s="17"/>
      <c r="EK50" s="17"/>
      <c r="EL50" s="17"/>
      <c r="EM50" s="17"/>
      <c r="EN50" s="17"/>
      <c r="EO50" s="17"/>
      <c r="EP50" s="3"/>
    </row>
    <row r="51" spans="1:146" x14ac:dyDescent="0.3">
      <c r="A51" s="3">
        <v>50</v>
      </c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4"/>
      <c r="X51" s="6"/>
      <c r="Y51" s="3">
        <v>1</v>
      </c>
      <c r="Z51" s="14"/>
      <c r="AA51" s="14"/>
      <c r="AB51" s="6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6"/>
      <c r="AO51" s="14"/>
      <c r="AP51" s="14"/>
      <c r="AQ51" s="14"/>
      <c r="AR51" s="14"/>
      <c r="AS51" s="14"/>
      <c r="AT51" s="14"/>
      <c r="AU51" s="14"/>
      <c r="AV51" s="14"/>
      <c r="AW51" s="14"/>
      <c r="AX51" s="14"/>
      <c r="AY51" s="14"/>
      <c r="AZ51" s="14"/>
      <c r="BA51" s="6"/>
      <c r="BB51" s="14"/>
      <c r="BC51" s="14"/>
      <c r="BD51" s="14"/>
      <c r="BE51" s="14"/>
      <c r="BF51" s="14"/>
      <c r="BG51" s="14"/>
      <c r="BH51" s="14"/>
      <c r="BI51" s="14"/>
      <c r="BJ51" s="14"/>
      <c r="BK51" s="14"/>
      <c r="BL51" s="14"/>
      <c r="BM51" s="14"/>
      <c r="BN51" s="14"/>
      <c r="BO51" s="14"/>
      <c r="BP51" s="14"/>
      <c r="BQ51" s="14"/>
      <c r="BR51" s="14"/>
      <c r="BS51" s="14"/>
      <c r="BT51" s="14"/>
      <c r="BU51" s="14"/>
      <c r="BV51" s="14"/>
      <c r="BW51" s="14"/>
      <c r="BX51" s="14"/>
      <c r="BY51" s="14"/>
      <c r="BZ51" s="14"/>
      <c r="CA51" s="14"/>
      <c r="CB51" s="14"/>
      <c r="CC51" s="14"/>
      <c r="CD51" s="14"/>
      <c r="CE51" s="16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4"/>
      <c r="CU51" s="16"/>
      <c r="CV51" s="17"/>
      <c r="CW51" s="17"/>
      <c r="CX51" s="17"/>
      <c r="CY51" s="17"/>
      <c r="CZ51" s="17"/>
      <c r="DA51" s="17"/>
      <c r="DB51" s="17"/>
      <c r="DC51" s="17"/>
      <c r="DD51" s="17"/>
      <c r="DE51" s="17"/>
      <c r="DF51" s="17"/>
      <c r="DG51" s="17"/>
      <c r="DH51" s="17"/>
      <c r="DI51" s="17"/>
      <c r="DJ51" s="3"/>
      <c r="DK51" s="17"/>
      <c r="DL51" s="17"/>
      <c r="DM51" s="17"/>
      <c r="DN51" s="17"/>
      <c r="DO51" s="17"/>
      <c r="DP51" s="17"/>
      <c r="DQ51" s="17"/>
      <c r="DR51" s="17"/>
      <c r="DS51" s="17"/>
      <c r="DT51" s="17"/>
      <c r="DU51" s="17"/>
      <c r="DV51" s="17"/>
      <c r="DW51" s="17"/>
      <c r="DX51" s="17"/>
      <c r="DY51" s="17"/>
      <c r="DZ51" s="3"/>
      <c r="EA51" s="17"/>
      <c r="EB51" s="17"/>
      <c r="EC51" s="17"/>
      <c r="ED51" s="17"/>
      <c r="EE51" s="17"/>
      <c r="EF51" s="17"/>
      <c r="EG51" s="17"/>
      <c r="EH51" s="17"/>
      <c r="EI51" s="17"/>
      <c r="EJ51" s="17"/>
      <c r="EK51" s="17"/>
      <c r="EL51" s="17"/>
      <c r="EM51" s="17"/>
      <c r="EN51" s="17"/>
      <c r="EO51" s="17"/>
      <c r="EP51" s="3"/>
    </row>
    <row r="52" spans="1:146" x14ac:dyDescent="0.3">
      <c r="A52" s="3">
        <v>51</v>
      </c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4"/>
      <c r="X52" s="6"/>
      <c r="Y52" s="3">
        <v>1</v>
      </c>
      <c r="Z52" s="14"/>
      <c r="AA52" s="6"/>
      <c r="AB52" s="6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  <c r="AR52" s="14"/>
      <c r="AS52" s="14"/>
      <c r="AT52" s="14"/>
      <c r="AU52" s="14"/>
      <c r="AV52" s="14"/>
      <c r="AW52" s="14"/>
      <c r="AX52" s="14"/>
      <c r="AY52" s="14"/>
      <c r="AZ52" s="14"/>
      <c r="BA52" s="6"/>
      <c r="BB52" s="14"/>
      <c r="BC52" s="14"/>
      <c r="BD52" s="14"/>
      <c r="BE52" s="14"/>
      <c r="BF52" s="14"/>
      <c r="BG52" s="14"/>
      <c r="BH52" s="14"/>
      <c r="BI52" s="14"/>
      <c r="BJ52" s="14"/>
      <c r="BK52" s="14"/>
      <c r="BL52" s="14"/>
      <c r="BM52" s="14"/>
      <c r="BN52" s="14"/>
      <c r="BO52" s="14"/>
      <c r="BP52" s="14"/>
      <c r="BQ52" s="14"/>
      <c r="BR52" s="14"/>
      <c r="BS52" s="14"/>
      <c r="BT52" s="14"/>
      <c r="BU52" s="14"/>
      <c r="BV52" s="14"/>
      <c r="BW52" s="14"/>
      <c r="BX52" s="14"/>
      <c r="BY52" s="14"/>
      <c r="BZ52" s="14"/>
      <c r="CA52" s="14"/>
      <c r="CB52" s="14"/>
      <c r="CC52" s="14"/>
      <c r="CD52" s="14"/>
      <c r="CE52" s="16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4"/>
      <c r="CU52" s="16"/>
      <c r="CV52" s="17"/>
      <c r="CW52" s="17"/>
      <c r="CX52" s="17"/>
      <c r="CY52" s="17"/>
      <c r="CZ52" s="17"/>
      <c r="DA52" s="17"/>
      <c r="DB52" s="17"/>
      <c r="DC52" s="17"/>
      <c r="DD52" s="17"/>
      <c r="DE52" s="17"/>
      <c r="DF52" s="17"/>
      <c r="DG52" s="17"/>
      <c r="DH52" s="17"/>
      <c r="DI52" s="17"/>
      <c r="DJ52" s="3"/>
      <c r="DK52" s="17"/>
      <c r="DL52" s="17"/>
      <c r="DM52" s="17"/>
      <c r="DN52" s="17"/>
      <c r="DO52" s="17"/>
      <c r="DP52" s="17"/>
      <c r="DQ52" s="17"/>
      <c r="DR52" s="17"/>
      <c r="DS52" s="17"/>
      <c r="DT52" s="17"/>
      <c r="DU52" s="17"/>
      <c r="DV52" s="17"/>
      <c r="DW52" s="17"/>
      <c r="DX52" s="17"/>
      <c r="DY52" s="17"/>
      <c r="DZ52" s="3"/>
      <c r="EA52" s="17"/>
      <c r="EB52" s="17"/>
      <c r="EC52" s="17"/>
      <c r="ED52" s="17"/>
      <c r="EE52" s="17"/>
      <c r="EF52" s="17"/>
      <c r="EG52" s="17"/>
      <c r="EH52" s="17"/>
      <c r="EI52" s="17"/>
      <c r="EJ52" s="17"/>
      <c r="EK52" s="17"/>
      <c r="EL52" s="17"/>
      <c r="EM52" s="17"/>
      <c r="EN52" s="17"/>
      <c r="EO52" s="17"/>
      <c r="EP52" s="3"/>
    </row>
    <row r="53" spans="1:146" x14ac:dyDescent="0.3">
      <c r="A53" s="3">
        <v>52</v>
      </c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4"/>
      <c r="X53" s="6"/>
      <c r="Y53" s="3">
        <v>1</v>
      </c>
      <c r="Z53" s="14"/>
      <c r="AA53" s="6"/>
      <c r="AB53" s="6"/>
      <c r="AC53" s="14"/>
      <c r="AD53" s="14"/>
      <c r="AE53" s="14"/>
      <c r="AF53" s="6"/>
      <c r="AG53" s="6"/>
      <c r="AH53" s="6"/>
      <c r="AI53" s="14"/>
      <c r="AJ53" s="14"/>
      <c r="AK53" s="14"/>
      <c r="AL53" s="6"/>
      <c r="AM53" s="6"/>
      <c r="AN53" s="6"/>
      <c r="AO53" s="14"/>
      <c r="AP53" s="14"/>
      <c r="AQ53" s="14"/>
      <c r="AR53" s="14"/>
      <c r="AS53" s="6"/>
      <c r="AT53" s="14"/>
      <c r="AU53" s="6"/>
      <c r="AV53" s="6"/>
      <c r="AW53" s="14"/>
      <c r="AX53" s="14"/>
      <c r="AY53" s="14"/>
      <c r="AZ53" s="6"/>
      <c r="BA53" s="6"/>
      <c r="BB53" s="6"/>
      <c r="BC53" s="6"/>
      <c r="BD53" s="14"/>
      <c r="BE53" s="14"/>
      <c r="BF53" s="14"/>
      <c r="BG53" s="14"/>
      <c r="BH53" s="6"/>
      <c r="BI53" s="6"/>
      <c r="BJ53" s="6"/>
      <c r="BK53" s="14"/>
      <c r="BL53" s="14"/>
      <c r="BM53" s="14"/>
      <c r="BN53" s="6"/>
      <c r="BO53" s="14"/>
      <c r="BP53" s="6"/>
      <c r="BQ53" s="6"/>
      <c r="BR53" s="14"/>
      <c r="BS53" s="14"/>
      <c r="BT53" s="14"/>
      <c r="BU53" s="14"/>
      <c r="BV53" s="6"/>
      <c r="BW53" s="6"/>
      <c r="BX53" s="6"/>
      <c r="BY53" s="14"/>
      <c r="BZ53" s="14"/>
      <c r="CA53" s="14"/>
      <c r="CB53" s="6"/>
      <c r="CC53" s="14"/>
      <c r="CD53" s="6"/>
      <c r="CE53" s="15"/>
      <c r="CF53" s="16"/>
      <c r="CG53" s="16"/>
      <c r="CH53" s="16"/>
      <c r="CI53" s="16"/>
      <c r="CJ53" s="15"/>
      <c r="CK53" s="15"/>
      <c r="CL53" s="15"/>
      <c r="CM53" s="16"/>
      <c r="CN53" s="16"/>
      <c r="CO53" s="16"/>
      <c r="CP53" s="16"/>
      <c r="CQ53" s="15"/>
      <c r="CR53" s="15"/>
      <c r="CS53" s="15"/>
      <c r="CT53" s="14"/>
      <c r="CU53" s="16"/>
      <c r="CV53" s="17"/>
      <c r="CW53" s="17"/>
      <c r="CX53" s="17"/>
      <c r="CY53" s="17"/>
      <c r="CZ53" s="17"/>
      <c r="DA53" s="17"/>
      <c r="DB53" s="17"/>
      <c r="DC53" s="17"/>
      <c r="DD53" s="17"/>
      <c r="DE53" s="17"/>
      <c r="DF53" s="17"/>
      <c r="DG53" s="17"/>
      <c r="DH53" s="17"/>
      <c r="DI53" s="17"/>
      <c r="DJ53" s="3"/>
      <c r="DK53" s="17"/>
      <c r="DL53" s="17"/>
      <c r="DM53" s="17"/>
      <c r="DN53" s="17"/>
      <c r="DO53" s="17"/>
      <c r="DP53" s="17"/>
      <c r="DQ53" s="17"/>
      <c r="DR53" s="17"/>
      <c r="DS53" s="17"/>
      <c r="DT53" s="17"/>
      <c r="DU53" s="17"/>
      <c r="DV53" s="17"/>
      <c r="DW53" s="17"/>
      <c r="DX53" s="17"/>
      <c r="DY53" s="17"/>
      <c r="DZ53" s="3"/>
      <c r="EA53" s="17"/>
      <c r="EB53" s="17"/>
      <c r="EC53" s="17"/>
      <c r="ED53" s="17"/>
      <c r="EE53" s="17"/>
      <c r="EF53" s="17"/>
      <c r="EG53" s="17"/>
      <c r="EH53" s="17"/>
      <c r="EI53" s="17"/>
      <c r="EJ53" s="17"/>
      <c r="EK53" s="17"/>
      <c r="EL53" s="17"/>
      <c r="EM53" s="17"/>
      <c r="EN53" s="17"/>
      <c r="EO53" s="17"/>
      <c r="EP53" s="3"/>
    </row>
    <row r="54" spans="1:146" x14ac:dyDescent="0.3">
      <c r="A54" s="3">
        <v>53</v>
      </c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4"/>
      <c r="X54" s="6"/>
      <c r="Y54" s="3">
        <v>1</v>
      </c>
      <c r="Z54" s="6"/>
      <c r="AA54" s="14"/>
      <c r="AB54" s="6"/>
      <c r="AC54" s="14"/>
      <c r="AD54" s="14"/>
      <c r="AE54" s="6"/>
      <c r="AF54" s="14"/>
      <c r="AG54" s="14"/>
      <c r="AH54" s="14"/>
      <c r="AI54" s="6"/>
      <c r="AJ54" s="14"/>
      <c r="AK54" s="14"/>
      <c r="AL54" s="14"/>
      <c r="AM54" s="14"/>
      <c r="AN54" s="6"/>
      <c r="AO54" s="14"/>
      <c r="AP54" s="14"/>
      <c r="AQ54" s="14"/>
      <c r="AR54" s="14"/>
      <c r="AS54" s="6"/>
      <c r="AT54" s="6"/>
      <c r="AU54" s="14"/>
      <c r="AV54" s="14"/>
      <c r="AW54" s="6"/>
      <c r="AX54" s="14"/>
      <c r="AY54" s="14"/>
      <c r="AZ54" s="14"/>
      <c r="BA54" s="6"/>
      <c r="BB54" s="14"/>
      <c r="BC54" s="14"/>
      <c r="BD54" s="14"/>
      <c r="BE54" s="14"/>
      <c r="BF54" s="14"/>
      <c r="BG54" s="6"/>
      <c r="BH54" s="14"/>
      <c r="BI54" s="14"/>
      <c r="BJ54" s="14"/>
      <c r="BK54" s="6"/>
      <c r="BL54" s="14"/>
      <c r="BM54" s="14"/>
      <c r="BN54" s="6"/>
      <c r="BO54" s="6"/>
      <c r="BP54" s="14"/>
      <c r="BQ54" s="14"/>
      <c r="BR54" s="6"/>
      <c r="BS54" s="14"/>
      <c r="BT54" s="14"/>
      <c r="BU54" s="6"/>
      <c r="BV54" s="14"/>
      <c r="BW54" s="14"/>
      <c r="BX54" s="14"/>
      <c r="BY54" s="6"/>
      <c r="BZ54" s="14"/>
      <c r="CA54" s="14"/>
      <c r="CB54" s="6"/>
      <c r="CC54" s="6"/>
      <c r="CD54" s="14"/>
      <c r="CE54" s="16"/>
      <c r="CF54" s="15"/>
      <c r="CG54" s="16"/>
      <c r="CH54" s="16"/>
      <c r="CI54" s="15"/>
      <c r="CJ54" s="16"/>
      <c r="CK54" s="16"/>
      <c r="CL54" s="16"/>
      <c r="CM54" s="15"/>
      <c r="CN54" s="16"/>
      <c r="CO54" s="16"/>
      <c r="CP54" s="15"/>
      <c r="CQ54" s="16"/>
      <c r="CR54" s="16"/>
      <c r="CS54" s="16"/>
      <c r="CT54" s="6"/>
      <c r="CU54" s="16"/>
      <c r="CV54" s="17"/>
      <c r="CW54" s="17"/>
      <c r="CX54" s="17"/>
      <c r="CY54" s="17"/>
      <c r="CZ54" s="17"/>
      <c r="DA54" s="17"/>
      <c r="DB54" s="17"/>
      <c r="DC54" s="17"/>
      <c r="DD54" s="17"/>
      <c r="DE54" s="17"/>
      <c r="DF54" s="17"/>
      <c r="DG54" s="17"/>
      <c r="DH54" s="17"/>
      <c r="DI54" s="17"/>
      <c r="DJ54" s="3"/>
      <c r="DK54" s="17"/>
      <c r="DL54" s="17"/>
      <c r="DM54" s="17"/>
      <c r="DN54" s="17"/>
      <c r="DO54" s="17"/>
      <c r="DP54" s="17"/>
      <c r="DQ54" s="17"/>
      <c r="DR54" s="17"/>
      <c r="DS54" s="17"/>
      <c r="DT54" s="17"/>
      <c r="DU54" s="17"/>
      <c r="DV54" s="17"/>
      <c r="DW54" s="17"/>
      <c r="DX54" s="17"/>
      <c r="DY54" s="17"/>
      <c r="DZ54" s="3"/>
      <c r="EA54" s="17"/>
      <c r="EB54" s="17"/>
      <c r="EC54" s="17"/>
      <c r="ED54" s="17"/>
      <c r="EE54" s="17"/>
      <c r="EF54" s="17"/>
      <c r="EG54" s="17"/>
      <c r="EH54" s="17"/>
      <c r="EI54" s="17"/>
      <c r="EJ54" s="17"/>
      <c r="EK54" s="17"/>
      <c r="EL54" s="17"/>
      <c r="EM54" s="17"/>
      <c r="EN54" s="17"/>
      <c r="EO54" s="17"/>
      <c r="EP54" s="3"/>
    </row>
    <row r="55" spans="1:146" x14ac:dyDescent="0.3">
      <c r="A55" s="3">
        <v>54</v>
      </c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4"/>
      <c r="X55" s="6"/>
      <c r="Y55" s="14">
        <v>1</v>
      </c>
      <c r="Z55" s="14"/>
      <c r="AA55" s="14"/>
      <c r="AB55" s="6"/>
      <c r="AC55" s="14"/>
      <c r="AD55" s="14"/>
      <c r="AE55" s="14"/>
      <c r="AF55" s="6"/>
      <c r="AG55" s="6"/>
      <c r="AH55" s="6"/>
      <c r="AI55" s="6"/>
      <c r="AJ55" s="14"/>
      <c r="AK55" s="14"/>
      <c r="AL55" s="14"/>
      <c r="AM55" s="14"/>
      <c r="AN55" s="6"/>
      <c r="AO55" s="14"/>
      <c r="AP55" s="14"/>
      <c r="AQ55" s="14"/>
      <c r="AR55" s="14"/>
      <c r="AS55" s="6"/>
      <c r="AT55" s="14"/>
      <c r="AU55" s="14"/>
      <c r="AV55" s="14"/>
      <c r="AW55" s="6"/>
      <c r="AX55" s="14"/>
      <c r="AY55" s="14"/>
      <c r="AZ55" s="14"/>
      <c r="BA55" s="6"/>
      <c r="BB55" s="14"/>
      <c r="BC55" s="14"/>
      <c r="BD55" s="14"/>
      <c r="BE55" s="14"/>
      <c r="BF55" s="14"/>
      <c r="BG55" s="6"/>
      <c r="BH55" s="6"/>
      <c r="BI55" s="6"/>
      <c r="BJ55" s="6"/>
      <c r="BK55" s="6"/>
      <c r="BL55" s="14"/>
      <c r="BM55" s="14"/>
      <c r="BN55" s="6"/>
      <c r="BO55" s="14"/>
      <c r="BP55" s="14"/>
      <c r="BQ55" s="14"/>
      <c r="BR55" s="6"/>
      <c r="BS55" s="14"/>
      <c r="BT55" s="14"/>
      <c r="BU55" s="14"/>
      <c r="BV55" s="6"/>
      <c r="BW55" s="6"/>
      <c r="BX55" s="6"/>
      <c r="BY55" s="6"/>
      <c r="BZ55" s="14"/>
      <c r="CA55" s="14"/>
      <c r="CB55" s="6"/>
      <c r="CC55" s="14"/>
      <c r="CD55" s="14"/>
      <c r="CE55" s="16"/>
      <c r="CF55" s="15"/>
      <c r="CG55" s="16"/>
      <c r="CH55" s="16"/>
      <c r="CI55" s="15"/>
      <c r="CJ55" s="16"/>
      <c r="CK55" s="16"/>
      <c r="CL55" s="16"/>
      <c r="CM55" s="16"/>
      <c r="CN55" s="16"/>
      <c r="CO55" s="16"/>
      <c r="CP55" s="15"/>
      <c r="CQ55" s="15"/>
      <c r="CR55" s="15"/>
      <c r="CS55" s="15"/>
      <c r="CT55" s="6"/>
      <c r="CU55" s="16"/>
      <c r="CV55" s="17"/>
      <c r="CW55" s="17"/>
      <c r="CX55" s="17"/>
      <c r="CY55" s="17"/>
      <c r="CZ55" s="17"/>
      <c r="DA55" s="17"/>
      <c r="DB55" s="17"/>
      <c r="DC55" s="17"/>
      <c r="DD55" s="17"/>
      <c r="DE55" s="17"/>
      <c r="DF55" s="17"/>
      <c r="DG55" s="17"/>
      <c r="DH55" s="17"/>
      <c r="DI55" s="17"/>
      <c r="DJ55" s="3"/>
      <c r="DK55" s="17"/>
      <c r="DL55" s="17"/>
      <c r="DM55" s="17"/>
      <c r="DN55" s="17"/>
      <c r="DO55" s="17"/>
      <c r="DP55" s="17"/>
      <c r="DQ55" s="17"/>
      <c r="DR55" s="17"/>
      <c r="DS55" s="17"/>
      <c r="DT55" s="17"/>
      <c r="DU55" s="17"/>
      <c r="DV55" s="17"/>
      <c r="DW55" s="17"/>
      <c r="DX55" s="17"/>
      <c r="DY55" s="17"/>
      <c r="DZ55" s="3"/>
      <c r="EA55" s="17"/>
      <c r="EB55" s="17"/>
      <c r="EC55" s="17"/>
      <c r="ED55" s="17"/>
      <c r="EE55" s="17"/>
      <c r="EF55" s="17"/>
      <c r="EG55" s="17"/>
      <c r="EH55" s="17"/>
      <c r="EI55" s="17"/>
      <c r="EJ55" s="17"/>
      <c r="EK55" s="17"/>
      <c r="EL55" s="17"/>
      <c r="EM55" s="17"/>
      <c r="EN55" s="17"/>
      <c r="EO55" s="17"/>
      <c r="EP55" s="3"/>
    </row>
    <row r="56" spans="1:146" x14ac:dyDescent="0.3">
      <c r="A56" s="3">
        <v>55</v>
      </c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4"/>
      <c r="X56" s="6"/>
      <c r="Y56" s="14">
        <v>1</v>
      </c>
      <c r="Z56" s="14"/>
      <c r="AA56" s="14"/>
      <c r="AB56" s="6"/>
      <c r="AC56" s="14"/>
      <c r="AD56" s="14"/>
      <c r="AE56" s="6"/>
      <c r="AF56" s="14"/>
      <c r="AG56" s="14"/>
      <c r="AH56" s="14"/>
      <c r="AI56" s="6"/>
      <c r="AJ56" s="14"/>
      <c r="AK56" s="14"/>
      <c r="AL56" s="14"/>
      <c r="AM56" s="14"/>
      <c r="AN56" s="6"/>
      <c r="AO56" s="14"/>
      <c r="AP56" s="14"/>
      <c r="AQ56" s="14"/>
      <c r="AR56" s="14"/>
      <c r="AS56" s="6"/>
      <c r="AT56" s="14"/>
      <c r="AU56" s="14"/>
      <c r="AV56" s="14"/>
      <c r="AW56" s="6"/>
      <c r="AX56" s="14"/>
      <c r="AY56" s="14"/>
      <c r="AZ56" s="14"/>
      <c r="BA56" s="6"/>
      <c r="BB56" s="14"/>
      <c r="BC56" s="14"/>
      <c r="BD56" s="14"/>
      <c r="BE56" s="14"/>
      <c r="BF56" s="14"/>
      <c r="BG56" s="6"/>
      <c r="BH56" s="14"/>
      <c r="BI56" s="14"/>
      <c r="BJ56" s="14"/>
      <c r="BK56" s="14"/>
      <c r="BL56" s="14"/>
      <c r="BM56" s="14"/>
      <c r="BN56" s="6"/>
      <c r="BO56" s="14"/>
      <c r="BP56" s="14"/>
      <c r="BQ56" s="14"/>
      <c r="BR56" s="6"/>
      <c r="BS56" s="14"/>
      <c r="BT56" s="14"/>
      <c r="BU56" s="6"/>
      <c r="BV56" s="14"/>
      <c r="BW56" s="14"/>
      <c r="BX56" s="14"/>
      <c r="BY56" s="6"/>
      <c r="BZ56" s="14"/>
      <c r="CA56" s="14"/>
      <c r="CB56" s="6"/>
      <c r="CC56" s="14"/>
      <c r="CD56" s="14"/>
      <c r="CE56" s="16"/>
      <c r="CF56" s="15"/>
      <c r="CG56" s="16"/>
      <c r="CH56" s="16"/>
      <c r="CI56" s="15"/>
      <c r="CJ56" s="16"/>
      <c r="CK56" s="16"/>
      <c r="CL56" s="16"/>
      <c r="CM56" s="16"/>
      <c r="CN56" s="16"/>
      <c r="CO56" s="16"/>
      <c r="CP56" s="15"/>
      <c r="CQ56" s="16"/>
      <c r="CR56" s="16"/>
      <c r="CS56" s="16"/>
      <c r="CT56" s="14"/>
      <c r="CU56" s="16"/>
      <c r="CV56" s="17"/>
      <c r="CW56" s="17"/>
      <c r="CX56" s="17"/>
      <c r="CY56" s="17"/>
      <c r="CZ56" s="17"/>
      <c r="DA56" s="17"/>
      <c r="DB56" s="17"/>
      <c r="DC56" s="17"/>
      <c r="DD56" s="17"/>
      <c r="DE56" s="17"/>
      <c r="DF56" s="17"/>
      <c r="DG56" s="17"/>
      <c r="DH56" s="17"/>
      <c r="DI56" s="17"/>
      <c r="DJ56" s="3"/>
      <c r="DK56" s="17"/>
      <c r="DL56" s="17"/>
      <c r="DM56" s="17"/>
      <c r="DN56" s="17"/>
      <c r="DO56" s="17"/>
      <c r="DP56" s="17"/>
      <c r="DQ56" s="17"/>
      <c r="DR56" s="17"/>
      <c r="DS56" s="17"/>
      <c r="DT56" s="17"/>
      <c r="DU56" s="17"/>
      <c r="DV56" s="17"/>
      <c r="DW56" s="17"/>
      <c r="DX56" s="17"/>
      <c r="DY56" s="17"/>
      <c r="DZ56" s="3"/>
      <c r="EA56" s="17"/>
      <c r="EB56" s="17"/>
      <c r="EC56" s="17"/>
      <c r="ED56" s="17"/>
      <c r="EE56" s="17"/>
      <c r="EF56" s="17"/>
      <c r="EG56" s="17"/>
      <c r="EH56" s="17"/>
      <c r="EI56" s="17"/>
      <c r="EJ56" s="17"/>
      <c r="EK56" s="17"/>
      <c r="EL56" s="17"/>
      <c r="EM56" s="17"/>
      <c r="EN56" s="17"/>
      <c r="EO56" s="17"/>
      <c r="EP56" s="3"/>
    </row>
    <row r="57" spans="1:146" x14ac:dyDescent="0.3">
      <c r="A57" s="3">
        <v>56</v>
      </c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4"/>
      <c r="X57" s="6"/>
      <c r="Y57" s="3">
        <v>1</v>
      </c>
      <c r="Z57" s="14"/>
      <c r="AA57" s="14"/>
      <c r="AB57" s="6"/>
      <c r="AC57" s="14"/>
      <c r="AD57" s="14"/>
      <c r="AE57" s="6"/>
      <c r="AF57" s="14"/>
      <c r="AG57" s="14"/>
      <c r="AH57" s="6"/>
      <c r="AI57" s="6"/>
      <c r="AJ57" s="14"/>
      <c r="AK57" s="14"/>
      <c r="AL57" s="14"/>
      <c r="AM57" s="14"/>
      <c r="AN57" s="6"/>
      <c r="AO57" s="14"/>
      <c r="AP57" s="14"/>
      <c r="AQ57" s="14"/>
      <c r="AR57" s="14"/>
      <c r="AS57" s="6"/>
      <c r="AT57" s="14"/>
      <c r="AU57" s="14"/>
      <c r="AV57" s="14"/>
      <c r="AW57" s="6"/>
      <c r="AX57" s="14"/>
      <c r="AY57" s="14"/>
      <c r="AZ57" s="14"/>
      <c r="BA57" s="6"/>
      <c r="BB57" s="14"/>
      <c r="BC57" s="14"/>
      <c r="BD57" s="14"/>
      <c r="BE57" s="14"/>
      <c r="BF57" s="14"/>
      <c r="BG57" s="6"/>
      <c r="BH57" s="14"/>
      <c r="BI57" s="14"/>
      <c r="BJ57" s="14"/>
      <c r="BK57" s="6"/>
      <c r="BL57" s="14"/>
      <c r="BM57" s="14"/>
      <c r="BN57" s="6"/>
      <c r="BO57" s="14"/>
      <c r="BP57" s="14"/>
      <c r="BQ57" s="14"/>
      <c r="BR57" s="6"/>
      <c r="BS57" s="14"/>
      <c r="BT57" s="14"/>
      <c r="BU57" s="6"/>
      <c r="BV57" s="14"/>
      <c r="BW57" s="14"/>
      <c r="BX57" s="6"/>
      <c r="BY57" s="6"/>
      <c r="BZ57" s="14"/>
      <c r="CA57" s="14"/>
      <c r="CB57" s="6"/>
      <c r="CC57" s="14"/>
      <c r="CD57" s="14"/>
      <c r="CE57" s="16"/>
      <c r="CF57" s="15"/>
      <c r="CG57" s="16"/>
      <c r="CH57" s="16"/>
      <c r="CI57" s="15"/>
      <c r="CJ57" s="16"/>
      <c r="CK57" s="16"/>
      <c r="CL57" s="16"/>
      <c r="CM57" s="15"/>
      <c r="CN57" s="16"/>
      <c r="CO57" s="16"/>
      <c r="CP57" s="15"/>
      <c r="CQ57" s="16"/>
      <c r="CR57" s="16"/>
      <c r="CS57" s="16"/>
      <c r="CT57" s="6"/>
      <c r="CU57" s="16"/>
      <c r="CV57" s="17"/>
      <c r="CW57" s="17"/>
      <c r="CX57" s="17"/>
      <c r="CY57" s="17"/>
      <c r="CZ57" s="17"/>
      <c r="DA57" s="17"/>
      <c r="DB57" s="17"/>
      <c r="DC57" s="17"/>
      <c r="DD57" s="17"/>
      <c r="DE57" s="17"/>
      <c r="DF57" s="17"/>
      <c r="DG57" s="17"/>
      <c r="DH57" s="17"/>
      <c r="DI57" s="17"/>
      <c r="DJ57" s="3"/>
      <c r="DK57" s="17"/>
      <c r="DL57" s="17"/>
      <c r="DM57" s="17"/>
      <c r="DN57" s="17"/>
      <c r="DO57" s="17"/>
      <c r="DP57" s="17"/>
      <c r="DQ57" s="17"/>
      <c r="DR57" s="17"/>
      <c r="DS57" s="17"/>
      <c r="DT57" s="17"/>
      <c r="DU57" s="17"/>
      <c r="DV57" s="17"/>
      <c r="DW57" s="17"/>
      <c r="DX57" s="17"/>
      <c r="DY57" s="17"/>
      <c r="DZ57" s="3"/>
      <c r="EA57" s="17"/>
      <c r="EB57" s="17"/>
      <c r="EC57" s="17"/>
      <c r="ED57" s="17"/>
      <c r="EE57" s="17"/>
      <c r="EF57" s="17"/>
      <c r="EG57" s="17"/>
      <c r="EH57" s="17"/>
      <c r="EI57" s="17"/>
      <c r="EJ57" s="17"/>
      <c r="EK57" s="17"/>
      <c r="EL57" s="17"/>
      <c r="EM57" s="17"/>
      <c r="EN57" s="17"/>
      <c r="EO57" s="17"/>
      <c r="EP57" s="3"/>
    </row>
    <row r="58" spans="1:146" x14ac:dyDescent="0.3">
      <c r="A58" s="3">
        <v>57</v>
      </c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4"/>
      <c r="X58" s="6"/>
      <c r="Y58" s="14">
        <v>1</v>
      </c>
      <c r="Z58" s="14"/>
      <c r="AA58" s="14"/>
      <c r="AB58" s="6"/>
      <c r="AC58" s="14"/>
      <c r="AD58" s="14"/>
      <c r="AE58" s="14"/>
      <c r="AF58" s="6"/>
      <c r="AG58" s="6"/>
      <c r="AH58" s="14"/>
      <c r="AI58" s="6"/>
      <c r="AJ58" s="14"/>
      <c r="AK58" s="14"/>
      <c r="AL58" s="14"/>
      <c r="AM58" s="14"/>
      <c r="AN58" s="6"/>
      <c r="AO58" s="14"/>
      <c r="AP58" s="14"/>
      <c r="AQ58" s="14"/>
      <c r="AR58" s="14"/>
      <c r="AS58" s="6"/>
      <c r="AT58" s="14"/>
      <c r="AU58" s="14"/>
      <c r="AV58" s="14"/>
      <c r="AW58" s="6"/>
      <c r="AX58" s="14"/>
      <c r="AY58" s="14"/>
      <c r="AZ58" s="14"/>
      <c r="BA58" s="14"/>
      <c r="BB58" s="6"/>
      <c r="BC58" s="6"/>
      <c r="BD58" s="14"/>
      <c r="BE58" s="14"/>
      <c r="BF58" s="14"/>
      <c r="BG58" s="14"/>
      <c r="BH58" s="6"/>
      <c r="BI58" s="6"/>
      <c r="BJ58" s="6"/>
      <c r="BK58" s="14"/>
      <c r="BL58" s="14"/>
      <c r="BM58" s="14"/>
      <c r="BN58" s="6"/>
      <c r="BO58" s="14"/>
      <c r="BP58" s="14"/>
      <c r="BQ58" s="14"/>
      <c r="BR58" s="6"/>
      <c r="BS58" s="14"/>
      <c r="BT58" s="14"/>
      <c r="BU58" s="14"/>
      <c r="BV58" s="6"/>
      <c r="BW58" s="6"/>
      <c r="BX58" s="14"/>
      <c r="BY58" s="6"/>
      <c r="BZ58" s="14"/>
      <c r="CA58" s="14"/>
      <c r="CB58" s="6"/>
      <c r="CC58" s="14"/>
      <c r="CD58" s="14"/>
      <c r="CE58" s="16"/>
      <c r="CF58" s="15"/>
      <c r="CG58" s="16"/>
      <c r="CH58" s="16"/>
      <c r="CI58" s="16"/>
      <c r="CJ58" s="15"/>
      <c r="CK58" s="15"/>
      <c r="CL58" s="15"/>
      <c r="CM58" s="16"/>
      <c r="CN58" s="16"/>
      <c r="CO58" s="16"/>
      <c r="CP58" s="16"/>
      <c r="CQ58" s="15"/>
      <c r="CR58" s="15"/>
      <c r="CS58" s="15"/>
      <c r="CT58" s="14"/>
      <c r="CU58" s="16"/>
      <c r="CV58" s="17"/>
      <c r="CW58" s="17"/>
      <c r="CX58" s="17"/>
      <c r="CY58" s="17"/>
      <c r="CZ58" s="17"/>
      <c r="DA58" s="17"/>
      <c r="DB58" s="17"/>
      <c r="DC58" s="17"/>
      <c r="DD58" s="17"/>
      <c r="DE58" s="17"/>
      <c r="DF58" s="17"/>
      <c r="DG58" s="17"/>
      <c r="DH58" s="17"/>
      <c r="DI58" s="17"/>
      <c r="DJ58" s="3"/>
      <c r="DK58" s="17"/>
      <c r="DL58" s="17"/>
      <c r="DM58" s="17"/>
      <c r="DN58" s="17"/>
      <c r="DO58" s="17"/>
      <c r="DP58" s="17"/>
      <c r="DQ58" s="17"/>
      <c r="DR58" s="17"/>
      <c r="DS58" s="17"/>
      <c r="DT58" s="17"/>
      <c r="DU58" s="17"/>
      <c r="DV58" s="17"/>
      <c r="DW58" s="17"/>
      <c r="DX58" s="17"/>
      <c r="DY58" s="17"/>
      <c r="DZ58" s="3"/>
      <c r="EA58" s="17"/>
      <c r="EB58" s="17"/>
      <c r="EC58" s="17"/>
      <c r="ED58" s="17"/>
      <c r="EE58" s="17"/>
      <c r="EF58" s="17"/>
      <c r="EG58" s="17"/>
      <c r="EH58" s="17"/>
      <c r="EI58" s="17"/>
      <c r="EJ58" s="17"/>
      <c r="EK58" s="17"/>
      <c r="EL58" s="17"/>
      <c r="EM58" s="17"/>
      <c r="EN58" s="17"/>
      <c r="EO58" s="17"/>
      <c r="EP58" s="3"/>
    </row>
    <row r="59" spans="1:146" x14ac:dyDescent="0.3">
      <c r="A59" s="3">
        <v>58</v>
      </c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4"/>
      <c r="X59" s="14"/>
      <c r="Y59" s="14">
        <v>1</v>
      </c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  <c r="AM59" s="14"/>
      <c r="AN59" s="14"/>
      <c r="AO59" s="14"/>
      <c r="AP59" s="14"/>
      <c r="AQ59" s="14"/>
      <c r="AR59" s="14"/>
      <c r="AS59" s="14"/>
      <c r="AT59" s="14"/>
      <c r="AU59" s="14"/>
      <c r="AV59" s="14"/>
      <c r="AW59" s="14"/>
      <c r="AX59" s="14"/>
      <c r="AY59" s="14"/>
      <c r="AZ59" s="14"/>
      <c r="BA59" s="14"/>
      <c r="BB59" s="14"/>
      <c r="BC59" s="14"/>
      <c r="BD59" s="14"/>
      <c r="BE59" s="14"/>
      <c r="BF59" s="14"/>
      <c r="BG59" s="14"/>
      <c r="BH59" s="14"/>
      <c r="BI59" s="14"/>
      <c r="BJ59" s="14"/>
      <c r="BK59" s="14"/>
      <c r="BL59" s="14"/>
      <c r="BM59" s="14"/>
      <c r="BN59" s="14"/>
      <c r="BO59" s="14"/>
      <c r="BP59" s="14"/>
      <c r="BQ59" s="14"/>
      <c r="BR59" s="14"/>
      <c r="BS59" s="14"/>
      <c r="BT59" s="14"/>
      <c r="BU59" s="14"/>
      <c r="BV59" s="14"/>
      <c r="BW59" s="14"/>
      <c r="BX59" s="14"/>
      <c r="BY59" s="14"/>
      <c r="BZ59" s="14"/>
      <c r="CA59" s="14"/>
      <c r="CB59" s="14"/>
      <c r="CC59" s="14"/>
      <c r="CD59" s="14"/>
      <c r="CE59" s="16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4"/>
      <c r="CU59" s="16"/>
      <c r="CV59" s="17"/>
      <c r="CW59" s="17"/>
      <c r="CX59" s="17"/>
      <c r="CY59" s="17"/>
      <c r="CZ59" s="17"/>
      <c r="DA59" s="17"/>
      <c r="DB59" s="17"/>
      <c r="DC59" s="17"/>
      <c r="DD59" s="17"/>
      <c r="DE59" s="17"/>
      <c r="DF59" s="17"/>
      <c r="DG59" s="17"/>
      <c r="DH59" s="17"/>
      <c r="DI59" s="17"/>
      <c r="DJ59" s="3"/>
      <c r="DK59" s="17"/>
      <c r="DL59" s="17"/>
      <c r="DM59" s="17"/>
      <c r="DN59" s="17"/>
      <c r="DO59" s="17"/>
      <c r="DP59" s="17"/>
      <c r="DQ59" s="17"/>
      <c r="DR59" s="17"/>
      <c r="DS59" s="17"/>
      <c r="DT59" s="17"/>
      <c r="DU59" s="17"/>
      <c r="DV59" s="17"/>
      <c r="DW59" s="17"/>
      <c r="DX59" s="17"/>
      <c r="DY59" s="17"/>
      <c r="DZ59" s="3"/>
      <c r="EA59" s="17"/>
      <c r="EB59" s="17"/>
      <c r="EC59" s="17"/>
      <c r="ED59" s="17"/>
      <c r="EE59" s="17"/>
      <c r="EF59" s="17"/>
      <c r="EG59" s="17"/>
      <c r="EH59" s="17"/>
      <c r="EI59" s="17"/>
      <c r="EJ59" s="17"/>
      <c r="EK59" s="17"/>
      <c r="EL59" s="17"/>
      <c r="EM59" s="17"/>
      <c r="EN59" s="17"/>
      <c r="EO59" s="17"/>
      <c r="EP59" s="3"/>
    </row>
    <row r="60" spans="1:146" x14ac:dyDescent="0.3">
      <c r="A60" s="3">
        <v>59</v>
      </c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4"/>
      <c r="X60" s="14"/>
      <c r="Y60" s="14">
        <v>1</v>
      </c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  <c r="AM60" s="14"/>
      <c r="AN60" s="14"/>
      <c r="AO60" s="14"/>
      <c r="AP60" s="14"/>
      <c r="AQ60" s="14"/>
      <c r="AR60" s="14"/>
      <c r="AS60" s="14"/>
      <c r="AT60" s="14"/>
      <c r="AU60" s="14"/>
      <c r="AV60" s="14"/>
      <c r="AW60" s="14"/>
      <c r="AX60" s="14"/>
      <c r="AY60" s="14"/>
      <c r="AZ60" s="14"/>
      <c r="BA60" s="14"/>
      <c r="BB60" s="14"/>
      <c r="BC60" s="14"/>
      <c r="BD60" s="14"/>
      <c r="BE60" s="14"/>
      <c r="BF60" s="14"/>
      <c r="BG60" s="14"/>
      <c r="BH60" s="14"/>
      <c r="BI60" s="14"/>
      <c r="BJ60" s="14"/>
      <c r="BK60" s="14"/>
      <c r="BL60" s="14"/>
      <c r="BM60" s="14"/>
      <c r="BN60" s="14"/>
      <c r="BO60" s="14"/>
      <c r="BP60" s="14"/>
      <c r="BQ60" s="14"/>
      <c r="BR60" s="14"/>
      <c r="BS60" s="14"/>
      <c r="BT60" s="14"/>
      <c r="BU60" s="14"/>
      <c r="BV60" s="14"/>
      <c r="BW60" s="14"/>
      <c r="BX60" s="14"/>
      <c r="BY60" s="14"/>
      <c r="BZ60" s="14"/>
      <c r="CA60" s="14"/>
      <c r="CB60" s="14"/>
      <c r="CC60" s="14"/>
      <c r="CD60" s="14"/>
      <c r="CE60" s="16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4"/>
      <c r="CU60" s="16"/>
      <c r="CV60" s="17"/>
      <c r="CW60" s="17"/>
      <c r="CX60" s="17"/>
      <c r="CY60" s="17"/>
      <c r="CZ60" s="17"/>
      <c r="DA60" s="17"/>
      <c r="DB60" s="17"/>
      <c r="DC60" s="17"/>
      <c r="DD60" s="17"/>
      <c r="DE60" s="17"/>
      <c r="DF60" s="17"/>
      <c r="DG60" s="17"/>
      <c r="DH60" s="17"/>
      <c r="DI60" s="17"/>
      <c r="DJ60" s="3"/>
      <c r="DK60" s="17"/>
      <c r="DL60" s="17"/>
      <c r="DM60" s="17"/>
      <c r="DN60" s="17"/>
      <c r="DO60" s="17"/>
      <c r="DP60" s="17"/>
      <c r="DQ60" s="17"/>
      <c r="DR60" s="17"/>
      <c r="DS60" s="17"/>
      <c r="DT60" s="17"/>
      <c r="DU60" s="17"/>
      <c r="DV60" s="17"/>
      <c r="DW60" s="17"/>
      <c r="DX60" s="17"/>
      <c r="DY60" s="17"/>
      <c r="DZ60" s="3"/>
      <c r="EA60" s="17"/>
      <c r="EB60" s="17"/>
      <c r="EC60" s="17"/>
      <c r="ED60" s="17"/>
      <c r="EE60" s="17"/>
      <c r="EF60" s="17"/>
      <c r="EG60" s="17"/>
      <c r="EH60" s="17"/>
      <c r="EI60" s="17"/>
      <c r="EJ60" s="17"/>
      <c r="EK60" s="17"/>
      <c r="EL60" s="17"/>
      <c r="EM60" s="17"/>
      <c r="EN60" s="17"/>
      <c r="EO60" s="17"/>
      <c r="EP60" s="3"/>
    </row>
    <row r="61" spans="1:146" x14ac:dyDescent="0.3">
      <c r="A61" s="3">
        <v>60</v>
      </c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14">
        <v>1</v>
      </c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17"/>
      <c r="CF61" s="17"/>
      <c r="CG61" s="17"/>
      <c r="CH61" s="17"/>
      <c r="CI61" s="17"/>
      <c r="CJ61" s="17"/>
      <c r="CK61" s="17"/>
      <c r="CL61" s="17"/>
      <c r="CM61" s="17"/>
      <c r="CN61" s="17"/>
      <c r="CO61" s="17"/>
      <c r="CP61" s="17"/>
      <c r="CQ61" s="17"/>
      <c r="CR61" s="17"/>
      <c r="CS61" s="17"/>
      <c r="CT61" s="3"/>
      <c r="CU61" s="17"/>
      <c r="CV61" s="17"/>
      <c r="CW61" s="17"/>
      <c r="CX61" s="17"/>
      <c r="CY61" s="17"/>
      <c r="CZ61" s="17"/>
      <c r="DA61" s="17"/>
      <c r="DB61" s="17"/>
      <c r="DC61" s="17"/>
      <c r="DD61" s="17"/>
      <c r="DE61" s="17"/>
      <c r="DF61" s="17"/>
      <c r="DG61" s="17"/>
      <c r="DH61" s="17"/>
      <c r="DI61" s="17"/>
      <c r="DJ61" s="3"/>
      <c r="DK61" s="17"/>
      <c r="DL61" s="17"/>
      <c r="DM61" s="17"/>
      <c r="DN61" s="17"/>
      <c r="DO61" s="17"/>
      <c r="DP61" s="17"/>
      <c r="DQ61" s="17"/>
      <c r="DR61" s="17"/>
      <c r="DS61" s="17"/>
      <c r="DT61" s="17"/>
      <c r="DU61" s="17"/>
      <c r="DV61" s="17"/>
      <c r="DW61" s="17"/>
      <c r="DX61" s="17"/>
      <c r="DY61" s="17"/>
      <c r="DZ61" s="3"/>
      <c r="EA61" s="17"/>
      <c r="EB61" s="17"/>
      <c r="EC61" s="17"/>
      <c r="ED61" s="17"/>
      <c r="EE61" s="17"/>
      <c r="EF61" s="17"/>
      <c r="EG61" s="17"/>
      <c r="EH61" s="17"/>
      <c r="EI61" s="17"/>
      <c r="EJ61" s="17"/>
      <c r="EK61" s="17"/>
      <c r="EL61" s="17"/>
      <c r="EM61" s="17"/>
      <c r="EN61" s="17"/>
      <c r="EO61" s="17"/>
      <c r="EP61" s="3"/>
    </row>
    <row r="62" spans="1:146" x14ac:dyDescent="0.3">
      <c r="A62" s="3">
        <v>61</v>
      </c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14">
        <v>1</v>
      </c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17"/>
      <c r="CF62" s="17"/>
      <c r="CG62" s="17"/>
      <c r="CH62" s="17"/>
      <c r="CI62" s="17"/>
      <c r="CJ62" s="17"/>
      <c r="CK62" s="17"/>
      <c r="CL62" s="17"/>
      <c r="CM62" s="17"/>
      <c r="CN62" s="17"/>
      <c r="CO62" s="17"/>
      <c r="CP62" s="17"/>
      <c r="CQ62" s="17"/>
      <c r="CR62" s="17"/>
      <c r="CS62" s="17"/>
      <c r="CT62" s="3"/>
      <c r="CU62" s="17"/>
      <c r="CV62" s="17"/>
      <c r="CW62" s="17"/>
      <c r="CX62" s="17"/>
      <c r="CY62" s="17"/>
      <c r="CZ62" s="17"/>
      <c r="DA62" s="17"/>
      <c r="DB62" s="17"/>
      <c r="DC62" s="17"/>
      <c r="DD62" s="17"/>
      <c r="DE62" s="17"/>
      <c r="DF62" s="17"/>
      <c r="DG62" s="17"/>
      <c r="DH62" s="17"/>
      <c r="DI62" s="17"/>
      <c r="DJ62" s="3"/>
      <c r="DK62" s="17"/>
      <c r="DL62" s="17"/>
      <c r="DM62" s="17"/>
      <c r="DN62" s="17"/>
      <c r="DO62" s="17"/>
      <c r="DP62" s="17"/>
      <c r="DQ62" s="17"/>
      <c r="DR62" s="17"/>
      <c r="DS62" s="17"/>
      <c r="DT62" s="17"/>
      <c r="DU62" s="17"/>
      <c r="DV62" s="17"/>
      <c r="DW62" s="17"/>
      <c r="DX62" s="17"/>
      <c r="DY62" s="17"/>
      <c r="DZ62" s="3"/>
      <c r="EA62" s="17"/>
      <c r="EB62" s="17"/>
      <c r="EC62" s="17"/>
      <c r="ED62" s="17"/>
      <c r="EE62" s="17"/>
      <c r="EF62" s="17"/>
      <c r="EG62" s="17"/>
      <c r="EH62" s="17"/>
      <c r="EI62" s="17"/>
      <c r="EJ62" s="17"/>
      <c r="EK62" s="17"/>
      <c r="EL62" s="17"/>
      <c r="EM62" s="17"/>
      <c r="EN62" s="17"/>
      <c r="EO62" s="17"/>
      <c r="EP62" s="3"/>
    </row>
    <row r="63" spans="1:146" x14ac:dyDescent="0.3">
      <c r="A63" s="3">
        <v>62</v>
      </c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17"/>
      <c r="CF63" s="17"/>
      <c r="CG63" s="17"/>
      <c r="CH63" s="17"/>
      <c r="CI63" s="17"/>
      <c r="CJ63" s="17"/>
      <c r="CK63" s="17"/>
      <c r="CL63" s="17"/>
      <c r="CM63" s="17"/>
      <c r="CN63" s="17"/>
      <c r="CO63" s="17"/>
      <c r="CP63" s="17"/>
      <c r="CQ63" s="17"/>
      <c r="CR63" s="17"/>
      <c r="CS63" s="17"/>
      <c r="CT63" s="3"/>
      <c r="CU63" s="17"/>
      <c r="CV63" s="17"/>
      <c r="CW63" s="17"/>
      <c r="CX63" s="17"/>
      <c r="CY63" s="17"/>
      <c r="CZ63" s="17"/>
      <c r="DA63" s="17"/>
      <c r="DB63" s="17"/>
      <c r="DC63" s="17"/>
      <c r="DD63" s="17"/>
      <c r="DE63" s="17"/>
      <c r="DF63" s="17"/>
      <c r="DG63" s="17"/>
      <c r="DH63" s="17"/>
      <c r="DI63" s="17"/>
      <c r="DJ63" s="3"/>
      <c r="DK63" s="17"/>
      <c r="DL63" s="17"/>
      <c r="DM63" s="17"/>
      <c r="DN63" s="17"/>
      <c r="DO63" s="17"/>
      <c r="DP63" s="17"/>
      <c r="DQ63" s="17"/>
      <c r="DR63" s="17"/>
      <c r="DS63" s="17"/>
      <c r="DT63" s="17"/>
      <c r="DU63" s="17"/>
      <c r="DV63" s="17"/>
      <c r="DW63" s="17"/>
      <c r="DX63" s="17"/>
      <c r="DY63" s="17"/>
      <c r="DZ63" s="3"/>
      <c r="EA63" s="17"/>
      <c r="EB63" s="17"/>
      <c r="EC63" s="17"/>
      <c r="ED63" s="17"/>
      <c r="EE63" s="17"/>
      <c r="EF63" s="17"/>
      <c r="EG63" s="17"/>
      <c r="EH63" s="17"/>
      <c r="EI63" s="17"/>
      <c r="EJ63" s="17"/>
      <c r="EK63" s="17"/>
      <c r="EL63" s="17"/>
      <c r="EM63" s="17"/>
      <c r="EN63" s="17"/>
      <c r="EO63" s="17"/>
      <c r="EP63" s="3"/>
    </row>
    <row r="64" spans="1:146" x14ac:dyDescent="0.3">
      <c r="A64" s="3">
        <v>63</v>
      </c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17"/>
      <c r="CF64" s="17"/>
      <c r="CG64" s="17"/>
      <c r="CH64" s="17"/>
      <c r="CI64" s="17"/>
      <c r="CJ64" s="17"/>
      <c r="CK64" s="17"/>
      <c r="CL64" s="17"/>
      <c r="CM64" s="17"/>
      <c r="CN64" s="17"/>
      <c r="CO64" s="17"/>
      <c r="CP64" s="17"/>
      <c r="CQ64" s="17"/>
      <c r="CR64" s="17"/>
      <c r="CS64" s="17"/>
      <c r="CT64" s="3"/>
      <c r="CU64" s="17"/>
      <c r="CV64" s="17"/>
      <c r="CW64" s="17"/>
      <c r="CX64" s="17"/>
      <c r="CY64" s="17"/>
      <c r="CZ64" s="17"/>
      <c r="DA64" s="17"/>
      <c r="DB64" s="17"/>
      <c r="DC64" s="17"/>
      <c r="DD64" s="17"/>
      <c r="DE64" s="17"/>
      <c r="DF64" s="17"/>
      <c r="DG64" s="17"/>
      <c r="DH64" s="17"/>
      <c r="DI64" s="17"/>
      <c r="DJ64" s="3"/>
      <c r="DK64" s="17"/>
      <c r="DL64" s="17"/>
      <c r="DM64" s="17"/>
      <c r="DN64" s="17"/>
      <c r="DO64" s="17"/>
      <c r="DP64" s="17"/>
      <c r="DQ64" s="17"/>
      <c r="DR64" s="17"/>
      <c r="DS64" s="17"/>
      <c r="DT64" s="17"/>
      <c r="DU64" s="17"/>
      <c r="DV64" s="17"/>
      <c r="DW64" s="17"/>
      <c r="DX64" s="17"/>
      <c r="DY64" s="17"/>
      <c r="DZ64" s="3"/>
      <c r="EA64" s="17"/>
      <c r="EB64" s="17"/>
      <c r="EC64" s="17"/>
      <c r="ED64" s="17"/>
      <c r="EE64" s="17"/>
      <c r="EF64" s="17"/>
      <c r="EG64" s="17"/>
      <c r="EH64" s="17"/>
      <c r="EI64" s="17"/>
      <c r="EJ64" s="17"/>
      <c r="EK64" s="17"/>
      <c r="EL64" s="17"/>
      <c r="EM64" s="17"/>
      <c r="EN64" s="17"/>
      <c r="EO64" s="17"/>
      <c r="EP64" s="3"/>
    </row>
    <row r="65" spans="1:146" x14ac:dyDescent="0.3">
      <c r="A65" s="3">
        <v>64</v>
      </c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17"/>
      <c r="CF65" s="17"/>
      <c r="CG65" s="17"/>
      <c r="CH65" s="17"/>
      <c r="CI65" s="17"/>
      <c r="CJ65" s="17"/>
      <c r="CK65" s="17"/>
      <c r="CL65" s="17"/>
      <c r="CM65" s="17"/>
      <c r="CN65" s="17"/>
      <c r="CO65" s="17"/>
      <c r="CP65" s="17"/>
      <c r="CQ65" s="17"/>
      <c r="CR65" s="17"/>
      <c r="CS65" s="17"/>
      <c r="CT65" s="3"/>
      <c r="CU65" s="17"/>
      <c r="CV65" s="17"/>
      <c r="CW65" s="17"/>
      <c r="CX65" s="17"/>
      <c r="CY65" s="17"/>
      <c r="CZ65" s="17"/>
      <c r="DA65" s="17"/>
      <c r="DB65" s="17"/>
      <c r="DC65" s="17"/>
      <c r="DD65" s="17"/>
      <c r="DE65" s="17"/>
      <c r="DF65" s="17"/>
      <c r="DG65" s="17"/>
      <c r="DH65" s="17"/>
      <c r="DI65" s="17"/>
      <c r="DJ65" s="3"/>
      <c r="DK65" s="17"/>
      <c r="DL65" s="17"/>
      <c r="DM65" s="17"/>
      <c r="DN65" s="17"/>
      <c r="DO65" s="17"/>
      <c r="DP65" s="17"/>
      <c r="DQ65" s="17"/>
      <c r="DR65" s="17"/>
      <c r="DS65" s="17"/>
      <c r="DT65" s="17"/>
      <c r="DU65" s="17"/>
      <c r="DV65" s="17"/>
      <c r="DW65" s="17"/>
      <c r="DX65" s="17"/>
      <c r="DY65" s="17"/>
      <c r="DZ65" s="3"/>
      <c r="EA65" s="17"/>
      <c r="EB65" s="17"/>
      <c r="EC65" s="17"/>
      <c r="ED65" s="17"/>
      <c r="EE65" s="17"/>
      <c r="EF65" s="17"/>
      <c r="EG65" s="17"/>
      <c r="EH65" s="17"/>
      <c r="EI65" s="17"/>
      <c r="EJ65" s="17"/>
      <c r="EK65" s="17"/>
      <c r="EL65" s="17"/>
      <c r="EM65" s="17"/>
      <c r="EN65" s="17"/>
      <c r="EO65" s="17"/>
      <c r="EP65" s="3"/>
    </row>
    <row r="66" spans="1:146" ht="41.1" customHeight="1" x14ac:dyDescent="0.3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</row>
  </sheetData>
  <conditionalFormatting sqref="B2:EO11">
    <cfRule type="expression" dxfId="11" priority="1">
      <formula>B2=""</formula>
    </cfRule>
    <cfRule type="expression" dxfId="10" priority="2">
      <formula>B2=1</formula>
    </cfRule>
  </conditionalFormatting>
  <conditionalFormatting sqref="B12:EO65">
    <cfRule type="expression" dxfId="9" priority="3">
      <formula>AND(B12&lt;&gt;1,B12&lt;&gt;"")</formula>
    </cfRule>
    <cfRule type="expression" dxfId="8" priority="4">
      <formula>B12=""</formula>
    </cfRule>
    <cfRule type="expression" dxfId="7" priority="5">
      <formula>B12=1</formula>
    </cfRule>
  </conditionalFormatting>
  <pageMargins left="0.7" right="0.7" top="0.75" bottom="0.75" header="0.3" footer="0.3"/>
  <pageSetup orientation="portrait" copies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3F59B2-4C96-4A67-A3FB-8EC613CFA846}">
  <sheetPr codeName="Sheet10"/>
  <dimension ref="A1:R8"/>
  <sheetViews>
    <sheetView zoomScale="190" zoomScaleNormal="190" workbookViewId="0">
      <selection activeCell="C2" sqref="C2"/>
    </sheetView>
  </sheetViews>
  <sheetFormatPr defaultRowHeight="12.4" x14ac:dyDescent="0.3"/>
  <cols>
    <col min="1" max="18" width="2.1171875" customWidth="1"/>
  </cols>
  <sheetData>
    <row r="1" spans="1:18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</row>
    <row r="2" spans="1:18" x14ac:dyDescent="0.3">
      <c r="A2" s="20"/>
      <c r="B2" s="20" t="s">
        <v>118</v>
      </c>
      <c r="C2" s="20" t="s">
        <v>210</v>
      </c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</row>
    <row r="3" spans="1:18" x14ac:dyDescent="0.3">
      <c r="A3" s="20"/>
      <c r="B3" s="20"/>
      <c r="C3" s="20" t="s">
        <v>211</v>
      </c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</row>
    <row r="4" spans="1:18" x14ac:dyDescent="0.3">
      <c r="A4" s="20"/>
      <c r="B4" s="20"/>
      <c r="C4" s="20" t="s">
        <v>212</v>
      </c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</row>
    <row r="5" spans="1:18" x14ac:dyDescent="0.3">
      <c r="A5" s="20"/>
      <c r="B5" s="20"/>
      <c r="C5" s="20" t="s">
        <v>213</v>
      </c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</row>
    <row r="6" spans="1:18" x14ac:dyDescent="0.3">
      <c r="A6" s="20"/>
      <c r="B6" s="20"/>
      <c r="C6" s="20" t="s">
        <v>214</v>
      </c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</row>
    <row r="7" spans="1:18" x14ac:dyDescent="0.3">
      <c r="A7" s="20"/>
      <c r="B7" s="20"/>
      <c r="C7" s="20" t="s">
        <v>216</v>
      </c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</row>
    <row r="8" spans="1:18" x14ac:dyDescent="0.3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</row>
  </sheetData>
  <pageMargins left="0.7" right="0.7" top="0.75" bottom="0.75" header="0.3" footer="0.3"/>
  <pageSetup orientation="portrait" copies="0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4E8D-F489-4771-AC73-94D91C445C39}">
  <sheetPr codeName="Sheet9"/>
  <dimension ref="A1:M98"/>
  <sheetViews>
    <sheetView showGridLines="0" topLeftCell="B1" zoomScale="70" zoomScaleNormal="70" workbookViewId="0">
      <selection activeCell="E6" sqref="E6"/>
    </sheetView>
  </sheetViews>
  <sheetFormatPr defaultRowHeight="12.4" x14ac:dyDescent="0.3"/>
  <cols>
    <col min="1" max="1" width="8.76171875" style="7"/>
    <col min="2" max="2" width="79" bestFit="1" customWidth="1"/>
    <col min="3" max="3" width="8.76171875" style="7"/>
    <col min="4" max="13" width="10.1171875" style="10" customWidth="1"/>
  </cols>
  <sheetData>
    <row r="1" spans="1:13" ht="64.900000000000006" customHeight="1" x14ac:dyDescent="0.3"/>
    <row r="2" spans="1:13" ht="15.75" x14ac:dyDescent="0.3">
      <c r="A2" s="8">
        <v>1</v>
      </c>
      <c r="B2" s="23" t="s">
        <v>312</v>
      </c>
      <c r="C2" s="7" t="s">
        <v>217</v>
      </c>
      <c r="D2" s="10" t="s">
        <v>313</v>
      </c>
      <c r="E2" s="10" t="s">
        <v>313</v>
      </c>
      <c r="F2" s="10" t="s">
        <v>313</v>
      </c>
      <c r="G2" s="10" t="s">
        <v>313</v>
      </c>
      <c r="H2" s="10" t="s">
        <v>313</v>
      </c>
    </row>
    <row r="3" spans="1:13" s="4" customFormat="1" ht="15.75" x14ac:dyDescent="0.3">
      <c r="A3" s="8">
        <v>2</v>
      </c>
      <c r="B3" s="23" t="s">
        <v>218</v>
      </c>
      <c r="C3" s="9" t="s">
        <v>101</v>
      </c>
      <c r="D3" s="11" t="s">
        <v>313</v>
      </c>
      <c r="E3" s="11" t="s">
        <v>313</v>
      </c>
      <c r="F3" s="11" t="s">
        <v>314</v>
      </c>
      <c r="G3" s="11" t="s">
        <v>313</v>
      </c>
      <c r="H3" s="11" t="s">
        <v>313</v>
      </c>
      <c r="I3" s="11" t="s">
        <v>181</v>
      </c>
      <c r="J3" s="11"/>
      <c r="K3" s="11"/>
      <c r="L3" s="11"/>
      <c r="M3" s="11"/>
    </row>
    <row r="4" spans="1:13" s="5" customFormat="1" ht="15.75" x14ac:dyDescent="0.3">
      <c r="A4" s="8">
        <v>3</v>
      </c>
      <c r="B4" s="23" t="s">
        <v>219</v>
      </c>
      <c r="C4" s="8" t="s">
        <v>102</v>
      </c>
      <c r="D4" s="12" t="s">
        <v>315</v>
      </c>
      <c r="E4" s="12" t="s">
        <v>313</v>
      </c>
      <c r="F4" s="12" t="s">
        <v>315</v>
      </c>
      <c r="G4" s="12" t="s">
        <v>313</v>
      </c>
      <c r="H4" s="12" t="s">
        <v>313</v>
      </c>
      <c r="I4" s="12"/>
      <c r="J4" s="12"/>
      <c r="K4" s="12"/>
      <c r="L4" s="12"/>
      <c r="M4" s="12"/>
    </row>
    <row r="5" spans="1:13" s="5" customFormat="1" ht="15.75" x14ac:dyDescent="0.3">
      <c r="A5" s="8">
        <v>4</v>
      </c>
      <c r="B5" s="23" t="s">
        <v>220</v>
      </c>
      <c r="C5" s="8" t="s">
        <v>103</v>
      </c>
      <c r="D5" s="12" t="s">
        <v>316</v>
      </c>
      <c r="E5" s="12" t="s">
        <v>317</v>
      </c>
      <c r="F5" s="12" t="s">
        <v>316</v>
      </c>
      <c r="G5" s="12" t="s">
        <v>317</v>
      </c>
      <c r="H5" s="12" t="s">
        <v>316</v>
      </c>
      <c r="I5" s="12"/>
      <c r="J5" s="12"/>
      <c r="K5" s="12"/>
      <c r="L5" s="12"/>
      <c r="M5" s="12"/>
    </row>
    <row r="6" spans="1:13" s="5" customFormat="1" ht="15.75" x14ac:dyDescent="0.3">
      <c r="A6" s="8">
        <v>5</v>
      </c>
      <c r="B6" s="23" t="s">
        <v>221</v>
      </c>
      <c r="C6" s="8" t="s">
        <v>104</v>
      </c>
      <c r="D6" s="12" t="s">
        <v>315</v>
      </c>
      <c r="E6" s="12" t="s">
        <v>318</v>
      </c>
      <c r="F6" s="12" t="s">
        <v>317</v>
      </c>
      <c r="G6" s="12" t="s">
        <v>318</v>
      </c>
      <c r="H6" s="12" t="s">
        <v>319</v>
      </c>
      <c r="I6" s="12"/>
      <c r="J6" s="12"/>
      <c r="K6" s="12"/>
      <c r="L6" s="12"/>
      <c r="M6" s="12"/>
    </row>
    <row r="7" spans="1:13" s="5" customFormat="1" ht="15.75" x14ac:dyDescent="0.3">
      <c r="A7" s="8">
        <v>6</v>
      </c>
      <c r="B7" s="23" t="s">
        <v>222</v>
      </c>
      <c r="C7" s="8" t="s">
        <v>105</v>
      </c>
      <c r="D7" s="12" t="s">
        <v>320</v>
      </c>
      <c r="E7" s="12" t="s">
        <v>321</v>
      </c>
      <c r="F7" s="12" t="s">
        <v>322</v>
      </c>
      <c r="G7" s="12" t="s">
        <v>320</v>
      </c>
      <c r="H7" s="12" t="s">
        <v>313</v>
      </c>
      <c r="I7" s="12"/>
      <c r="J7" s="12"/>
      <c r="K7" s="12"/>
      <c r="L7" s="12"/>
      <c r="M7" s="12"/>
    </row>
    <row r="8" spans="1:13" s="5" customFormat="1" ht="15.75" x14ac:dyDescent="0.3">
      <c r="A8" s="8">
        <v>7</v>
      </c>
      <c r="B8" s="23" t="s">
        <v>223</v>
      </c>
      <c r="C8" s="8" t="s">
        <v>106</v>
      </c>
      <c r="D8" s="12" t="s">
        <v>323</v>
      </c>
      <c r="E8" s="12" t="s">
        <v>318</v>
      </c>
      <c r="F8" s="12" t="s">
        <v>323</v>
      </c>
      <c r="G8" s="12" t="s">
        <v>324</v>
      </c>
      <c r="H8" s="12" t="s">
        <v>313</v>
      </c>
      <c r="I8" s="12"/>
      <c r="J8" s="12"/>
      <c r="K8" s="12"/>
      <c r="L8" s="12"/>
      <c r="M8" s="12"/>
    </row>
    <row r="9" spans="1:13" s="5" customFormat="1" ht="15.75" x14ac:dyDescent="0.3">
      <c r="A9" s="8">
        <v>8</v>
      </c>
      <c r="B9" s="23" t="s">
        <v>224</v>
      </c>
      <c r="C9" s="13" t="s">
        <v>5</v>
      </c>
      <c r="D9" s="12" t="s">
        <v>313</v>
      </c>
      <c r="E9" s="12" t="s">
        <v>313</v>
      </c>
      <c r="F9" s="12" t="s">
        <v>313</v>
      </c>
      <c r="G9" s="12" t="s">
        <v>315</v>
      </c>
      <c r="H9" s="12" t="s">
        <v>313</v>
      </c>
      <c r="I9" s="12"/>
      <c r="J9" s="12"/>
      <c r="K9" s="12"/>
      <c r="L9" s="12"/>
      <c r="M9" s="12"/>
    </row>
    <row r="10" spans="1:13" s="5" customFormat="1" ht="15.75" x14ac:dyDescent="0.3">
      <c r="A10" s="8">
        <v>9</v>
      </c>
      <c r="B10" s="23" t="s">
        <v>225</v>
      </c>
      <c r="C10" s="8" t="s">
        <v>107</v>
      </c>
      <c r="D10" s="12" t="s">
        <v>313</v>
      </c>
      <c r="E10" s="12" t="s">
        <v>325</v>
      </c>
      <c r="F10" s="12" t="s">
        <v>323</v>
      </c>
      <c r="G10" s="12" t="s">
        <v>313</v>
      </c>
      <c r="H10" s="12" t="s">
        <v>313</v>
      </c>
      <c r="I10" s="12"/>
      <c r="J10" s="12"/>
      <c r="K10" s="12"/>
      <c r="L10" s="12"/>
      <c r="M10" s="12"/>
    </row>
    <row r="11" spans="1:13" s="5" customFormat="1" ht="15.75" x14ac:dyDescent="0.3">
      <c r="A11" s="8">
        <v>10</v>
      </c>
      <c r="B11" s="23" t="s">
        <v>226</v>
      </c>
      <c r="C11" s="8" t="s">
        <v>108</v>
      </c>
      <c r="D11" s="12" t="s">
        <v>313</v>
      </c>
      <c r="E11" s="12" t="s">
        <v>323</v>
      </c>
      <c r="F11" s="12" t="s">
        <v>325</v>
      </c>
      <c r="G11" s="12" t="s">
        <v>313</v>
      </c>
      <c r="H11" s="12" t="s">
        <v>313</v>
      </c>
      <c r="I11" s="12"/>
      <c r="J11" s="12"/>
      <c r="K11" s="12"/>
      <c r="L11" s="12"/>
      <c r="M11" s="12"/>
    </row>
    <row r="12" spans="1:13" s="5" customFormat="1" ht="15.75" x14ac:dyDescent="0.3">
      <c r="A12" s="8">
        <v>11</v>
      </c>
      <c r="B12" s="23" t="s">
        <v>227</v>
      </c>
      <c r="C12" s="8" t="s">
        <v>109</v>
      </c>
      <c r="D12" s="12" t="s">
        <v>313</v>
      </c>
      <c r="E12" s="12" t="s">
        <v>322</v>
      </c>
      <c r="F12" s="12" t="s">
        <v>313</v>
      </c>
      <c r="G12" s="12" t="s">
        <v>313</v>
      </c>
      <c r="H12" s="12" t="s">
        <v>313</v>
      </c>
      <c r="I12" s="12"/>
      <c r="J12" s="12"/>
      <c r="K12" s="12"/>
      <c r="L12" s="12"/>
      <c r="M12" s="12"/>
    </row>
    <row r="13" spans="1:13" s="5" customFormat="1" ht="15.75" x14ac:dyDescent="0.3">
      <c r="A13" s="8">
        <v>12</v>
      </c>
      <c r="B13" s="23" t="s">
        <v>228</v>
      </c>
      <c r="C13" s="8" t="s">
        <v>110</v>
      </c>
      <c r="D13" s="12" t="s">
        <v>313</v>
      </c>
      <c r="E13" s="12" t="s">
        <v>322</v>
      </c>
      <c r="F13" s="12" t="s">
        <v>326</v>
      </c>
      <c r="G13" s="12" t="s">
        <v>322</v>
      </c>
      <c r="H13" s="12" t="s">
        <v>313</v>
      </c>
      <c r="I13" s="12"/>
      <c r="J13" s="12"/>
      <c r="K13" s="12"/>
      <c r="L13" s="12"/>
      <c r="M13" s="12"/>
    </row>
    <row r="14" spans="1:13" s="5" customFormat="1" ht="15.75" x14ac:dyDescent="0.3">
      <c r="A14" s="8">
        <v>13</v>
      </c>
      <c r="B14" s="23" t="s">
        <v>229</v>
      </c>
      <c r="C14" s="8"/>
      <c r="D14" s="12" t="s">
        <v>327</v>
      </c>
      <c r="E14" s="12" t="s">
        <v>328</v>
      </c>
      <c r="F14" s="12" t="s">
        <v>313</v>
      </c>
      <c r="G14" s="12" t="s">
        <v>313</v>
      </c>
      <c r="H14" s="12" t="s">
        <v>313</v>
      </c>
      <c r="I14" s="12" t="s">
        <v>181</v>
      </c>
      <c r="J14" s="12" t="s">
        <v>181</v>
      </c>
      <c r="K14" s="12" t="s">
        <v>182</v>
      </c>
      <c r="L14" s="12" t="s">
        <v>182</v>
      </c>
      <c r="M14" s="12" t="s">
        <v>182</v>
      </c>
    </row>
    <row r="15" spans="1:13" s="5" customFormat="1" ht="15.75" x14ac:dyDescent="0.3">
      <c r="A15" s="8">
        <v>14</v>
      </c>
      <c r="B15" s="23" t="s">
        <v>230</v>
      </c>
      <c r="C15" s="8" t="s">
        <v>111</v>
      </c>
      <c r="D15" s="12" t="s">
        <v>313</v>
      </c>
      <c r="E15" s="12" t="s">
        <v>322</v>
      </c>
      <c r="F15" s="12" t="s">
        <v>322</v>
      </c>
      <c r="G15" s="12" t="s">
        <v>313</v>
      </c>
      <c r="H15" s="12" t="s">
        <v>313</v>
      </c>
      <c r="I15" s="12" t="s">
        <v>187</v>
      </c>
      <c r="J15" s="12" t="s">
        <v>181</v>
      </c>
      <c r="K15" s="12" t="s">
        <v>181</v>
      </c>
      <c r="L15" s="12" t="s">
        <v>181</v>
      </c>
      <c r="M15" s="12" t="s">
        <v>181</v>
      </c>
    </row>
    <row r="16" spans="1:13" s="5" customFormat="1" ht="15.75" x14ac:dyDescent="0.3">
      <c r="A16" s="8">
        <v>15</v>
      </c>
      <c r="B16" s="23" t="s">
        <v>231</v>
      </c>
      <c r="C16" s="8" t="s">
        <v>112</v>
      </c>
      <c r="D16" s="12" t="s">
        <v>328</v>
      </c>
      <c r="E16" s="12" t="s">
        <v>313</v>
      </c>
      <c r="F16" s="12" t="s">
        <v>313</v>
      </c>
      <c r="G16" s="12" t="s">
        <v>313</v>
      </c>
      <c r="H16" s="12" t="s">
        <v>313</v>
      </c>
      <c r="I16" s="12" t="s">
        <v>181</v>
      </c>
      <c r="J16" s="12" t="s">
        <v>181</v>
      </c>
      <c r="K16" s="12" t="s">
        <v>182</v>
      </c>
      <c r="L16" s="12" t="s">
        <v>181</v>
      </c>
      <c r="M16" s="12" t="s">
        <v>181</v>
      </c>
    </row>
    <row r="17" spans="1:13" s="5" customFormat="1" ht="15.75" x14ac:dyDescent="0.3">
      <c r="A17" s="8">
        <v>16</v>
      </c>
      <c r="B17" s="23" t="s">
        <v>232</v>
      </c>
      <c r="C17" s="8" t="s">
        <v>113</v>
      </c>
      <c r="D17" s="12" t="s">
        <v>313</v>
      </c>
      <c r="E17" s="12" t="s">
        <v>319</v>
      </c>
      <c r="F17" s="12" t="s">
        <v>315</v>
      </c>
      <c r="G17" s="12" t="s">
        <v>313</v>
      </c>
      <c r="H17" s="12" t="s">
        <v>313</v>
      </c>
      <c r="I17" s="12" t="s">
        <v>182</v>
      </c>
      <c r="J17" s="12" t="s">
        <v>191</v>
      </c>
      <c r="K17" s="12" t="s">
        <v>191</v>
      </c>
      <c r="L17" s="12" t="s">
        <v>181</v>
      </c>
      <c r="M17" s="12" t="s">
        <v>181</v>
      </c>
    </row>
    <row r="18" spans="1:13" s="5" customFormat="1" ht="15.75" x14ac:dyDescent="0.3">
      <c r="A18" s="8">
        <v>17</v>
      </c>
      <c r="B18" s="23" t="s">
        <v>233</v>
      </c>
      <c r="C18" s="8">
        <v>0</v>
      </c>
      <c r="D18" s="12" t="s">
        <v>323</v>
      </c>
      <c r="E18" s="12" t="s">
        <v>325</v>
      </c>
      <c r="F18" s="12" t="s">
        <v>325</v>
      </c>
      <c r="G18" s="12" t="s">
        <v>323</v>
      </c>
      <c r="H18" s="12" t="s">
        <v>313</v>
      </c>
      <c r="I18" s="12" t="s">
        <v>196</v>
      </c>
      <c r="J18" s="12" t="s">
        <v>196</v>
      </c>
      <c r="K18" s="12" t="s">
        <v>187</v>
      </c>
      <c r="L18" s="12" t="s">
        <v>181</v>
      </c>
      <c r="M18" s="12" t="s">
        <v>181</v>
      </c>
    </row>
    <row r="19" spans="1:13" s="5" customFormat="1" ht="15.75" x14ac:dyDescent="0.3">
      <c r="A19" s="8">
        <v>18</v>
      </c>
      <c r="B19" s="23" t="s">
        <v>234</v>
      </c>
      <c r="C19" s="8">
        <v>1</v>
      </c>
      <c r="D19" s="12" t="s">
        <v>313</v>
      </c>
      <c r="E19" s="12" t="s">
        <v>313</v>
      </c>
      <c r="F19" s="12" t="s">
        <v>313</v>
      </c>
      <c r="G19" s="12" t="s">
        <v>323</v>
      </c>
      <c r="H19" s="12" t="s">
        <v>313</v>
      </c>
      <c r="I19" s="12" t="s">
        <v>182</v>
      </c>
      <c r="J19" s="12" t="s">
        <v>182</v>
      </c>
      <c r="K19" s="12" t="s">
        <v>182</v>
      </c>
      <c r="L19" s="12" t="s">
        <v>181</v>
      </c>
      <c r="M19" s="12" t="s">
        <v>181</v>
      </c>
    </row>
    <row r="20" spans="1:13" s="5" customFormat="1" ht="15.75" x14ac:dyDescent="0.3">
      <c r="A20" s="8">
        <v>19</v>
      </c>
      <c r="B20" s="23" t="s">
        <v>235</v>
      </c>
      <c r="C20" s="8">
        <v>2</v>
      </c>
      <c r="D20" s="12" t="s">
        <v>319</v>
      </c>
      <c r="E20" s="12" t="s">
        <v>318</v>
      </c>
      <c r="F20" s="12" t="s">
        <v>318</v>
      </c>
      <c r="G20" s="12" t="s">
        <v>315</v>
      </c>
      <c r="H20" s="12" t="s">
        <v>313</v>
      </c>
      <c r="I20" s="12" t="s">
        <v>182</v>
      </c>
      <c r="J20" s="12" t="s">
        <v>191</v>
      </c>
      <c r="K20" s="12" t="s">
        <v>185</v>
      </c>
      <c r="L20" s="12" t="s">
        <v>181</v>
      </c>
      <c r="M20" s="12" t="s">
        <v>181</v>
      </c>
    </row>
    <row r="21" spans="1:13" s="5" customFormat="1" ht="15.75" x14ac:dyDescent="0.3">
      <c r="A21" s="8">
        <v>20</v>
      </c>
      <c r="B21" s="23" t="s">
        <v>236</v>
      </c>
      <c r="C21" s="8">
        <v>3</v>
      </c>
      <c r="D21" s="12" t="s">
        <v>313</v>
      </c>
      <c r="E21" s="12" t="s">
        <v>318</v>
      </c>
      <c r="F21" s="12" t="s">
        <v>318</v>
      </c>
      <c r="G21" s="12" t="s">
        <v>323</v>
      </c>
      <c r="H21" s="12" t="s">
        <v>313</v>
      </c>
      <c r="I21" s="12" t="s">
        <v>197</v>
      </c>
      <c r="J21" s="12" t="s">
        <v>196</v>
      </c>
      <c r="K21" s="12" t="s">
        <v>187</v>
      </c>
      <c r="L21" s="12" t="s">
        <v>181</v>
      </c>
      <c r="M21" s="12" t="s">
        <v>181</v>
      </c>
    </row>
    <row r="22" spans="1:13" s="5" customFormat="1" ht="15.75" x14ac:dyDescent="0.3">
      <c r="A22" s="8">
        <v>21</v>
      </c>
      <c r="B22" s="23" t="s">
        <v>237</v>
      </c>
      <c r="C22" s="8">
        <v>4</v>
      </c>
      <c r="D22" s="12" t="s">
        <v>315</v>
      </c>
      <c r="E22" s="12" t="s">
        <v>322</v>
      </c>
      <c r="F22" s="12" t="s">
        <v>322</v>
      </c>
      <c r="G22" s="12" t="s">
        <v>323</v>
      </c>
      <c r="H22" s="12" t="s">
        <v>313</v>
      </c>
      <c r="I22" s="12" t="s">
        <v>185</v>
      </c>
      <c r="J22" s="12" t="s">
        <v>194</v>
      </c>
      <c r="K22" s="12" t="s">
        <v>194</v>
      </c>
      <c r="L22" s="12" t="s">
        <v>181</v>
      </c>
      <c r="M22" s="12" t="s">
        <v>181</v>
      </c>
    </row>
    <row r="23" spans="1:13" s="5" customFormat="1" ht="15.75" x14ac:dyDescent="0.3">
      <c r="A23" s="8">
        <v>22</v>
      </c>
      <c r="B23" s="23" t="s">
        <v>238</v>
      </c>
      <c r="C23" s="8">
        <v>5</v>
      </c>
      <c r="D23" s="12" t="s">
        <v>315</v>
      </c>
      <c r="E23" s="12" t="s">
        <v>318</v>
      </c>
      <c r="F23" s="12" t="s">
        <v>318</v>
      </c>
      <c r="G23" s="12" t="s">
        <v>319</v>
      </c>
      <c r="H23" s="12" t="s">
        <v>313</v>
      </c>
      <c r="I23" s="12" t="s">
        <v>197</v>
      </c>
      <c r="J23" s="12" t="s">
        <v>196</v>
      </c>
      <c r="K23" s="12" t="s">
        <v>187</v>
      </c>
      <c r="L23" s="12" t="s">
        <v>181</v>
      </c>
      <c r="M23" s="12" t="s">
        <v>181</v>
      </c>
    </row>
    <row r="24" spans="1:13" s="5" customFormat="1" ht="15.75" x14ac:dyDescent="0.3">
      <c r="A24" s="8">
        <v>23</v>
      </c>
      <c r="B24" s="23" t="s">
        <v>239</v>
      </c>
      <c r="C24" s="8">
        <v>6</v>
      </c>
      <c r="D24" s="12" t="s">
        <v>323</v>
      </c>
      <c r="E24" s="12" t="s">
        <v>318</v>
      </c>
      <c r="F24" s="12" t="s">
        <v>318</v>
      </c>
      <c r="G24" s="12" t="s">
        <v>319</v>
      </c>
      <c r="H24" s="12" t="s">
        <v>313</v>
      </c>
      <c r="I24" s="12" t="s">
        <v>196</v>
      </c>
      <c r="J24" s="12" t="s">
        <v>196</v>
      </c>
      <c r="K24" s="12" t="s">
        <v>187</v>
      </c>
      <c r="L24" s="12" t="s">
        <v>181</v>
      </c>
      <c r="M24" s="12" t="s">
        <v>181</v>
      </c>
    </row>
    <row r="25" spans="1:13" s="5" customFormat="1" ht="15.75" x14ac:dyDescent="0.3">
      <c r="A25" s="8">
        <v>24</v>
      </c>
      <c r="B25" s="23" t="s">
        <v>240</v>
      </c>
      <c r="C25" s="8">
        <v>7</v>
      </c>
      <c r="D25" s="12" t="s">
        <v>313</v>
      </c>
      <c r="E25" s="12" t="s">
        <v>329</v>
      </c>
      <c r="F25" s="12" t="s">
        <v>329</v>
      </c>
      <c r="G25" s="12" t="s">
        <v>323</v>
      </c>
      <c r="H25" s="12" t="s">
        <v>313</v>
      </c>
      <c r="I25" s="12" t="s">
        <v>191</v>
      </c>
      <c r="J25" s="12" t="s">
        <v>191</v>
      </c>
      <c r="K25" s="12" t="s">
        <v>191</v>
      </c>
      <c r="L25" s="12" t="s">
        <v>181</v>
      </c>
      <c r="M25" s="12" t="s">
        <v>181</v>
      </c>
    </row>
    <row r="26" spans="1:13" s="5" customFormat="1" ht="15.75" x14ac:dyDescent="0.3">
      <c r="A26" s="8">
        <v>25</v>
      </c>
      <c r="B26" s="23" t="s">
        <v>241</v>
      </c>
      <c r="C26" s="8">
        <v>8</v>
      </c>
      <c r="D26" s="12" t="s">
        <v>323</v>
      </c>
      <c r="E26" s="12" t="s">
        <v>318</v>
      </c>
      <c r="F26" s="12" t="s">
        <v>318</v>
      </c>
      <c r="G26" s="12" t="s">
        <v>323</v>
      </c>
      <c r="H26" s="12" t="s">
        <v>313</v>
      </c>
      <c r="I26" s="12" t="s">
        <v>196</v>
      </c>
      <c r="J26" s="12" t="s">
        <v>196</v>
      </c>
      <c r="K26" s="12" t="s">
        <v>187</v>
      </c>
      <c r="L26" s="12" t="s">
        <v>181</v>
      </c>
      <c r="M26" s="12" t="s">
        <v>181</v>
      </c>
    </row>
    <row r="27" spans="1:13" s="5" customFormat="1" ht="15.75" x14ac:dyDescent="0.3">
      <c r="A27" s="8">
        <v>26</v>
      </c>
      <c r="B27" s="23" t="s">
        <v>242</v>
      </c>
      <c r="C27" s="8">
        <v>9</v>
      </c>
      <c r="D27" s="12" t="s">
        <v>315</v>
      </c>
      <c r="E27" s="12" t="s">
        <v>318</v>
      </c>
      <c r="F27" s="12" t="s">
        <v>318</v>
      </c>
      <c r="G27" s="12" t="s">
        <v>323</v>
      </c>
      <c r="H27" s="12" t="s">
        <v>313</v>
      </c>
      <c r="I27" s="12" t="s">
        <v>197</v>
      </c>
      <c r="J27" s="12" t="s">
        <v>196</v>
      </c>
      <c r="K27" s="12" t="s">
        <v>187</v>
      </c>
      <c r="L27" s="12" t="s">
        <v>181</v>
      </c>
      <c r="M27" s="12" t="s">
        <v>181</v>
      </c>
    </row>
    <row r="28" spans="1:13" s="5" customFormat="1" ht="15.75" x14ac:dyDescent="0.3">
      <c r="A28" s="8">
        <v>27</v>
      </c>
      <c r="B28" s="23" t="s">
        <v>243</v>
      </c>
      <c r="C28" s="8" t="s">
        <v>114</v>
      </c>
      <c r="D28" s="12" t="s">
        <v>313</v>
      </c>
      <c r="E28" s="12" t="s">
        <v>316</v>
      </c>
      <c r="F28" s="12" t="s">
        <v>313</v>
      </c>
      <c r="G28" s="12" t="s">
        <v>313</v>
      </c>
      <c r="H28" s="12" t="s">
        <v>313</v>
      </c>
      <c r="I28" s="12" t="s">
        <v>181</v>
      </c>
      <c r="J28" s="12" t="s">
        <v>181</v>
      </c>
      <c r="K28" s="12" t="s">
        <v>182</v>
      </c>
      <c r="L28" s="12" t="s">
        <v>181</v>
      </c>
      <c r="M28" s="12" t="s">
        <v>181</v>
      </c>
    </row>
    <row r="29" spans="1:13" s="5" customFormat="1" ht="15.75" x14ac:dyDescent="0.3">
      <c r="A29" s="8">
        <v>28</v>
      </c>
      <c r="B29" s="23" t="s">
        <v>244</v>
      </c>
      <c r="C29" s="8" t="s">
        <v>115</v>
      </c>
      <c r="D29" s="12" t="s">
        <v>328</v>
      </c>
      <c r="E29" s="12" t="s">
        <v>316</v>
      </c>
      <c r="F29" s="12" t="s">
        <v>313</v>
      </c>
      <c r="G29" s="12" t="s">
        <v>313</v>
      </c>
      <c r="H29" s="12" t="s">
        <v>313</v>
      </c>
      <c r="I29" s="12" t="s">
        <v>181</v>
      </c>
      <c r="J29" s="12" t="s">
        <v>181</v>
      </c>
      <c r="K29" s="12" t="s">
        <v>182</v>
      </c>
      <c r="L29" s="12" t="s">
        <v>182</v>
      </c>
      <c r="M29" s="12" t="s">
        <v>182</v>
      </c>
    </row>
    <row r="30" spans="1:13" s="5" customFormat="1" ht="15.75" x14ac:dyDescent="0.3">
      <c r="A30" s="8">
        <v>29</v>
      </c>
      <c r="B30" s="23" t="s">
        <v>245</v>
      </c>
      <c r="C30" s="8" t="s">
        <v>116</v>
      </c>
      <c r="D30" s="12" t="s">
        <v>313</v>
      </c>
      <c r="E30" s="12" t="s">
        <v>322</v>
      </c>
      <c r="F30" s="12" t="s">
        <v>316</v>
      </c>
      <c r="G30" s="12" t="s">
        <v>330</v>
      </c>
      <c r="H30" s="12" t="s">
        <v>313</v>
      </c>
      <c r="I30" s="12" t="s">
        <v>193</v>
      </c>
      <c r="J30" s="12" t="s">
        <v>202</v>
      </c>
      <c r="K30" s="12" t="s">
        <v>181</v>
      </c>
      <c r="L30" s="12" t="s">
        <v>181</v>
      </c>
      <c r="M30" s="12" t="s">
        <v>181</v>
      </c>
    </row>
    <row r="31" spans="1:13" s="5" customFormat="1" ht="15.75" x14ac:dyDescent="0.3">
      <c r="A31" s="8">
        <v>30</v>
      </c>
      <c r="B31" s="23" t="s">
        <v>246</v>
      </c>
      <c r="C31" s="8" t="s">
        <v>117</v>
      </c>
      <c r="D31" s="12" t="s">
        <v>313</v>
      </c>
      <c r="E31" s="12" t="s">
        <v>316</v>
      </c>
      <c r="F31" s="12" t="s">
        <v>316</v>
      </c>
      <c r="G31" s="12" t="s">
        <v>316</v>
      </c>
      <c r="H31" s="12" t="s">
        <v>313</v>
      </c>
      <c r="I31" s="12" t="s">
        <v>185</v>
      </c>
      <c r="J31" s="12" t="s">
        <v>181</v>
      </c>
      <c r="K31" s="12" t="s">
        <v>181</v>
      </c>
      <c r="L31" s="12" t="s">
        <v>181</v>
      </c>
      <c r="M31" s="12" t="s">
        <v>181</v>
      </c>
    </row>
    <row r="32" spans="1:13" s="5" customFormat="1" ht="15.75" x14ac:dyDescent="0.3">
      <c r="A32" s="8">
        <v>31</v>
      </c>
      <c r="B32" s="23" t="s">
        <v>247</v>
      </c>
      <c r="C32" s="8" t="s">
        <v>118</v>
      </c>
      <c r="D32" s="12" t="s">
        <v>313</v>
      </c>
      <c r="E32" s="12" t="s">
        <v>330</v>
      </c>
      <c r="F32" s="12" t="s">
        <v>316</v>
      </c>
      <c r="G32" s="12" t="s">
        <v>322</v>
      </c>
      <c r="H32" s="12" t="s">
        <v>313</v>
      </c>
      <c r="I32" s="12" t="s">
        <v>198</v>
      </c>
      <c r="J32" s="12" t="s">
        <v>203</v>
      </c>
      <c r="K32" s="12" t="s">
        <v>181</v>
      </c>
      <c r="L32" s="12" t="s">
        <v>181</v>
      </c>
      <c r="M32" s="12" t="s">
        <v>181</v>
      </c>
    </row>
    <row r="33" spans="1:13" s="5" customFormat="1" ht="15.75" x14ac:dyDescent="0.3">
      <c r="A33" s="8">
        <v>32</v>
      </c>
      <c r="B33" s="23" t="s">
        <v>248</v>
      </c>
      <c r="C33" s="8" t="s">
        <v>119</v>
      </c>
      <c r="D33" s="12" t="s">
        <v>313</v>
      </c>
      <c r="E33" s="12" t="s">
        <v>329</v>
      </c>
      <c r="F33" s="12" t="s">
        <v>331</v>
      </c>
      <c r="G33" s="12" t="s">
        <v>315</v>
      </c>
      <c r="H33" s="12" t="s">
        <v>313</v>
      </c>
      <c r="I33" s="12" t="s">
        <v>182</v>
      </c>
      <c r="J33" s="12" t="s">
        <v>181</v>
      </c>
      <c r="K33" s="12" t="s">
        <v>182</v>
      </c>
      <c r="L33" s="12" t="s">
        <v>181</v>
      </c>
      <c r="M33" s="12" t="s">
        <v>181</v>
      </c>
    </row>
    <row r="34" spans="1:13" s="5" customFormat="1" ht="15.75" x14ac:dyDescent="0.3">
      <c r="A34" s="8">
        <v>33</v>
      </c>
      <c r="B34" s="23" t="s">
        <v>249</v>
      </c>
      <c r="C34" s="8" t="s">
        <v>120</v>
      </c>
      <c r="D34" s="12" t="s">
        <v>323</v>
      </c>
      <c r="E34" s="12" t="s">
        <v>318</v>
      </c>
      <c r="F34" s="12" t="s">
        <v>332</v>
      </c>
      <c r="G34" s="12" t="s">
        <v>333</v>
      </c>
      <c r="H34" s="12" t="s">
        <v>314</v>
      </c>
      <c r="I34" s="12" t="s">
        <v>199</v>
      </c>
      <c r="J34" s="12" t="s">
        <v>199</v>
      </c>
      <c r="K34" s="12" t="s">
        <v>187</v>
      </c>
      <c r="L34" s="12" t="s">
        <v>181</v>
      </c>
      <c r="M34" s="12" t="s">
        <v>181</v>
      </c>
    </row>
    <row r="35" spans="1:13" s="5" customFormat="1" ht="15.75" x14ac:dyDescent="0.3">
      <c r="A35" s="8">
        <v>34</v>
      </c>
      <c r="B35" s="23" t="s">
        <v>250</v>
      </c>
      <c r="C35" s="8" t="s">
        <v>121</v>
      </c>
      <c r="D35" s="12" t="s">
        <v>323</v>
      </c>
      <c r="E35" s="12" t="s">
        <v>334</v>
      </c>
      <c r="F35" s="12" t="s">
        <v>334</v>
      </c>
      <c r="G35" s="12" t="s">
        <v>323</v>
      </c>
      <c r="H35" s="12" t="s">
        <v>313</v>
      </c>
      <c r="I35" s="12" t="s">
        <v>185</v>
      </c>
      <c r="J35" s="12" t="s">
        <v>196</v>
      </c>
      <c r="K35" s="12" t="s">
        <v>196</v>
      </c>
      <c r="L35" s="12" t="s">
        <v>181</v>
      </c>
      <c r="M35" s="12" t="s">
        <v>181</v>
      </c>
    </row>
    <row r="36" spans="1:13" s="5" customFormat="1" ht="15.75" x14ac:dyDescent="0.3">
      <c r="A36" s="8">
        <v>35</v>
      </c>
      <c r="B36" s="23" t="s">
        <v>251</v>
      </c>
      <c r="C36" s="8" t="s">
        <v>122</v>
      </c>
      <c r="D36" s="12" t="s">
        <v>335</v>
      </c>
      <c r="E36" s="12" t="s">
        <v>318</v>
      </c>
      <c r="F36" s="12" t="s">
        <v>318</v>
      </c>
      <c r="G36" s="12" t="s">
        <v>323</v>
      </c>
      <c r="H36" s="12" t="s">
        <v>313</v>
      </c>
      <c r="I36" s="12" t="s">
        <v>196</v>
      </c>
      <c r="J36" s="12" t="s">
        <v>196</v>
      </c>
      <c r="K36" s="12" t="s">
        <v>200</v>
      </c>
      <c r="L36" s="12" t="s">
        <v>181</v>
      </c>
      <c r="M36" s="12" t="s">
        <v>181</v>
      </c>
    </row>
    <row r="37" spans="1:13" s="5" customFormat="1" ht="15.75" x14ac:dyDescent="0.3">
      <c r="A37" s="8">
        <v>36</v>
      </c>
      <c r="B37" s="23" t="s">
        <v>252</v>
      </c>
      <c r="C37" s="8" t="s">
        <v>2</v>
      </c>
      <c r="D37" s="12" t="s">
        <v>323</v>
      </c>
      <c r="E37" s="12" t="s">
        <v>325</v>
      </c>
      <c r="F37" s="12" t="s">
        <v>325</v>
      </c>
      <c r="G37" s="12" t="s">
        <v>313</v>
      </c>
      <c r="H37" s="12" t="s">
        <v>313</v>
      </c>
      <c r="I37" s="12" t="s">
        <v>199</v>
      </c>
      <c r="J37" s="12" t="s">
        <v>196</v>
      </c>
      <c r="K37" s="12" t="s">
        <v>187</v>
      </c>
      <c r="L37" s="12" t="s">
        <v>181</v>
      </c>
      <c r="M37" s="12" t="s">
        <v>181</v>
      </c>
    </row>
    <row r="38" spans="1:13" s="5" customFormat="1" ht="15.75" x14ac:dyDescent="0.3">
      <c r="A38" s="8">
        <v>37</v>
      </c>
      <c r="B38" s="23" t="s">
        <v>253</v>
      </c>
      <c r="C38" s="8" t="s">
        <v>123</v>
      </c>
      <c r="D38" s="12" t="s">
        <v>335</v>
      </c>
      <c r="E38" s="12" t="s">
        <v>325</v>
      </c>
      <c r="F38" s="12" t="s">
        <v>325</v>
      </c>
      <c r="G38" s="12" t="s">
        <v>323</v>
      </c>
      <c r="H38" s="12" t="s">
        <v>313</v>
      </c>
      <c r="I38" s="12" t="s">
        <v>196</v>
      </c>
      <c r="J38" s="12" t="s">
        <v>186</v>
      </c>
      <c r="K38" s="12" t="s">
        <v>206</v>
      </c>
      <c r="L38" s="12" t="s">
        <v>181</v>
      </c>
      <c r="M38" s="12" t="s">
        <v>181</v>
      </c>
    </row>
    <row r="39" spans="1:13" s="5" customFormat="1" ht="15.75" x14ac:dyDescent="0.3">
      <c r="A39" s="8">
        <v>38</v>
      </c>
      <c r="B39" s="23" t="s">
        <v>254</v>
      </c>
      <c r="C39" s="8" t="s">
        <v>4</v>
      </c>
      <c r="D39" s="12" t="s">
        <v>323</v>
      </c>
      <c r="E39" s="12" t="s">
        <v>318</v>
      </c>
      <c r="F39" s="12" t="s">
        <v>318</v>
      </c>
      <c r="G39" s="12" t="s">
        <v>313</v>
      </c>
      <c r="H39" s="12" t="s">
        <v>313</v>
      </c>
      <c r="I39" s="12" t="s">
        <v>199</v>
      </c>
      <c r="J39" s="12" t="s">
        <v>199</v>
      </c>
      <c r="K39" s="12" t="s">
        <v>185</v>
      </c>
      <c r="L39" s="12" t="s">
        <v>181</v>
      </c>
      <c r="M39" s="12" t="s">
        <v>181</v>
      </c>
    </row>
    <row r="40" spans="1:13" s="5" customFormat="1" ht="15.75" x14ac:dyDescent="0.3">
      <c r="A40" s="8">
        <v>39</v>
      </c>
      <c r="B40" s="23" t="s">
        <v>255</v>
      </c>
      <c r="C40" s="8" t="s">
        <v>3</v>
      </c>
      <c r="D40" s="12" t="s">
        <v>323</v>
      </c>
      <c r="E40" s="12" t="s">
        <v>334</v>
      </c>
      <c r="F40" s="12" t="s">
        <v>334</v>
      </c>
      <c r="G40" s="12" t="s">
        <v>313</v>
      </c>
      <c r="H40" s="12" t="s">
        <v>313</v>
      </c>
      <c r="I40" s="12" t="s">
        <v>199</v>
      </c>
      <c r="J40" s="12" t="s">
        <v>199</v>
      </c>
      <c r="K40" s="12" t="s">
        <v>199</v>
      </c>
      <c r="L40" s="12" t="s">
        <v>181</v>
      </c>
      <c r="M40" s="12" t="s">
        <v>181</v>
      </c>
    </row>
    <row r="41" spans="1:13" s="5" customFormat="1" ht="15.75" x14ac:dyDescent="0.3">
      <c r="A41" s="8">
        <v>40</v>
      </c>
      <c r="B41" s="23" t="s">
        <v>256</v>
      </c>
      <c r="C41" s="8" t="s">
        <v>124</v>
      </c>
      <c r="D41" s="12" t="s">
        <v>323</v>
      </c>
      <c r="E41" s="12" t="s">
        <v>325</v>
      </c>
      <c r="F41" s="12" t="s">
        <v>336</v>
      </c>
      <c r="G41" s="12" t="s">
        <v>319</v>
      </c>
      <c r="H41" s="12" t="s">
        <v>313</v>
      </c>
      <c r="I41" s="12" t="s">
        <v>196</v>
      </c>
      <c r="J41" s="12" t="s">
        <v>196</v>
      </c>
      <c r="K41" s="12" t="s">
        <v>187</v>
      </c>
      <c r="L41" s="12" t="s">
        <v>181</v>
      </c>
      <c r="M41" s="12" t="s">
        <v>181</v>
      </c>
    </row>
    <row r="42" spans="1:13" s="5" customFormat="1" ht="15.75" x14ac:dyDescent="0.3">
      <c r="A42" s="8">
        <v>41</v>
      </c>
      <c r="B42" s="23" t="s">
        <v>257</v>
      </c>
      <c r="C42" s="8" t="s">
        <v>125</v>
      </c>
      <c r="D42" s="12" t="s">
        <v>323</v>
      </c>
      <c r="E42" s="12" t="s">
        <v>322</v>
      </c>
      <c r="F42" s="12" t="s">
        <v>322</v>
      </c>
      <c r="G42" s="12" t="s">
        <v>323</v>
      </c>
      <c r="H42" s="12" t="s">
        <v>313</v>
      </c>
      <c r="I42" s="12" t="s">
        <v>196</v>
      </c>
      <c r="J42" s="12" t="s">
        <v>196</v>
      </c>
      <c r="K42" s="12" t="s">
        <v>196</v>
      </c>
      <c r="L42" s="12" t="s">
        <v>181</v>
      </c>
      <c r="M42" s="12" t="s">
        <v>181</v>
      </c>
    </row>
    <row r="43" spans="1:13" s="5" customFormat="1" ht="15.75" x14ac:dyDescent="0.3">
      <c r="A43" s="8">
        <v>42</v>
      </c>
      <c r="B43" s="23" t="s">
        <v>258</v>
      </c>
      <c r="C43" s="8" t="s">
        <v>126</v>
      </c>
      <c r="D43" s="12" t="s">
        <v>313</v>
      </c>
      <c r="E43" s="12" t="s">
        <v>313</v>
      </c>
      <c r="F43" s="12" t="s">
        <v>323</v>
      </c>
      <c r="G43" s="12" t="s">
        <v>313</v>
      </c>
      <c r="H43" s="12" t="s">
        <v>313</v>
      </c>
      <c r="I43" s="12" t="s">
        <v>182</v>
      </c>
      <c r="J43" s="12" t="s">
        <v>182</v>
      </c>
      <c r="K43" s="12" t="s">
        <v>187</v>
      </c>
      <c r="L43" s="12" t="s">
        <v>181</v>
      </c>
      <c r="M43" s="12" t="s">
        <v>181</v>
      </c>
    </row>
    <row r="44" spans="1:13" s="5" customFormat="1" ht="15.75" x14ac:dyDescent="0.3">
      <c r="A44" s="8">
        <v>43</v>
      </c>
      <c r="B44" s="23" t="s">
        <v>259</v>
      </c>
      <c r="C44" s="8" t="s">
        <v>127</v>
      </c>
      <c r="D44" s="12" t="s">
        <v>313</v>
      </c>
      <c r="E44" s="12" t="s">
        <v>327</v>
      </c>
      <c r="F44" s="12" t="s">
        <v>327</v>
      </c>
      <c r="G44" s="12" t="s">
        <v>323</v>
      </c>
      <c r="H44" s="12" t="s">
        <v>313</v>
      </c>
      <c r="I44" s="12" t="s">
        <v>197</v>
      </c>
      <c r="J44" s="12" t="s">
        <v>196</v>
      </c>
      <c r="K44" s="12" t="s">
        <v>187</v>
      </c>
      <c r="L44" s="12" t="s">
        <v>181</v>
      </c>
      <c r="M44" s="12" t="s">
        <v>181</v>
      </c>
    </row>
    <row r="45" spans="1:13" s="5" customFormat="1" ht="15.75" x14ac:dyDescent="0.3">
      <c r="A45" s="8">
        <v>44</v>
      </c>
      <c r="B45" s="23" t="s">
        <v>260</v>
      </c>
      <c r="C45" s="8" t="s">
        <v>128</v>
      </c>
      <c r="D45" s="12" t="s">
        <v>323</v>
      </c>
      <c r="E45" s="12" t="s">
        <v>322</v>
      </c>
      <c r="F45" s="12" t="s">
        <v>316</v>
      </c>
      <c r="G45" s="12" t="s">
        <v>330</v>
      </c>
      <c r="H45" s="12" t="s">
        <v>313</v>
      </c>
      <c r="I45" s="12" t="s">
        <v>186</v>
      </c>
      <c r="J45" s="12" t="s">
        <v>186</v>
      </c>
      <c r="K45" s="12" t="s">
        <v>196</v>
      </c>
      <c r="L45" s="12" t="s">
        <v>181</v>
      </c>
      <c r="M45" s="12" t="s">
        <v>181</v>
      </c>
    </row>
    <row r="46" spans="1:13" s="5" customFormat="1" ht="15.75" x14ac:dyDescent="0.3">
      <c r="A46" s="8">
        <v>45</v>
      </c>
      <c r="B46" s="23" t="s">
        <v>261</v>
      </c>
      <c r="C46" s="8" t="s">
        <v>129</v>
      </c>
      <c r="D46" s="12" t="s">
        <v>323</v>
      </c>
      <c r="E46" s="12" t="s">
        <v>327</v>
      </c>
      <c r="F46" s="12" t="s">
        <v>327</v>
      </c>
      <c r="G46" s="12" t="s">
        <v>313</v>
      </c>
      <c r="H46" s="12" t="s">
        <v>313</v>
      </c>
      <c r="I46" s="12" t="s">
        <v>199</v>
      </c>
      <c r="J46" s="12" t="s">
        <v>199</v>
      </c>
      <c r="K46" s="12" t="s">
        <v>185</v>
      </c>
      <c r="L46" s="12" t="s">
        <v>181</v>
      </c>
      <c r="M46" s="12" t="s">
        <v>181</v>
      </c>
    </row>
    <row r="47" spans="1:13" s="5" customFormat="1" ht="15.75" x14ac:dyDescent="0.3">
      <c r="A47" s="8">
        <v>46</v>
      </c>
      <c r="B47" s="23" t="s">
        <v>262</v>
      </c>
      <c r="C47" s="8" t="s">
        <v>130</v>
      </c>
      <c r="D47" s="12" t="s">
        <v>323</v>
      </c>
      <c r="E47" s="12" t="s">
        <v>329</v>
      </c>
      <c r="F47" s="12" t="s">
        <v>315</v>
      </c>
      <c r="G47" s="12" t="s">
        <v>329</v>
      </c>
      <c r="H47" s="12" t="s">
        <v>323</v>
      </c>
      <c r="I47" s="12" t="s">
        <v>196</v>
      </c>
      <c r="J47" s="12" t="s">
        <v>196</v>
      </c>
      <c r="K47" s="12" t="s">
        <v>196</v>
      </c>
      <c r="L47" s="12" t="s">
        <v>181</v>
      </c>
      <c r="M47" s="12" t="s">
        <v>181</v>
      </c>
    </row>
    <row r="48" spans="1:13" s="5" customFormat="1" ht="15.75" x14ac:dyDescent="0.3">
      <c r="A48" s="8">
        <v>47</v>
      </c>
      <c r="B48" s="23" t="s">
        <v>263</v>
      </c>
      <c r="C48" s="8" t="s">
        <v>131</v>
      </c>
      <c r="D48" s="12" t="s">
        <v>323</v>
      </c>
      <c r="E48" s="12" t="s">
        <v>337</v>
      </c>
      <c r="F48" s="12" t="s">
        <v>321</v>
      </c>
      <c r="G48" s="12" t="s">
        <v>323</v>
      </c>
      <c r="H48" s="12" t="s">
        <v>313</v>
      </c>
      <c r="I48" s="12" t="s">
        <v>204</v>
      </c>
      <c r="J48" s="12" t="s">
        <v>204</v>
      </c>
      <c r="K48" s="12" t="s">
        <v>196</v>
      </c>
      <c r="L48" s="12" t="s">
        <v>181</v>
      </c>
      <c r="M48" s="12" t="s">
        <v>181</v>
      </c>
    </row>
    <row r="49" spans="1:13" s="5" customFormat="1" ht="15.75" x14ac:dyDescent="0.3">
      <c r="A49" s="8">
        <v>48</v>
      </c>
      <c r="B49" s="23" t="s">
        <v>264</v>
      </c>
      <c r="C49" s="8" t="s">
        <v>132</v>
      </c>
      <c r="D49" s="12" t="s">
        <v>323</v>
      </c>
      <c r="E49" s="12" t="s">
        <v>325</v>
      </c>
      <c r="F49" s="12" t="s">
        <v>325</v>
      </c>
      <c r="G49" s="12" t="s">
        <v>323</v>
      </c>
      <c r="H49" s="12" t="s">
        <v>313</v>
      </c>
      <c r="I49" s="12" t="s">
        <v>196</v>
      </c>
      <c r="J49" s="12" t="s">
        <v>196</v>
      </c>
      <c r="K49" s="12" t="s">
        <v>187</v>
      </c>
      <c r="L49" s="12" t="s">
        <v>181</v>
      </c>
      <c r="M49" s="12" t="s">
        <v>181</v>
      </c>
    </row>
    <row r="50" spans="1:13" s="5" customFormat="1" ht="15.75" x14ac:dyDescent="0.3">
      <c r="A50" s="8">
        <v>49</v>
      </c>
      <c r="B50" s="23" t="s">
        <v>265</v>
      </c>
      <c r="C50" s="8" t="s">
        <v>133</v>
      </c>
      <c r="D50" s="12" t="s">
        <v>323</v>
      </c>
      <c r="E50" s="12" t="s">
        <v>334</v>
      </c>
      <c r="F50" s="12" t="s">
        <v>334</v>
      </c>
      <c r="G50" s="12" t="s">
        <v>315</v>
      </c>
      <c r="H50" s="12" t="s">
        <v>313</v>
      </c>
      <c r="I50" s="12" t="s">
        <v>199</v>
      </c>
      <c r="J50" s="12" t="s">
        <v>199</v>
      </c>
      <c r="K50" s="12" t="s">
        <v>199</v>
      </c>
      <c r="L50" s="12" t="s">
        <v>181</v>
      </c>
      <c r="M50" s="12" t="s">
        <v>181</v>
      </c>
    </row>
    <row r="51" spans="1:13" s="5" customFormat="1" ht="15.75" x14ac:dyDescent="0.3">
      <c r="A51" s="8">
        <v>50</v>
      </c>
      <c r="B51" s="23" t="s">
        <v>266</v>
      </c>
      <c r="C51" s="8" t="s">
        <v>134</v>
      </c>
      <c r="D51" s="12" t="s">
        <v>323</v>
      </c>
      <c r="E51" s="12" t="s">
        <v>325</v>
      </c>
      <c r="F51" s="12" t="s">
        <v>338</v>
      </c>
      <c r="G51" s="12" t="s">
        <v>339</v>
      </c>
      <c r="H51" s="12" t="s">
        <v>313</v>
      </c>
      <c r="I51" s="12" t="s">
        <v>196</v>
      </c>
      <c r="J51" s="12" t="s">
        <v>188</v>
      </c>
      <c r="K51" s="12" t="s">
        <v>187</v>
      </c>
      <c r="L51" s="12" t="s">
        <v>197</v>
      </c>
      <c r="M51" s="12" t="s">
        <v>181</v>
      </c>
    </row>
    <row r="52" spans="1:13" s="5" customFormat="1" ht="15.75" x14ac:dyDescent="0.3">
      <c r="A52" s="8">
        <v>51</v>
      </c>
      <c r="B52" s="23" t="s">
        <v>267</v>
      </c>
      <c r="C52" s="8" t="s">
        <v>135</v>
      </c>
      <c r="D52" s="12" t="s">
        <v>323</v>
      </c>
      <c r="E52" s="12" t="s">
        <v>334</v>
      </c>
      <c r="F52" s="12" t="s">
        <v>340</v>
      </c>
      <c r="G52" s="12" t="s">
        <v>341</v>
      </c>
      <c r="H52" s="12" t="s">
        <v>313</v>
      </c>
      <c r="I52" s="12" t="s">
        <v>186</v>
      </c>
      <c r="J52" s="12" t="s">
        <v>186</v>
      </c>
      <c r="K52" s="12" t="s">
        <v>196</v>
      </c>
      <c r="L52" s="12" t="s">
        <v>181</v>
      </c>
      <c r="M52" s="12" t="s">
        <v>181</v>
      </c>
    </row>
    <row r="53" spans="1:13" s="5" customFormat="1" ht="15.75" x14ac:dyDescent="0.3">
      <c r="A53" s="8">
        <v>52</v>
      </c>
      <c r="B53" s="23" t="s">
        <v>268</v>
      </c>
      <c r="C53" s="8" t="s">
        <v>136</v>
      </c>
      <c r="D53" s="12" t="s">
        <v>315</v>
      </c>
      <c r="E53" s="12" t="s">
        <v>318</v>
      </c>
      <c r="F53" s="12" t="s">
        <v>318</v>
      </c>
      <c r="G53" s="12" t="s">
        <v>319</v>
      </c>
      <c r="H53" s="12" t="s">
        <v>313</v>
      </c>
      <c r="I53" s="12" t="s">
        <v>197</v>
      </c>
      <c r="J53" s="12" t="s">
        <v>196</v>
      </c>
      <c r="K53" s="12" t="s">
        <v>187</v>
      </c>
      <c r="L53" s="12" t="s">
        <v>181</v>
      </c>
      <c r="M53" s="12" t="s">
        <v>181</v>
      </c>
    </row>
    <row r="54" spans="1:13" s="5" customFormat="1" ht="15.75" x14ac:dyDescent="0.3">
      <c r="A54" s="8">
        <v>53</v>
      </c>
      <c r="B54" s="23" t="s">
        <v>269</v>
      </c>
      <c r="C54" s="8" t="s">
        <v>137</v>
      </c>
      <c r="D54" s="12" t="s">
        <v>313</v>
      </c>
      <c r="E54" s="12" t="s">
        <v>329</v>
      </c>
      <c r="F54" s="12" t="s">
        <v>342</v>
      </c>
      <c r="G54" s="12" t="s">
        <v>329</v>
      </c>
      <c r="H54" s="12" t="s">
        <v>313</v>
      </c>
      <c r="I54" s="12" t="s">
        <v>182</v>
      </c>
      <c r="J54" s="12" t="s">
        <v>182</v>
      </c>
      <c r="K54" s="12" t="s">
        <v>182</v>
      </c>
      <c r="L54" s="12" t="s">
        <v>181</v>
      </c>
      <c r="M54" s="12" t="s">
        <v>181</v>
      </c>
    </row>
    <row r="55" spans="1:13" s="5" customFormat="1" ht="15.75" x14ac:dyDescent="0.3">
      <c r="A55" s="8">
        <v>54</v>
      </c>
      <c r="B55" s="23" t="s">
        <v>270</v>
      </c>
      <c r="C55" s="8" t="s">
        <v>138</v>
      </c>
      <c r="D55" s="12" t="s">
        <v>323</v>
      </c>
      <c r="E55" s="12" t="s">
        <v>327</v>
      </c>
      <c r="F55" s="12" t="s">
        <v>327</v>
      </c>
      <c r="G55" s="12" t="s">
        <v>323</v>
      </c>
      <c r="H55" s="12" t="s">
        <v>313</v>
      </c>
      <c r="I55" s="12" t="s">
        <v>196</v>
      </c>
      <c r="J55" s="12" t="s">
        <v>196</v>
      </c>
      <c r="K55" s="12" t="s">
        <v>187</v>
      </c>
      <c r="L55" s="12" t="s">
        <v>181</v>
      </c>
      <c r="M55" s="12" t="s">
        <v>181</v>
      </c>
    </row>
    <row r="56" spans="1:13" s="5" customFormat="1" ht="15.75" x14ac:dyDescent="0.3">
      <c r="A56" s="8">
        <v>55</v>
      </c>
      <c r="B56" s="23" t="s">
        <v>271</v>
      </c>
      <c r="C56" s="8" t="s">
        <v>139</v>
      </c>
      <c r="D56" s="12" t="s">
        <v>323</v>
      </c>
      <c r="E56" s="12" t="s">
        <v>327</v>
      </c>
      <c r="F56" s="12" t="s">
        <v>323</v>
      </c>
      <c r="G56" s="12" t="s">
        <v>313</v>
      </c>
      <c r="H56" s="12" t="s">
        <v>313</v>
      </c>
      <c r="I56" s="12" t="s">
        <v>183</v>
      </c>
      <c r="J56" s="12" t="s">
        <v>182</v>
      </c>
      <c r="K56" s="12" t="s">
        <v>182</v>
      </c>
      <c r="L56" s="12" t="s">
        <v>181</v>
      </c>
      <c r="M56" s="12" t="s">
        <v>181</v>
      </c>
    </row>
    <row r="57" spans="1:13" s="5" customFormat="1" ht="15.75" x14ac:dyDescent="0.3">
      <c r="A57" s="8">
        <v>56</v>
      </c>
      <c r="B57" s="23" t="s">
        <v>272</v>
      </c>
      <c r="C57" s="8" t="s">
        <v>140</v>
      </c>
      <c r="D57" s="12" t="s">
        <v>323</v>
      </c>
      <c r="E57" s="12" t="s">
        <v>327</v>
      </c>
      <c r="F57" s="12" t="s">
        <v>319</v>
      </c>
      <c r="G57" s="12" t="s">
        <v>327</v>
      </c>
      <c r="H57" s="12" t="s">
        <v>323</v>
      </c>
      <c r="I57" s="12" t="s">
        <v>207</v>
      </c>
      <c r="J57" s="12" t="s">
        <v>183</v>
      </c>
      <c r="K57" s="12" t="s">
        <v>183</v>
      </c>
      <c r="L57" s="12" t="s">
        <v>181</v>
      </c>
      <c r="M57" s="12" t="s">
        <v>181</v>
      </c>
    </row>
    <row r="58" spans="1:13" s="5" customFormat="1" ht="15.75" x14ac:dyDescent="0.3">
      <c r="A58" s="8">
        <v>57</v>
      </c>
      <c r="B58" s="23" t="s">
        <v>273</v>
      </c>
      <c r="C58" s="8" t="s">
        <v>141</v>
      </c>
      <c r="D58" s="12" t="s">
        <v>323</v>
      </c>
      <c r="E58" s="12" t="s">
        <v>322</v>
      </c>
      <c r="F58" s="12" t="s">
        <v>322</v>
      </c>
      <c r="G58" s="12" t="s">
        <v>323</v>
      </c>
      <c r="H58" s="12" t="s">
        <v>313</v>
      </c>
      <c r="I58" s="12" t="s">
        <v>183</v>
      </c>
      <c r="J58" s="12" t="s">
        <v>183</v>
      </c>
      <c r="K58" s="12" t="s">
        <v>196</v>
      </c>
      <c r="L58" s="12" t="s">
        <v>181</v>
      </c>
      <c r="M58" s="12" t="s">
        <v>181</v>
      </c>
    </row>
    <row r="59" spans="1:13" s="5" customFormat="1" ht="15.75" x14ac:dyDescent="0.3">
      <c r="A59" s="8">
        <v>58</v>
      </c>
      <c r="B59" s="23" t="s">
        <v>274</v>
      </c>
      <c r="C59" s="8" t="s">
        <v>142</v>
      </c>
      <c r="D59" s="12" t="s">
        <v>315</v>
      </c>
      <c r="E59" s="12" t="s">
        <v>343</v>
      </c>
      <c r="F59" s="12" t="s">
        <v>343</v>
      </c>
      <c r="G59" s="12" t="s">
        <v>323</v>
      </c>
      <c r="H59" s="12" t="s">
        <v>313</v>
      </c>
      <c r="I59" s="12" t="s">
        <v>182</v>
      </c>
      <c r="J59" s="12" t="s">
        <v>182</v>
      </c>
      <c r="K59" s="12" t="s">
        <v>182</v>
      </c>
      <c r="L59" s="12" t="s">
        <v>181</v>
      </c>
      <c r="M59" s="12" t="s">
        <v>181</v>
      </c>
    </row>
    <row r="60" spans="1:13" s="5" customFormat="1" ht="15.75" x14ac:dyDescent="0.3">
      <c r="A60" s="8">
        <v>59</v>
      </c>
      <c r="B60" s="23" t="s">
        <v>275</v>
      </c>
      <c r="C60" s="8" t="s">
        <v>143</v>
      </c>
      <c r="D60" s="12" t="s">
        <v>328</v>
      </c>
      <c r="E60" s="12" t="s">
        <v>336</v>
      </c>
      <c r="F60" s="12" t="s">
        <v>318</v>
      </c>
      <c r="G60" s="12" t="s">
        <v>344</v>
      </c>
      <c r="H60" s="12" t="s">
        <v>345</v>
      </c>
      <c r="I60" s="12" t="s">
        <v>191</v>
      </c>
      <c r="J60" s="12" t="s">
        <v>199</v>
      </c>
      <c r="K60" s="12" t="s">
        <v>185</v>
      </c>
      <c r="L60" s="12" t="s">
        <v>181</v>
      </c>
      <c r="M60" s="12" t="s">
        <v>181</v>
      </c>
    </row>
    <row r="61" spans="1:13" s="5" customFormat="1" ht="15.75" x14ac:dyDescent="0.3">
      <c r="A61" s="8">
        <v>60</v>
      </c>
      <c r="B61" s="23" t="s">
        <v>276</v>
      </c>
      <c r="C61" s="8" t="s">
        <v>144</v>
      </c>
      <c r="D61" s="12" t="s">
        <v>335</v>
      </c>
      <c r="E61" s="12" t="s">
        <v>325</v>
      </c>
      <c r="F61" s="12" t="s">
        <v>325</v>
      </c>
      <c r="G61" s="12" t="s">
        <v>313</v>
      </c>
      <c r="H61" s="12" t="s">
        <v>313</v>
      </c>
      <c r="I61" s="12" t="s">
        <v>182</v>
      </c>
      <c r="J61" s="12" t="s">
        <v>182</v>
      </c>
      <c r="K61" s="12" t="s">
        <v>182</v>
      </c>
      <c r="L61" s="12" t="s">
        <v>182</v>
      </c>
      <c r="M61" s="12" t="s">
        <v>198</v>
      </c>
    </row>
    <row r="62" spans="1:13" s="5" customFormat="1" ht="15.75" x14ac:dyDescent="0.3">
      <c r="A62" s="8">
        <v>61</v>
      </c>
      <c r="B62" s="23" t="s">
        <v>277</v>
      </c>
      <c r="C62" s="8" t="s">
        <v>145</v>
      </c>
      <c r="D62" s="12" t="s">
        <v>313</v>
      </c>
      <c r="E62" s="12" t="s">
        <v>315</v>
      </c>
      <c r="F62" s="12" t="s">
        <v>319</v>
      </c>
      <c r="G62" s="12" t="s">
        <v>313</v>
      </c>
      <c r="H62" s="12" t="s">
        <v>313</v>
      </c>
      <c r="I62" s="12" t="s">
        <v>182</v>
      </c>
      <c r="J62" s="12" t="s">
        <v>194</v>
      </c>
      <c r="K62" s="12" t="s">
        <v>194</v>
      </c>
      <c r="L62" s="12" t="s">
        <v>181</v>
      </c>
      <c r="M62" s="12" t="s">
        <v>181</v>
      </c>
    </row>
    <row r="63" spans="1:13" s="5" customFormat="1" ht="15.75" x14ac:dyDescent="0.3">
      <c r="A63" s="8">
        <v>62</v>
      </c>
      <c r="B63" s="23" t="s">
        <v>278</v>
      </c>
      <c r="C63" s="8" t="s">
        <v>146</v>
      </c>
      <c r="D63" s="12" t="s">
        <v>313</v>
      </c>
      <c r="E63" s="12" t="s">
        <v>325</v>
      </c>
      <c r="F63" s="12" t="s">
        <v>325</v>
      </c>
      <c r="G63" s="12" t="s">
        <v>335</v>
      </c>
      <c r="H63" s="12" t="s">
        <v>313</v>
      </c>
      <c r="I63" s="12" t="s">
        <v>182</v>
      </c>
      <c r="J63" s="12" t="s">
        <v>182</v>
      </c>
      <c r="K63" s="12" t="s">
        <v>182</v>
      </c>
      <c r="L63" s="12" t="s">
        <v>182</v>
      </c>
      <c r="M63" s="12" t="s">
        <v>193</v>
      </c>
    </row>
    <row r="64" spans="1:13" s="5" customFormat="1" ht="15.75" x14ac:dyDescent="0.3">
      <c r="A64" s="8">
        <v>63</v>
      </c>
      <c r="B64" s="23" t="s">
        <v>279</v>
      </c>
      <c r="C64" s="8" t="s">
        <v>147</v>
      </c>
      <c r="D64" s="12" t="s">
        <v>313</v>
      </c>
      <c r="E64" s="12" t="s">
        <v>345</v>
      </c>
      <c r="F64" s="12" t="s">
        <v>329</v>
      </c>
      <c r="G64" s="12" t="s">
        <v>345</v>
      </c>
      <c r="H64" s="12" t="s">
        <v>313</v>
      </c>
      <c r="I64" s="12" t="s">
        <v>181</v>
      </c>
      <c r="J64" s="12" t="s">
        <v>181</v>
      </c>
      <c r="K64" s="12" t="s">
        <v>181</v>
      </c>
      <c r="L64" s="12" t="s">
        <v>181</v>
      </c>
      <c r="M64" s="12" t="s">
        <v>181</v>
      </c>
    </row>
    <row r="65" spans="1:13" s="5" customFormat="1" ht="15.75" x14ac:dyDescent="0.3">
      <c r="A65" s="8">
        <v>64</v>
      </c>
      <c r="B65" s="23" t="s">
        <v>280</v>
      </c>
      <c r="C65" s="8" t="s">
        <v>148</v>
      </c>
      <c r="D65" s="12" t="s">
        <v>313</v>
      </c>
      <c r="E65" s="12" t="s">
        <v>327</v>
      </c>
      <c r="F65" s="12" t="s">
        <v>327</v>
      </c>
      <c r="G65" s="12" t="s">
        <v>313</v>
      </c>
      <c r="H65" s="12" t="s">
        <v>313</v>
      </c>
      <c r="I65" s="12" t="s">
        <v>181</v>
      </c>
      <c r="J65" s="12" t="s">
        <v>181</v>
      </c>
      <c r="K65" s="12" t="s">
        <v>181</v>
      </c>
      <c r="L65" s="12" t="s">
        <v>181</v>
      </c>
      <c r="M65" s="12" t="s">
        <v>179</v>
      </c>
    </row>
    <row r="66" spans="1:13" s="5" customFormat="1" ht="15.75" x14ac:dyDescent="0.3">
      <c r="A66" s="8">
        <v>65</v>
      </c>
      <c r="B66" s="23" t="s">
        <v>281</v>
      </c>
      <c r="C66" s="8" t="s">
        <v>149</v>
      </c>
      <c r="D66" s="12" t="s">
        <v>313</v>
      </c>
      <c r="E66" s="12" t="s">
        <v>329</v>
      </c>
      <c r="F66" s="12" t="s">
        <v>345</v>
      </c>
      <c r="G66" s="12" t="s">
        <v>313</v>
      </c>
      <c r="H66" s="12" t="s">
        <v>313</v>
      </c>
      <c r="I66" s="12" t="s">
        <v>181</v>
      </c>
      <c r="J66" s="12" t="s">
        <v>181</v>
      </c>
      <c r="K66" s="12" t="s">
        <v>181</v>
      </c>
      <c r="L66" s="12" t="s">
        <v>181</v>
      </c>
      <c r="M66" s="12" t="s">
        <v>181</v>
      </c>
    </row>
    <row r="67" spans="1:13" ht="15.75" x14ac:dyDescent="0.3">
      <c r="A67" s="8">
        <v>66</v>
      </c>
      <c r="B67" s="23" t="s">
        <v>282</v>
      </c>
      <c r="C67" s="7" t="s">
        <v>150</v>
      </c>
      <c r="D67" s="10" t="s">
        <v>328</v>
      </c>
      <c r="E67" s="10" t="s">
        <v>346</v>
      </c>
      <c r="F67" s="10" t="s">
        <v>346</v>
      </c>
      <c r="G67" s="10" t="s">
        <v>347</v>
      </c>
      <c r="H67" s="10" t="s">
        <v>327</v>
      </c>
      <c r="I67" s="10" t="s">
        <v>196</v>
      </c>
      <c r="J67" s="10" t="s">
        <v>204</v>
      </c>
      <c r="K67" s="10" t="s">
        <v>195</v>
      </c>
      <c r="L67" s="10" t="s">
        <v>181</v>
      </c>
      <c r="M67" s="10" t="s">
        <v>181</v>
      </c>
    </row>
    <row r="68" spans="1:13" ht="15.75" x14ac:dyDescent="0.3">
      <c r="A68" s="8">
        <v>67</v>
      </c>
      <c r="B68" s="23" t="s">
        <v>283</v>
      </c>
      <c r="C68" s="7" t="s">
        <v>151</v>
      </c>
      <c r="D68" s="10" t="s">
        <v>313</v>
      </c>
      <c r="E68" s="10" t="s">
        <v>323</v>
      </c>
      <c r="F68" s="10" t="s">
        <v>343</v>
      </c>
      <c r="G68" s="10" t="s">
        <v>319</v>
      </c>
      <c r="H68" s="10" t="s">
        <v>313</v>
      </c>
      <c r="I68" s="10" t="s">
        <v>196</v>
      </c>
      <c r="J68" s="10" t="s">
        <v>208</v>
      </c>
      <c r="K68" s="10" t="s">
        <v>192</v>
      </c>
      <c r="L68" s="10" t="s">
        <v>181</v>
      </c>
      <c r="M68" s="10" t="s">
        <v>181</v>
      </c>
    </row>
    <row r="69" spans="1:13" ht="15.75" x14ac:dyDescent="0.3">
      <c r="A69" s="8">
        <v>68</v>
      </c>
      <c r="B69" s="23" t="s">
        <v>284</v>
      </c>
      <c r="C69" s="7" t="s">
        <v>152</v>
      </c>
      <c r="D69" s="10" t="s">
        <v>319</v>
      </c>
      <c r="E69" s="10" t="s">
        <v>343</v>
      </c>
      <c r="F69" s="10" t="s">
        <v>343</v>
      </c>
      <c r="G69" s="10" t="s">
        <v>313</v>
      </c>
      <c r="H69" s="10" t="s">
        <v>313</v>
      </c>
      <c r="I69" s="10" t="s">
        <v>199</v>
      </c>
      <c r="J69" s="10" t="s">
        <v>196</v>
      </c>
      <c r="K69" s="10" t="s">
        <v>187</v>
      </c>
      <c r="L69" s="10" t="s">
        <v>181</v>
      </c>
      <c r="M69" s="10" t="s">
        <v>181</v>
      </c>
    </row>
    <row r="70" spans="1:13" ht="15.75" x14ac:dyDescent="0.3">
      <c r="A70" s="8">
        <v>69</v>
      </c>
      <c r="B70" s="23" t="s">
        <v>285</v>
      </c>
      <c r="C70" s="7" t="s">
        <v>153</v>
      </c>
      <c r="D70" s="10" t="s">
        <v>319</v>
      </c>
      <c r="E70" s="10" t="s">
        <v>343</v>
      </c>
      <c r="F70" s="10" t="s">
        <v>343</v>
      </c>
      <c r="G70" s="10" t="s">
        <v>348</v>
      </c>
      <c r="H70" s="10" t="s">
        <v>313</v>
      </c>
      <c r="I70" s="10" t="s">
        <v>196</v>
      </c>
      <c r="J70" s="10" t="s">
        <v>204</v>
      </c>
      <c r="K70" s="10" t="s">
        <v>195</v>
      </c>
      <c r="L70" s="10" t="s">
        <v>181</v>
      </c>
      <c r="M70" s="10" t="s">
        <v>181</v>
      </c>
    </row>
    <row r="71" spans="1:13" ht="15.75" x14ac:dyDescent="0.3">
      <c r="A71" s="8">
        <v>70</v>
      </c>
      <c r="B71" s="23" t="s">
        <v>286</v>
      </c>
      <c r="C71" s="7" t="s">
        <v>154</v>
      </c>
      <c r="D71" s="10" t="s">
        <v>347</v>
      </c>
      <c r="E71" s="10" t="s">
        <v>346</v>
      </c>
      <c r="F71" s="10" t="s">
        <v>346</v>
      </c>
      <c r="G71" s="10" t="s">
        <v>322</v>
      </c>
      <c r="H71" s="10" t="s">
        <v>313</v>
      </c>
      <c r="I71" s="10" t="s">
        <v>199</v>
      </c>
      <c r="J71" s="10" t="s">
        <v>196</v>
      </c>
      <c r="K71" s="10" t="s">
        <v>187</v>
      </c>
      <c r="L71" s="10" t="s">
        <v>181</v>
      </c>
      <c r="M71" s="10" t="s">
        <v>181</v>
      </c>
    </row>
    <row r="72" spans="1:13" ht="15.75" x14ac:dyDescent="0.3">
      <c r="A72" s="8">
        <v>71</v>
      </c>
      <c r="B72" s="23" t="s">
        <v>287</v>
      </c>
      <c r="C72" s="7" t="s">
        <v>0</v>
      </c>
      <c r="D72" s="10" t="s">
        <v>322</v>
      </c>
      <c r="E72" s="10" t="s">
        <v>349</v>
      </c>
      <c r="F72" s="10" t="s">
        <v>350</v>
      </c>
      <c r="G72" s="10" t="s">
        <v>313</v>
      </c>
      <c r="H72" s="10" t="s">
        <v>313</v>
      </c>
      <c r="I72" s="10" t="s">
        <v>182</v>
      </c>
      <c r="J72" s="10" t="s">
        <v>182</v>
      </c>
      <c r="K72" s="10" t="s">
        <v>182</v>
      </c>
      <c r="L72" s="10" t="s">
        <v>181</v>
      </c>
      <c r="M72" s="10" t="s">
        <v>181</v>
      </c>
    </row>
    <row r="73" spans="1:13" ht="15.75" x14ac:dyDescent="0.3">
      <c r="A73" s="8">
        <v>72</v>
      </c>
      <c r="B73" s="23" t="s">
        <v>288</v>
      </c>
      <c r="C73" s="7" t="s">
        <v>155</v>
      </c>
      <c r="D73" s="10" t="s">
        <v>322</v>
      </c>
      <c r="E73" s="10" t="s">
        <v>346</v>
      </c>
      <c r="F73" s="10" t="s">
        <v>346</v>
      </c>
      <c r="G73" s="10" t="s">
        <v>347</v>
      </c>
      <c r="H73" s="10" t="s">
        <v>313</v>
      </c>
      <c r="I73" s="10" t="s">
        <v>196</v>
      </c>
      <c r="J73" s="10" t="s">
        <v>204</v>
      </c>
      <c r="K73" s="10" t="s">
        <v>195</v>
      </c>
      <c r="L73" s="10" t="s">
        <v>197</v>
      </c>
      <c r="M73" s="10" t="s">
        <v>200</v>
      </c>
    </row>
    <row r="74" spans="1:13" ht="15.75" x14ac:dyDescent="0.3">
      <c r="A74" s="8">
        <v>73</v>
      </c>
      <c r="B74" s="23" t="s">
        <v>289</v>
      </c>
      <c r="C74" s="7" t="s">
        <v>156</v>
      </c>
      <c r="D74" s="10" t="s">
        <v>323</v>
      </c>
      <c r="E74" s="10" t="s">
        <v>322</v>
      </c>
      <c r="F74" s="10" t="s">
        <v>322</v>
      </c>
      <c r="G74" s="10" t="s">
        <v>319</v>
      </c>
      <c r="H74" s="10" t="s">
        <v>313</v>
      </c>
      <c r="I74" s="10" t="s">
        <v>196</v>
      </c>
      <c r="J74" s="10" t="s">
        <v>196</v>
      </c>
      <c r="K74" s="10" t="s">
        <v>196</v>
      </c>
      <c r="L74" s="10" t="s">
        <v>181</v>
      </c>
      <c r="M74" s="10" t="s">
        <v>181</v>
      </c>
    </row>
    <row r="75" spans="1:13" ht="15.75" x14ac:dyDescent="0.3">
      <c r="A75" s="8">
        <v>74</v>
      </c>
      <c r="B75" s="23" t="s">
        <v>290</v>
      </c>
      <c r="C75" s="7" t="s">
        <v>157</v>
      </c>
      <c r="D75" s="10" t="s">
        <v>313</v>
      </c>
      <c r="E75" s="10" t="s">
        <v>351</v>
      </c>
      <c r="F75" s="10" t="s">
        <v>313</v>
      </c>
      <c r="G75" s="10" t="s">
        <v>313</v>
      </c>
      <c r="H75" s="10" t="s">
        <v>313</v>
      </c>
      <c r="I75" s="10" t="s">
        <v>182</v>
      </c>
      <c r="J75" s="10" t="s">
        <v>182</v>
      </c>
      <c r="K75" s="10" t="s">
        <v>182</v>
      </c>
      <c r="L75" s="10" t="s">
        <v>181</v>
      </c>
      <c r="M75" s="10" t="s">
        <v>181</v>
      </c>
    </row>
    <row r="76" spans="1:13" ht="15.75" x14ac:dyDescent="0.3">
      <c r="A76" s="8">
        <v>75</v>
      </c>
      <c r="B76" s="23" t="s">
        <v>291</v>
      </c>
      <c r="C76" s="7" t="s">
        <v>158</v>
      </c>
      <c r="D76" s="10" t="s">
        <v>313</v>
      </c>
      <c r="E76" s="10" t="s">
        <v>327</v>
      </c>
      <c r="F76" s="10" t="s">
        <v>351</v>
      </c>
      <c r="G76" s="10" t="s">
        <v>313</v>
      </c>
      <c r="H76" s="10" t="s">
        <v>313</v>
      </c>
      <c r="I76" s="10" t="s">
        <v>182</v>
      </c>
      <c r="J76" s="10" t="s">
        <v>182</v>
      </c>
      <c r="K76" s="10" t="s">
        <v>182</v>
      </c>
      <c r="L76" s="10" t="s">
        <v>182</v>
      </c>
      <c r="M76" s="10" t="s">
        <v>180</v>
      </c>
    </row>
    <row r="77" spans="1:13" ht="15.75" x14ac:dyDescent="0.3">
      <c r="A77" s="8">
        <v>76</v>
      </c>
      <c r="B77" s="23" t="s">
        <v>292</v>
      </c>
      <c r="C77" s="7" t="s">
        <v>159</v>
      </c>
      <c r="D77" s="10" t="s">
        <v>323</v>
      </c>
      <c r="E77" s="10" t="s">
        <v>321</v>
      </c>
      <c r="F77" s="10" t="s">
        <v>352</v>
      </c>
      <c r="G77" s="10" t="s">
        <v>313</v>
      </c>
      <c r="H77" s="10" t="s">
        <v>313</v>
      </c>
      <c r="I77" s="10" t="s">
        <v>189</v>
      </c>
      <c r="J77" s="10" t="s">
        <v>186</v>
      </c>
      <c r="K77" s="10" t="s">
        <v>196</v>
      </c>
      <c r="L77" s="10" t="s">
        <v>181</v>
      </c>
      <c r="M77" s="10" t="s">
        <v>181</v>
      </c>
    </row>
    <row r="78" spans="1:13" ht="15.75" x14ac:dyDescent="0.3">
      <c r="A78" s="8">
        <v>77</v>
      </c>
      <c r="B78" s="23" t="s">
        <v>293</v>
      </c>
      <c r="C78" s="7" t="s">
        <v>160</v>
      </c>
      <c r="D78" s="10" t="s">
        <v>323</v>
      </c>
      <c r="E78" s="10" t="s">
        <v>313</v>
      </c>
      <c r="F78" s="10" t="s">
        <v>313</v>
      </c>
      <c r="G78" s="10" t="s">
        <v>313</v>
      </c>
      <c r="H78" s="10" t="s">
        <v>313</v>
      </c>
      <c r="I78" s="10" t="s">
        <v>182</v>
      </c>
      <c r="J78" s="10" t="s">
        <v>182</v>
      </c>
      <c r="K78" s="10" t="s">
        <v>182</v>
      </c>
      <c r="L78" s="10" t="s">
        <v>181</v>
      </c>
      <c r="M78" s="10" t="s">
        <v>181</v>
      </c>
    </row>
    <row r="79" spans="1:13" ht="15.75" x14ac:dyDescent="0.3">
      <c r="A79" s="8">
        <v>78</v>
      </c>
      <c r="B79" s="23" t="s">
        <v>294</v>
      </c>
      <c r="C79" s="7" t="s">
        <v>161</v>
      </c>
      <c r="D79" s="10" t="s">
        <v>319</v>
      </c>
      <c r="E79" s="10" t="s">
        <v>322</v>
      </c>
      <c r="F79" s="10" t="s">
        <v>321</v>
      </c>
      <c r="G79" s="10" t="s">
        <v>322</v>
      </c>
      <c r="H79" s="10" t="s">
        <v>319</v>
      </c>
      <c r="I79" s="10" t="s">
        <v>188</v>
      </c>
      <c r="J79" s="10" t="s">
        <v>188</v>
      </c>
      <c r="K79" s="10" t="s">
        <v>188</v>
      </c>
      <c r="L79" s="10" t="s">
        <v>181</v>
      </c>
      <c r="M79" s="10" t="s">
        <v>181</v>
      </c>
    </row>
    <row r="80" spans="1:13" ht="15.75" x14ac:dyDescent="0.3">
      <c r="A80" s="8">
        <v>79</v>
      </c>
      <c r="B80" s="23" t="s">
        <v>295</v>
      </c>
      <c r="C80" s="7" t="s">
        <v>162</v>
      </c>
      <c r="D80" s="10" t="s">
        <v>319</v>
      </c>
      <c r="E80" s="10" t="s">
        <v>322</v>
      </c>
      <c r="F80" s="10" t="s">
        <v>322</v>
      </c>
      <c r="G80" s="10" t="s">
        <v>319</v>
      </c>
      <c r="H80" s="10" t="s">
        <v>313</v>
      </c>
      <c r="I80" s="10" t="s">
        <v>196</v>
      </c>
      <c r="J80" s="10" t="s">
        <v>196</v>
      </c>
      <c r="K80" s="10" t="s">
        <v>196</v>
      </c>
      <c r="L80" s="10" t="s">
        <v>181</v>
      </c>
      <c r="M80" s="10" t="s">
        <v>181</v>
      </c>
    </row>
    <row r="81" spans="1:13" ht="15.75" x14ac:dyDescent="0.3">
      <c r="A81" s="8">
        <v>80</v>
      </c>
      <c r="B81" s="23" t="s">
        <v>296</v>
      </c>
      <c r="C81" s="7" t="s">
        <v>163</v>
      </c>
      <c r="D81" s="10" t="s">
        <v>319</v>
      </c>
      <c r="E81" s="10" t="s">
        <v>343</v>
      </c>
      <c r="F81" s="10" t="s">
        <v>343</v>
      </c>
      <c r="G81" s="10" t="s">
        <v>319</v>
      </c>
      <c r="H81" s="10" t="s">
        <v>313</v>
      </c>
      <c r="I81" s="10" t="s">
        <v>196</v>
      </c>
      <c r="J81" s="10" t="s">
        <v>196</v>
      </c>
      <c r="K81" s="10" t="s">
        <v>187</v>
      </c>
      <c r="L81" s="10" t="s">
        <v>181</v>
      </c>
      <c r="M81" s="10" t="s">
        <v>181</v>
      </c>
    </row>
    <row r="82" spans="1:13" ht="15.75" x14ac:dyDescent="0.3">
      <c r="A82" s="8">
        <v>81</v>
      </c>
      <c r="B82" s="23" t="s">
        <v>297</v>
      </c>
      <c r="C82" s="7" t="s">
        <v>164</v>
      </c>
      <c r="D82" s="10" t="s">
        <v>353</v>
      </c>
      <c r="E82" s="10" t="s">
        <v>316</v>
      </c>
      <c r="F82" s="10" t="s">
        <v>316</v>
      </c>
      <c r="G82" s="10" t="s">
        <v>322</v>
      </c>
      <c r="H82" s="10" t="s">
        <v>313</v>
      </c>
      <c r="I82" s="10" t="s">
        <v>196</v>
      </c>
      <c r="J82" s="10" t="s">
        <v>208</v>
      </c>
      <c r="K82" s="10" t="s">
        <v>192</v>
      </c>
      <c r="L82" s="10" t="s">
        <v>199</v>
      </c>
      <c r="M82" s="10" t="s">
        <v>199</v>
      </c>
    </row>
    <row r="83" spans="1:13" ht="15.75" x14ac:dyDescent="0.3">
      <c r="A83" s="8">
        <v>82</v>
      </c>
      <c r="B83" s="23" t="s">
        <v>298</v>
      </c>
      <c r="C83" s="7" t="s">
        <v>165</v>
      </c>
      <c r="D83" s="10" t="s">
        <v>322</v>
      </c>
      <c r="E83" s="10" t="s">
        <v>316</v>
      </c>
      <c r="F83" s="10" t="s">
        <v>316</v>
      </c>
      <c r="G83" s="10" t="s">
        <v>354</v>
      </c>
      <c r="H83" s="10" t="s">
        <v>313</v>
      </c>
      <c r="I83" s="10" t="s">
        <v>196</v>
      </c>
      <c r="J83" s="10" t="s">
        <v>204</v>
      </c>
      <c r="K83" s="10" t="s">
        <v>195</v>
      </c>
      <c r="L83" s="10" t="s">
        <v>197</v>
      </c>
      <c r="M83" s="10" t="s">
        <v>197</v>
      </c>
    </row>
    <row r="84" spans="1:13" ht="15.75" x14ac:dyDescent="0.3">
      <c r="A84" s="8">
        <v>83</v>
      </c>
      <c r="B84" s="23" t="s">
        <v>299</v>
      </c>
      <c r="C84" s="7" t="s">
        <v>166</v>
      </c>
      <c r="D84" s="10" t="s">
        <v>319</v>
      </c>
      <c r="E84" s="10" t="s">
        <v>322</v>
      </c>
      <c r="F84" s="10" t="s">
        <v>322</v>
      </c>
      <c r="G84" s="10" t="s">
        <v>313</v>
      </c>
      <c r="H84" s="10" t="s">
        <v>313</v>
      </c>
      <c r="I84" s="10" t="s">
        <v>199</v>
      </c>
      <c r="J84" s="10" t="s">
        <v>199</v>
      </c>
      <c r="K84" s="10" t="s">
        <v>199</v>
      </c>
      <c r="L84" s="10" t="s">
        <v>181</v>
      </c>
      <c r="M84" s="10" t="s">
        <v>181</v>
      </c>
    </row>
    <row r="85" spans="1:13" ht="15.75" x14ac:dyDescent="0.3">
      <c r="A85" s="8">
        <v>84</v>
      </c>
      <c r="B85" s="23" t="s">
        <v>300</v>
      </c>
      <c r="C85" s="7" t="s">
        <v>167</v>
      </c>
      <c r="D85" s="10" t="s">
        <v>322</v>
      </c>
      <c r="E85" s="10" t="s">
        <v>346</v>
      </c>
      <c r="F85" s="10" t="s">
        <v>346</v>
      </c>
      <c r="G85" s="10" t="s">
        <v>328</v>
      </c>
      <c r="H85" s="10" t="s">
        <v>313</v>
      </c>
      <c r="I85" s="10" t="s">
        <v>194</v>
      </c>
      <c r="J85" s="10" t="s">
        <v>196</v>
      </c>
      <c r="K85" s="10" t="s">
        <v>187</v>
      </c>
      <c r="L85" s="10" t="s">
        <v>181</v>
      </c>
      <c r="M85" s="10" t="s">
        <v>181</v>
      </c>
    </row>
    <row r="86" spans="1:13" ht="15.75" x14ac:dyDescent="0.3">
      <c r="A86" s="8">
        <v>85</v>
      </c>
      <c r="B86" s="23" t="s">
        <v>301</v>
      </c>
      <c r="C86" s="7" t="s">
        <v>168</v>
      </c>
      <c r="D86" s="10" t="s">
        <v>322</v>
      </c>
      <c r="E86" s="10" t="s">
        <v>355</v>
      </c>
      <c r="F86" s="10" t="s">
        <v>343</v>
      </c>
      <c r="G86" s="10" t="s">
        <v>313</v>
      </c>
      <c r="H86" s="10" t="s">
        <v>313</v>
      </c>
      <c r="I86" s="10" t="s">
        <v>191</v>
      </c>
      <c r="J86" s="10" t="s">
        <v>191</v>
      </c>
      <c r="K86" s="10" t="s">
        <v>198</v>
      </c>
      <c r="L86" s="10" t="s">
        <v>181</v>
      </c>
      <c r="M86" s="10" t="s">
        <v>181</v>
      </c>
    </row>
    <row r="87" spans="1:13" ht="15.75" x14ac:dyDescent="0.3">
      <c r="A87" s="8">
        <v>86</v>
      </c>
      <c r="B87" s="23" t="s">
        <v>302</v>
      </c>
      <c r="C87" s="7" t="s">
        <v>169</v>
      </c>
      <c r="D87" s="10" t="s">
        <v>319</v>
      </c>
      <c r="E87" s="10" t="s">
        <v>327</v>
      </c>
      <c r="F87" s="10" t="s">
        <v>327</v>
      </c>
      <c r="G87" s="10" t="s">
        <v>319</v>
      </c>
      <c r="H87" s="10" t="s">
        <v>313</v>
      </c>
      <c r="I87" s="10" t="s">
        <v>196</v>
      </c>
      <c r="J87" s="10" t="s">
        <v>204</v>
      </c>
      <c r="K87" s="10" t="s">
        <v>195</v>
      </c>
      <c r="L87" s="10" t="s">
        <v>181</v>
      </c>
      <c r="M87" s="10" t="s">
        <v>181</v>
      </c>
    </row>
    <row r="88" spans="1:13" ht="15.75" x14ac:dyDescent="0.3">
      <c r="A88" s="8">
        <v>87</v>
      </c>
      <c r="B88" s="23" t="s">
        <v>303</v>
      </c>
      <c r="C88" s="7" t="s">
        <v>170</v>
      </c>
      <c r="D88" s="10" t="s">
        <v>319</v>
      </c>
      <c r="E88" s="10" t="s">
        <v>327</v>
      </c>
      <c r="F88" s="10" t="s">
        <v>319</v>
      </c>
      <c r="G88" s="10" t="s">
        <v>313</v>
      </c>
      <c r="H88" s="10" t="s">
        <v>313</v>
      </c>
      <c r="I88" s="10" t="s">
        <v>183</v>
      </c>
      <c r="J88" s="10" t="s">
        <v>183</v>
      </c>
      <c r="K88" s="10" t="s">
        <v>182</v>
      </c>
      <c r="L88" s="10" t="s">
        <v>181</v>
      </c>
      <c r="M88" s="10" t="s">
        <v>181</v>
      </c>
    </row>
    <row r="89" spans="1:13" ht="15.75" x14ac:dyDescent="0.3">
      <c r="A89" s="8">
        <v>88</v>
      </c>
      <c r="B89" s="23" t="s">
        <v>304</v>
      </c>
      <c r="C89" s="7" t="s">
        <v>171</v>
      </c>
      <c r="D89" s="10" t="s">
        <v>319</v>
      </c>
      <c r="E89" s="10" t="s">
        <v>327</v>
      </c>
      <c r="F89" s="10" t="s">
        <v>328</v>
      </c>
      <c r="G89" s="10" t="s">
        <v>327</v>
      </c>
      <c r="H89" s="10" t="s">
        <v>319</v>
      </c>
      <c r="I89" s="10" t="s">
        <v>207</v>
      </c>
      <c r="J89" s="10" t="s">
        <v>183</v>
      </c>
      <c r="K89" s="10" t="s">
        <v>183</v>
      </c>
      <c r="L89" s="10" t="s">
        <v>181</v>
      </c>
      <c r="M89" s="10" t="s">
        <v>181</v>
      </c>
    </row>
    <row r="90" spans="1:13" ht="15.75" x14ac:dyDescent="0.3">
      <c r="A90" s="8">
        <v>89</v>
      </c>
      <c r="B90" s="23" t="s">
        <v>305</v>
      </c>
      <c r="C90" s="7" t="s">
        <v>172</v>
      </c>
      <c r="D90" s="10" t="s">
        <v>352</v>
      </c>
      <c r="E90" s="10" t="s">
        <v>321</v>
      </c>
      <c r="F90" s="10" t="s">
        <v>321</v>
      </c>
      <c r="G90" s="10" t="s">
        <v>352</v>
      </c>
      <c r="H90" s="10" t="s">
        <v>313</v>
      </c>
      <c r="I90" s="10" t="s">
        <v>182</v>
      </c>
      <c r="J90" s="10" t="s">
        <v>183</v>
      </c>
      <c r="K90" s="10" t="s">
        <v>196</v>
      </c>
      <c r="L90" s="10" t="s">
        <v>181</v>
      </c>
      <c r="M90" s="10" t="s">
        <v>181</v>
      </c>
    </row>
    <row r="91" spans="1:13" ht="15.75" x14ac:dyDescent="0.3">
      <c r="A91" s="8">
        <v>90</v>
      </c>
      <c r="B91" s="23" t="s">
        <v>306</v>
      </c>
      <c r="C91" s="7" t="s">
        <v>173</v>
      </c>
      <c r="D91" s="10" t="s">
        <v>322</v>
      </c>
      <c r="E91" s="10" t="s">
        <v>324</v>
      </c>
      <c r="F91" s="10" t="s">
        <v>324</v>
      </c>
      <c r="G91" s="10" t="s">
        <v>347</v>
      </c>
      <c r="H91" s="10" t="s">
        <v>313</v>
      </c>
      <c r="I91" s="10" t="s">
        <v>183</v>
      </c>
      <c r="J91" s="10" t="s">
        <v>182</v>
      </c>
      <c r="K91" s="10" t="s">
        <v>182</v>
      </c>
      <c r="L91" s="10" t="s">
        <v>182</v>
      </c>
      <c r="M91" s="10" t="s">
        <v>203</v>
      </c>
    </row>
    <row r="92" spans="1:13" ht="15.75" x14ac:dyDescent="0.3">
      <c r="A92" s="8">
        <v>91</v>
      </c>
      <c r="B92" s="23" t="s">
        <v>307</v>
      </c>
      <c r="C92" s="7" t="s">
        <v>174</v>
      </c>
      <c r="D92" s="10" t="s">
        <v>320</v>
      </c>
      <c r="E92" s="10" t="s">
        <v>351</v>
      </c>
      <c r="F92" s="10" t="s">
        <v>355</v>
      </c>
      <c r="G92" s="10" t="s">
        <v>320</v>
      </c>
      <c r="H92" s="10" t="s">
        <v>313</v>
      </c>
      <c r="I92" s="10" t="s">
        <v>191</v>
      </c>
      <c r="J92" s="10" t="s">
        <v>199</v>
      </c>
      <c r="K92" s="10" t="s">
        <v>185</v>
      </c>
      <c r="L92" s="10" t="s">
        <v>181</v>
      </c>
      <c r="M92" s="10" t="s">
        <v>181</v>
      </c>
    </row>
    <row r="93" spans="1:13" ht="15.75" x14ac:dyDescent="0.3">
      <c r="A93" s="8">
        <v>92</v>
      </c>
      <c r="B93" s="23" t="s">
        <v>308</v>
      </c>
      <c r="C93" s="7" t="s">
        <v>175</v>
      </c>
      <c r="D93" s="10" t="s">
        <v>322</v>
      </c>
      <c r="E93" s="10" t="s">
        <v>323</v>
      </c>
      <c r="F93" s="10" t="s">
        <v>325</v>
      </c>
      <c r="G93" s="10" t="s">
        <v>313</v>
      </c>
      <c r="H93" s="10" t="s">
        <v>313</v>
      </c>
      <c r="I93" s="10" t="s">
        <v>191</v>
      </c>
      <c r="J93" s="10" t="s">
        <v>182</v>
      </c>
      <c r="K93" s="10" t="s">
        <v>182</v>
      </c>
      <c r="L93" s="10" t="s">
        <v>182</v>
      </c>
      <c r="M93" s="10" t="s">
        <v>198</v>
      </c>
    </row>
    <row r="94" spans="1:13" ht="15.75" x14ac:dyDescent="0.3">
      <c r="A94" s="8">
        <v>93</v>
      </c>
      <c r="B94" s="23" t="s">
        <v>309</v>
      </c>
      <c r="C94" s="7" t="s">
        <v>176</v>
      </c>
      <c r="D94" s="10" t="s">
        <v>313</v>
      </c>
      <c r="E94" s="10" t="s">
        <v>323</v>
      </c>
      <c r="F94" s="10" t="s">
        <v>313</v>
      </c>
      <c r="G94" s="10" t="s">
        <v>313</v>
      </c>
      <c r="H94" s="10" t="s">
        <v>313</v>
      </c>
      <c r="I94" s="10" t="s">
        <v>182</v>
      </c>
      <c r="J94" s="10" t="s">
        <v>182</v>
      </c>
      <c r="K94" s="10" t="s">
        <v>182</v>
      </c>
      <c r="L94" s="10" t="s">
        <v>182</v>
      </c>
      <c r="M94" s="10" t="s">
        <v>182</v>
      </c>
    </row>
    <row r="95" spans="1:13" ht="15.75" x14ac:dyDescent="0.3">
      <c r="A95" s="8">
        <v>94</v>
      </c>
      <c r="B95" s="23" t="s">
        <v>310</v>
      </c>
      <c r="C95" s="7" t="s">
        <v>177</v>
      </c>
      <c r="D95" s="10" t="s">
        <v>313</v>
      </c>
      <c r="E95" s="10" t="s">
        <v>325</v>
      </c>
      <c r="F95" s="10" t="s">
        <v>323</v>
      </c>
      <c r="G95" s="10" t="s">
        <v>322</v>
      </c>
      <c r="H95" s="10" t="s">
        <v>313</v>
      </c>
      <c r="I95" s="10" t="s">
        <v>194</v>
      </c>
      <c r="J95" s="10" t="s">
        <v>182</v>
      </c>
      <c r="K95" s="10" t="s">
        <v>182</v>
      </c>
      <c r="L95" s="10" t="s">
        <v>182</v>
      </c>
      <c r="M95" s="10" t="s">
        <v>193</v>
      </c>
    </row>
    <row r="96" spans="1:13" ht="15.75" x14ac:dyDescent="0.3">
      <c r="A96" s="8">
        <v>95</v>
      </c>
      <c r="B96" s="23" t="s">
        <v>311</v>
      </c>
      <c r="C96" s="7" t="s">
        <v>178</v>
      </c>
      <c r="D96" s="10" t="s">
        <v>322</v>
      </c>
      <c r="E96" s="10" t="s">
        <v>322</v>
      </c>
      <c r="F96" s="10" t="s">
        <v>321</v>
      </c>
      <c r="G96" s="10" t="s">
        <v>321</v>
      </c>
      <c r="H96" s="10" t="s">
        <v>313</v>
      </c>
      <c r="I96" s="10" t="s">
        <v>181</v>
      </c>
      <c r="J96" s="10" t="s">
        <v>181</v>
      </c>
      <c r="K96" s="10" t="s">
        <v>181</v>
      </c>
      <c r="L96" s="10" t="s">
        <v>181</v>
      </c>
      <c r="M96" s="10" t="s">
        <v>181</v>
      </c>
    </row>
    <row r="97" spans="1:2" ht="15.75" x14ac:dyDescent="0.3">
      <c r="A97" s="8"/>
      <c r="B97" s="23"/>
    </row>
    <row r="98" spans="1:2" x14ac:dyDescent="0.3">
      <c r="A98" s="8"/>
    </row>
  </sheetData>
  <pageMargins left="0.7" right="0.7" top="0.75" bottom="0.75" header="0.3" footer="0.3"/>
  <pageSetup orientation="portrait" copies="0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1</xdr:col>
                <xdr:colOff>381000</xdr:colOff>
                <xdr:row>0</xdr:row>
                <xdr:rowOff>104775</xdr:rowOff>
              </from>
              <to>
                <xdr:col>1</xdr:col>
                <xdr:colOff>1771650</xdr:colOff>
                <xdr:row>0</xdr:row>
                <xdr:rowOff>723900</xdr:rowOff>
              </to>
            </anchor>
          </controlPr>
        </control>
      </mc:Choice>
      <mc:Fallback>
        <control shapeId="1126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Logo64x64</vt:lpstr>
      <vt:lpstr>Font 6x7 </vt:lpstr>
      <vt:lpstr>Font 6x10</vt:lpstr>
      <vt:lpstr>Font 11x18</vt:lpstr>
      <vt:lpstr>Logo37x43</vt:lpstr>
      <vt:lpstr>Battery symbol</vt:lpstr>
      <vt:lpstr>Font7x10</vt:lpstr>
      <vt:lpstr>MainScreen</vt:lpstr>
      <vt:lpstr>Scrape</vt:lpstr>
      <vt:lpstr>Sheet2</vt:lpstr>
      <vt:lpstr>Font5x7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Rene</cp:lastModifiedBy>
  <dcterms:created xsi:type="dcterms:W3CDTF">2021-04-18T02:32:36Z</dcterms:created>
  <dcterms:modified xsi:type="dcterms:W3CDTF">2022-06-26T14:37:37Z</dcterms:modified>
</cp:coreProperties>
</file>