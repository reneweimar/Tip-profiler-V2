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Tip-profiler-V2\"/>
    </mc:Choice>
  </mc:AlternateContent>
  <xr:revisionPtr revIDLastSave="0" documentId="13_ncr:1_{99F3A137-0052-40AD-A441-3F4A4E2EC6D9}" xr6:coauthVersionLast="47" xr6:coauthVersionMax="47" xr10:uidLastSave="{00000000-0000-0000-0000-000000000000}"/>
  <bookViews>
    <workbookView xWindow="57480" yWindow="-120" windowWidth="29040" windowHeight="15990" activeTab="1" xr2:uid="{DE670FE5-E262-4F8D-879E-7CCADBBF9E4E}"/>
  </bookViews>
  <sheets>
    <sheet name="Logo64x64" sheetId="5" r:id="rId1"/>
    <sheet name="Font 6x7 " sheetId="12" r:id="rId2"/>
    <sheet name="Font 11x18" sheetId="13" r:id="rId3"/>
    <sheet name="Logo37x43" sheetId="3" r:id="rId4"/>
    <sheet name="Battery symbol" sheetId="4" r:id="rId5"/>
    <sheet name="Font7x10" sheetId="7" r:id="rId6"/>
    <sheet name="MainScreen" sheetId="8" r:id="rId7"/>
    <sheet name="Scrape" sheetId="9" r:id="rId8"/>
    <sheet name="Sheet2" sheetId="10" r:id="rId9"/>
    <sheet name="Font 5x10" sheetId="14" r:id="rId10"/>
    <sheet name="Font5x7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2" l="1"/>
  <c r="J753" i="14"/>
  <c r="K753" i="14" s="1"/>
  <c r="K752" i="14"/>
  <c r="J752" i="14"/>
  <c r="J751" i="14"/>
  <c r="K751" i="14" s="1"/>
  <c r="J750" i="14"/>
  <c r="K750" i="14" s="1"/>
  <c r="J749" i="14"/>
  <c r="K749" i="14" s="1"/>
  <c r="K748" i="14"/>
  <c r="J748" i="14"/>
  <c r="J747" i="14"/>
  <c r="K747" i="14" s="1"/>
  <c r="J746" i="14"/>
  <c r="K746" i="14" s="1"/>
  <c r="J745" i="14"/>
  <c r="K745" i="14" s="1"/>
  <c r="J744" i="14"/>
  <c r="K744" i="14" s="1"/>
  <c r="K743" i="14"/>
  <c r="J743" i="14"/>
  <c r="K742" i="14"/>
  <c r="J742" i="14"/>
  <c r="J741" i="14"/>
  <c r="K741" i="14" s="1"/>
  <c r="J740" i="14"/>
  <c r="K740" i="14" s="1"/>
  <c r="K739" i="14"/>
  <c r="J739" i="14"/>
  <c r="K738" i="14"/>
  <c r="J738" i="14"/>
  <c r="J737" i="14"/>
  <c r="K737" i="14" s="1"/>
  <c r="J736" i="14"/>
  <c r="K736" i="14" s="1"/>
  <c r="K735" i="14"/>
  <c r="J735" i="14"/>
  <c r="J734" i="14"/>
  <c r="K734" i="14" s="1"/>
  <c r="M734" i="14" s="1"/>
  <c r="K733" i="14"/>
  <c r="J733" i="14"/>
  <c r="J732" i="14"/>
  <c r="K732" i="14" s="1"/>
  <c r="J731" i="14"/>
  <c r="K731" i="14" s="1"/>
  <c r="J730" i="14"/>
  <c r="K730" i="14" s="1"/>
  <c r="K729" i="14"/>
  <c r="J729" i="14"/>
  <c r="J728" i="14"/>
  <c r="K728" i="14" s="1"/>
  <c r="J727" i="14"/>
  <c r="K727" i="14" s="1"/>
  <c r="J726" i="14"/>
  <c r="K726" i="14" s="1"/>
  <c r="K725" i="14"/>
  <c r="J725" i="14"/>
  <c r="K724" i="14"/>
  <c r="J724" i="14"/>
  <c r="K723" i="14"/>
  <c r="J723" i="14"/>
  <c r="J722" i="14"/>
  <c r="K722" i="14" s="1"/>
  <c r="J721" i="14"/>
  <c r="K721" i="14" s="1"/>
  <c r="K720" i="14"/>
  <c r="J720" i="14"/>
  <c r="K719" i="14"/>
  <c r="J719" i="14"/>
  <c r="J718" i="14"/>
  <c r="K718" i="14" s="1"/>
  <c r="J717" i="14"/>
  <c r="K717" i="14" s="1"/>
  <c r="K716" i="14"/>
  <c r="J716" i="14"/>
  <c r="K715" i="14"/>
  <c r="J715" i="14"/>
  <c r="K714" i="14"/>
  <c r="J714" i="14"/>
  <c r="J713" i="14"/>
  <c r="K713" i="14" s="1"/>
  <c r="J712" i="14"/>
  <c r="K712" i="14" s="1"/>
  <c r="J711" i="14"/>
  <c r="K711" i="14" s="1"/>
  <c r="K710" i="14"/>
  <c r="J710" i="14"/>
  <c r="J709" i="14"/>
  <c r="K709" i="14" s="1"/>
  <c r="J708" i="14"/>
  <c r="K708" i="14" s="1"/>
  <c r="J707" i="14"/>
  <c r="K707" i="14" s="1"/>
  <c r="K706" i="14"/>
  <c r="J706" i="14"/>
  <c r="J705" i="14"/>
  <c r="K705" i="14" s="1"/>
  <c r="K704" i="14"/>
  <c r="J704" i="14"/>
  <c r="J703" i="14"/>
  <c r="K703" i="14" s="1"/>
  <c r="J702" i="14"/>
  <c r="K702" i="14" s="1"/>
  <c r="K701" i="14"/>
  <c r="J701" i="14"/>
  <c r="K700" i="14"/>
  <c r="J700" i="14"/>
  <c r="J699" i="14"/>
  <c r="K699" i="14" s="1"/>
  <c r="J698" i="14"/>
  <c r="K698" i="14" s="1"/>
  <c r="K697" i="14"/>
  <c r="J697" i="14"/>
  <c r="K696" i="14"/>
  <c r="J696" i="14"/>
  <c r="J695" i="14"/>
  <c r="K695" i="14" s="1"/>
  <c r="J694" i="14"/>
  <c r="K694" i="14" s="1"/>
  <c r="J693" i="14"/>
  <c r="K693" i="14" s="1"/>
  <c r="J692" i="14"/>
  <c r="K692" i="14" s="1"/>
  <c r="K691" i="14"/>
  <c r="J691" i="14"/>
  <c r="J690" i="14"/>
  <c r="K690" i="14" s="1"/>
  <c r="J689" i="14"/>
  <c r="K689" i="14" s="1"/>
  <c r="J688" i="14"/>
  <c r="K688" i="14" s="1"/>
  <c r="K687" i="14"/>
  <c r="J687" i="14"/>
  <c r="J686" i="14"/>
  <c r="K686" i="14" s="1"/>
  <c r="J685" i="14"/>
  <c r="K685" i="14" s="1"/>
  <c r="J684" i="14"/>
  <c r="K684" i="14" s="1"/>
  <c r="J683" i="14"/>
  <c r="K683" i="14" s="1"/>
  <c r="K682" i="14"/>
  <c r="J682" i="14"/>
  <c r="K681" i="14"/>
  <c r="J681" i="14"/>
  <c r="J680" i="14"/>
  <c r="K680" i="14" s="1"/>
  <c r="J679" i="14"/>
  <c r="K679" i="14" s="1"/>
  <c r="K678" i="14"/>
  <c r="J678" i="14"/>
  <c r="K677" i="14"/>
  <c r="J677" i="14"/>
  <c r="J676" i="14"/>
  <c r="K676" i="14" s="1"/>
  <c r="J675" i="14"/>
  <c r="K675" i="14" s="1"/>
  <c r="J674" i="14"/>
  <c r="K674" i="14" s="1"/>
  <c r="J673" i="14"/>
  <c r="K673" i="14" s="1"/>
  <c r="K672" i="14"/>
  <c r="J672" i="14"/>
  <c r="J671" i="14"/>
  <c r="K671" i="14" s="1"/>
  <c r="J670" i="14"/>
  <c r="K670" i="14" s="1"/>
  <c r="J669" i="14"/>
  <c r="K669" i="14" s="1"/>
  <c r="K668" i="14"/>
  <c r="J668" i="14"/>
  <c r="J667" i="14"/>
  <c r="K667" i="14" s="1"/>
  <c r="J666" i="14"/>
  <c r="K666" i="14" s="1"/>
  <c r="J665" i="14"/>
  <c r="K665" i="14" s="1"/>
  <c r="J664" i="14"/>
  <c r="K664" i="14" s="1"/>
  <c r="K663" i="14"/>
  <c r="J663" i="14"/>
  <c r="K662" i="14"/>
  <c r="J662" i="14"/>
  <c r="J661" i="14"/>
  <c r="K661" i="14" s="1"/>
  <c r="J660" i="14"/>
  <c r="K660" i="14" s="1"/>
  <c r="K659" i="14"/>
  <c r="J659" i="14"/>
  <c r="K658" i="14"/>
  <c r="J658" i="14"/>
  <c r="J657" i="14"/>
  <c r="K657" i="14" s="1"/>
  <c r="M654" i="14" s="1"/>
  <c r="J656" i="14"/>
  <c r="K656" i="14" s="1"/>
  <c r="K655" i="14"/>
  <c r="J655" i="14"/>
  <c r="J654" i="14"/>
  <c r="K654" i="14" s="1"/>
  <c r="K653" i="14"/>
  <c r="J653" i="14"/>
  <c r="J652" i="14"/>
  <c r="K652" i="14" s="1"/>
  <c r="J651" i="14"/>
  <c r="K651" i="14" s="1"/>
  <c r="J650" i="14"/>
  <c r="K650" i="14" s="1"/>
  <c r="K649" i="14"/>
  <c r="J649" i="14"/>
  <c r="J648" i="14"/>
  <c r="K648" i="14" s="1"/>
  <c r="J647" i="14"/>
  <c r="K647" i="14" s="1"/>
  <c r="J646" i="14"/>
  <c r="K646" i="14" s="1"/>
  <c r="K645" i="14"/>
  <c r="J645" i="14"/>
  <c r="K644" i="14"/>
  <c r="M644" i="14" s="1"/>
  <c r="J644" i="14"/>
  <c r="K643" i="14"/>
  <c r="J643" i="14"/>
  <c r="J642" i="14"/>
  <c r="K642" i="14" s="1"/>
  <c r="J641" i="14"/>
  <c r="K641" i="14" s="1"/>
  <c r="K640" i="14"/>
  <c r="J640" i="14"/>
  <c r="K639" i="14"/>
  <c r="J639" i="14"/>
  <c r="J638" i="14"/>
  <c r="K638" i="14" s="1"/>
  <c r="J637" i="14"/>
  <c r="K637" i="14" s="1"/>
  <c r="K636" i="14"/>
  <c r="J636" i="14"/>
  <c r="K635" i="14"/>
  <c r="J635" i="14"/>
  <c r="K634" i="14"/>
  <c r="M634" i="14" s="1"/>
  <c r="J634" i="14"/>
  <c r="J633" i="14"/>
  <c r="K633" i="14" s="1"/>
  <c r="J632" i="14"/>
  <c r="K632" i="14" s="1"/>
  <c r="K631" i="14"/>
  <c r="J631" i="14"/>
  <c r="K630" i="14"/>
  <c r="J630" i="14"/>
  <c r="J629" i="14"/>
  <c r="K629" i="14" s="1"/>
  <c r="J628" i="14"/>
  <c r="K628" i="14" s="1"/>
  <c r="K627" i="14"/>
  <c r="J627" i="14"/>
  <c r="K626" i="14"/>
  <c r="J626" i="14"/>
  <c r="J625" i="14"/>
  <c r="K625" i="14" s="1"/>
  <c r="K624" i="14"/>
  <c r="J624" i="14"/>
  <c r="J623" i="14"/>
  <c r="K623" i="14" s="1"/>
  <c r="J622" i="14"/>
  <c r="K622" i="14" s="1"/>
  <c r="K621" i="14"/>
  <c r="J621" i="14"/>
  <c r="K620" i="14"/>
  <c r="J620" i="14"/>
  <c r="J619" i="14"/>
  <c r="K619" i="14" s="1"/>
  <c r="J618" i="14"/>
  <c r="K618" i="14" s="1"/>
  <c r="K617" i="14"/>
  <c r="J617" i="14"/>
  <c r="K616" i="14"/>
  <c r="J616" i="14"/>
  <c r="J615" i="14"/>
  <c r="K615" i="14" s="1"/>
  <c r="J614" i="14"/>
  <c r="K614" i="14" s="1"/>
  <c r="J613" i="14"/>
  <c r="K613" i="14" s="1"/>
  <c r="K612" i="14"/>
  <c r="J612" i="14"/>
  <c r="K611" i="14"/>
  <c r="J611" i="14"/>
  <c r="J610" i="14"/>
  <c r="K610" i="14" s="1"/>
  <c r="J609" i="14"/>
  <c r="K609" i="14" s="1"/>
  <c r="K608" i="14"/>
  <c r="J608" i="14"/>
  <c r="K607" i="14"/>
  <c r="J607" i="14"/>
  <c r="J606" i="14"/>
  <c r="K606" i="14" s="1"/>
  <c r="J605" i="14"/>
  <c r="K605" i="14" s="1"/>
  <c r="J604" i="14"/>
  <c r="K604" i="14" s="1"/>
  <c r="J603" i="14"/>
  <c r="K603" i="14" s="1"/>
  <c r="K602" i="14"/>
  <c r="J602" i="14"/>
  <c r="K601" i="14"/>
  <c r="J601" i="14"/>
  <c r="J600" i="14"/>
  <c r="K600" i="14" s="1"/>
  <c r="J599" i="14"/>
  <c r="K599" i="14" s="1"/>
  <c r="K598" i="14"/>
  <c r="J598" i="14"/>
  <c r="K597" i="14"/>
  <c r="J597" i="14"/>
  <c r="J596" i="14"/>
  <c r="K596" i="14" s="1"/>
  <c r="J595" i="14"/>
  <c r="K595" i="14" s="1"/>
  <c r="J594" i="14"/>
  <c r="K594" i="14" s="1"/>
  <c r="K593" i="14"/>
  <c r="J593" i="14"/>
  <c r="K592" i="14"/>
  <c r="J592" i="14"/>
  <c r="J591" i="14"/>
  <c r="K591" i="14" s="1"/>
  <c r="J590" i="14"/>
  <c r="K590" i="14" s="1"/>
  <c r="K589" i="14"/>
  <c r="J589" i="14"/>
  <c r="K588" i="14"/>
  <c r="J588" i="14"/>
  <c r="J587" i="14"/>
  <c r="K587" i="14" s="1"/>
  <c r="J586" i="14"/>
  <c r="K586" i="14" s="1"/>
  <c r="K585" i="14"/>
  <c r="J585" i="14"/>
  <c r="J584" i="14"/>
  <c r="K584" i="14" s="1"/>
  <c r="K583" i="14"/>
  <c r="J583" i="14"/>
  <c r="K582" i="14"/>
  <c r="J582" i="14"/>
  <c r="J581" i="14"/>
  <c r="K581" i="14" s="1"/>
  <c r="J580" i="14"/>
  <c r="K580" i="14" s="1"/>
  <c r="K579" i="14"/>
  <c r="J579" i="14"/>
  <c r="K578" i="14"/>
  <c r="J578" i="14"/>
  <c r="J577" i="14"/>
  <c r="K577" i="14" s="1"/>
  <c r="J576" i="14"/>
  <c r="K576" i="14" s="1"/>
  <c r="K575" i="14"/>
  <c r="J575" i="14"/>
  <c r="M574" i="14"/>
  <c r="K574" i="14"/>
  <c r="J574" i="14"/>
  <c r="K573" i="14"/>
  <c r="J573" i="14"/>
  <c r="J572" i="14"/>
  <c r="K572" i="14" s="1"/>
  <c r="J571" i="14"/>
  <c r="K571" i="14" s="1"/>
  <c r="K570" i="14"/>
  <c r="J570" i="14"/>
  <c r="K569" i="14"/>
  <c r="J569" i="14"/>
  <c r="J568" i="14"/>
  <c r="K568" i="14" s="1"/>
  <c r="J567" i="14"/>
  <c r="K567" i="14" s="1"/>
  <c r="K566" i="14"/>
  <c r="J566" i="14"/>
  <c r="K565" i="14"/>
  <c r="J565" i="14"/>
  <c r="K564" i="14"/>
  <c r="J564" i="14"/>
  <c r="K563" i="14"/>
  <c r="J563" i="14"/>
  <c r="J562" i="14"/>
  <c r="K562" i="14" s="1"/>
  <c r="J561" i="14"/>
  <c r="K561" i="14" s="1"/>
  <c r="K560" i="14"/>
  <c r="J560" i="14"/>
  <c r="K559" i="14"/>
  <c r="J559" i="14"/>
  <c r="J558" i="14"/>
  <c r="K558" i="14" s="1"/>
  <c r="J557" i="14"/>
  <c r="K557" i="14" s="1"/>
  <c r="K556" i="14"/>
  <c r="J556" i="14"/>
  <c r="K555" i="14"/>
  <c r="J555" i="14"/>
  <c r="K554" i="14"/>
  <c r="J554" i="14"/>
  <c r="J553" i="14"/>
  <c r="K553" i="14" s="1"/>
  <c r="J552" i="14"/>
  <c r="K552" i="14" s="1"/>
  <c r="K551" i="14"/>
  <c r="J551" i="14"/>
  <c r="K550" i="14"/>
  <c r="J550" i="14"/>
  <c r="J549" i="14"/>
  <c r="K549" i="14" s="1"/>
  <c r="J548" i="14"/>
  <c r="K548" i="14" s="1"/>
  <c r="K547" i="14"/>
  <c r="J547" i="14"/>
  <c r="K546" i="14"/>
  <c r="J546" i="14"/>
  <c r="J545" i="14"/>
  <c r="K545" i="14" s="1"/>
  <c r="K544" i="14"/>
  <c r="M544" i="14" s="1"/>
  <c r="J544" i="14"/>
  <c r="J543" i="14"/>
  <c r="K543" i="14" s="1"/>
  <c r="J542" i="14"/>
  <c r="K542" i="14" s="1"/>
  <c r="K541" i="14"/>
  <c r="J541" i="14"/>
  <c r="K540" i="14"/>
  <c r="J540" i="14"/>
  <c r="J539" i="14"/>
  <c r="K539" i="14" s="1"/>
  <c r="J538" i="14"/>
  <c r="K538" i="14" s="1"/>
  <c r="K537" i="14"/>
  <c r="J537" i="14"/>
  <c r="K536" i="14"/>
  <c r="J536" i="14"/>
  <c r="J535" i="14"/>
  <c r="K535" i="14" s="1"/>
  <c r="J534" i="14"/>
  <c r="K534" i="14" s="1"/>
  <c r="J533" i="14"/>
  <c r="K533" i="14" s="1"/>
  <c r="K532" i="14"/>
  <c r="J532" i="14"/>
  <c r="K531" i="14"/>
  <c r="J531" i="14"/>
  <c r="J530" i="14"/>
  <c r="K530" i="14" s="1"/>
  <c r="J529" i="14"/>
  <c r="K529" i="14" s="1"/>
  <c r="K528" i="14"/>
  <c r="J528" i="14"/>
  <c r="K527" i="14"/>
  <c r="J527" i="14"/>
  <c r="J526" i="14"/>
  <c r="K526" i="14" s="1"/>
  <c r="J525" i="14"/>
  <c r="K525" i="14" s="1"/>
  <c r="J524" i="14"/>
  <c r="K524" i="14" s="1"/>
  <c r="J523" i="14"/>
  <c r="K523" i="14" s="1"/>
  <c r="K522" i="14"/>
  <c r="J522" i="14"/>
  <c r="K521" i="14"/>
  <c r="J521" i="14"/>
  <c r="J520" i="14"/>
  <c r="K520" i="14" s="1"/>
  <c r="J519" i="14"/>
  <c r="K519" i="14" s="1"/>
  <c r="K518" i="14"/>
  <c r="J518" i="14"/>
  <c r="K517" i="14"/>
  <c r="J517" i="14"/>
  <c r="J516" i="14"/>
  <c r="K516" i="14" s="1"/>
  <c r="J515" i="14"/>
  <c r="K515" i="14" s="1"/>
  <c r="J514" i="14"/>
  <c r="K514" i="14" s="1"/>
  <c r="K513" i="14"/>
  <c r="J513" i="14"/>
  <c r="K512" i="14"/>
  <c r="J512" i="14"/>
  <c r="J511" i="14"/>
  <c r="K511" i="14" s="1"/>
  <c r="J510" i="14"/>
  <c r="K510" i="14" s="1"/>
  <c r="K509" i="14"/>
  <c r="J509" i="14"/>
  <c r="K508" i="14"/>
  <c r="J508" i="14"/>
  <c r="J507" i="14"/>
  <c r="K507" i="14" s="1"/>
  <c r="J506" i="14"/>
  <c r="K506" i="14" s="1"/>
  <c r="K505" i="14"/>
  <c r="J505" i="14"/>
  <c r="J504" i="14"/>
  <c r="K504" i="14" s="1"/>
  <c r="K503" i="14"/>
  <c r="J503" i="14"/>
  <c r="K502" i="14"/>
  <c r="J502" i="14"/>
  <c r="J501" i="14"/>
  <c r="K501" i="14" s="1"/>
  <c r="J500" i="14"/>
  <c r="K500" i="14" s="1"/>
  <c r="K499" i="14"/>
  <c r="J499" i="14"/>
  <c r="K498" i="14"/>
  <c r="J498" i="14"/>
  <c r="J497" i="14"/>
  <c r="K497" i="14" s="1"/>
  <c r="J496" i="14"/>
  <c r="K496" i="14" s="1"/>
  <c r="M494" i="14" s="1"/>
  <c r="K495" i="14"/>
  <c r="J495" i="14"/>
  <c r="K494" i="14"/>
  <c r="J494" i="14"/>
  <c r="K493" i="14"/>
  <c r="J493" i="14"/>
  <c r="J492" i="14"/>
  <c r="K492" i="14" s="1"/>
  <c r="J491" i="14"/>
  <c r="K491" i="14" s="1"/>
  <c r="K490" i="14"/>
  <c r="J490" i="14"/>
  <c r="K489" i="14"/>
  <c r="J489" i="14"/>
  <c r="J488" i="14"/>
  <c r="K488" i="14" s="1"/>
  <c r="J487" i="14"/>
  <c r="K487" i="14" s="1"/>
  <c r="K486" i="14"/>
  <c r="J486" i="14"/>
  <c r="K485" i="14"/>
  <c r="J485" i="14"/>
  <c r="K484" i="14"/>
  <c r="J484" i="14"/>
  <c r="K483" i="14"/>
  <c r="J483" i="14"/>
  <c r="J482" i="14"/>
  <c r="K482" i="14" s="1"/>
  <c r="J481" i="14"/>
  <c r="K481" i="14" s="1"/>
  <c r="K480" i="14"/>
  <c r="J480" i="14"/>
  <c r="K479" i="14"/>
  <c r="J479" i="14"/>
  <c r="J478" i="14"/>
  <c r="K478" i="14" s="1"/>
  <c r="J477" i="14"/>
  <c r="K477" i="14" s="1"/>
  <c r="K476" i="14"/>
  <c r="J476" i="14"/>
  <c r="K475" i="14"/>
  <c r="J475" i="14"/>
  <c r="K474" i="14"/>
  <c r="J474" i="14"/>
  <c r="J473" i="14"/>
  <c r="K473" i="14" s="1"/>
  <c r="J472" i="14"/>
  <c r="K472" i="14" s="1"/>
  <c r="K471" i="14"/>
  <c r="J471" i="14"/>
  <c r="K470" i="14"/>
  <c r="J470" i="14"/>
  <c r="J469" i="14"/>
  <c r="K469" i="14" s="1"/>
  <c r="J468" i="14"/>
  <c r="K468" i="14" s="1"/>
  <c r="K467" i="14"/>
  <c r="J467" i="14"/>
  <c r="K466" i="14"/>
  <c r="J466" i="14"/>
  <c r="J465" i="14"/>
  <c r="K465" i="14" s="1"/>
  <c r="K464" i="14"/>
  <c r="J464" i="14"/>
  <c r="J463" i="14"/>
  <c r="K463" i="14" s="1"/>
  <c r="J462" i="14"/>
  <c r="K462" i="14" s="1"/>
  <c r="K461" i="14"/>
  <c r="J461" i="14"/>
  <c r="K460" i="14"/>
  <c r="J460" i="14"/>
  <c r="J459" i="14"/>
  <c r="K459" i="14" s="1"/>
  <c r="J458" i="14"/>
  <c r="K458" i="14" s="1"/>
  <c r="K457" i="14"/>
  <c r="J457" i="14"/>
  <c r="K456" i="14"/>
  <c r="J456" i="14"/>
  <c r="J455" i="14"/>
  <c r="K455" i="14" s="1"/>
  <c r="J454" i="14"/>
  <c r="K454" i="14" s="1"/>
  <c r="M454" i="14" s="1"/>
  <c r="J453" i="14"/>
  <c r="K453" i="14" s="1"/>
  <c r="K452" i="14"/>
  <c r="J452" i="14"/>
  <c r="K451" i="14"/>
  <c r="J451" i="14"/>
  <c r="J450" i="14"/>
  <c r="K450" i="14" s="1"/>
  <c r="J449" i="14"/>
  <c r="K449" i="14" s="1"/>
  <c r="K448" i="14"/>
  <c r="J448" i="14"/>
  <c r="K447" i="14"/>
  <c r="J447" i="14"/>
  <c r="J446" i="14"/>
  <c r="K446" i="14" s="1"/>
  <c r="J445" i="14"/>
  <c r="K445" i="14" s="1"/>
  <c r="J444" i="14"/>
  <c r="K444" i="14" s="1"/>
  <c r="M444" i="14" s="1"/>
  <c r="J443" i="14"/>
  <c r="K443" i="14" s="1"/>
  <c r="K442" i="14"/>
  <c r="J442" i="14"/>
  <c r="K441" i="14"/>
  <c r="J441" i="14"/>
  <c r="J440" i="14"/>
  <c r="K440" i="14" s="1"/>
  <c r="J439" i="14"/>
  <c r="K439" i="14" s="1"/>
  <c r="K438" i="14"/>
  <c r="J438" i="14"/>
  <c r="K437" i="14"/>
  <c r="J437" i="14"/>
  <c r="J436" i="14"/>
  <c r="K436" i="14" s="1"/>
  <c r="J435" i="14"/>
  <c r="K435" i="14" s="1"/>
  <c r="J434" i="14"/>
  <c r="K434" i="14" s="1"/>
  <c r="K433" i="14"/>
  <c r="J433" i="14"/>
  <c r="K432" i="14"/>
  <c r="J432" i="14"/>
  <c r="J431" i="14"/>
  <c r="K431" i="14" s="1"/>
  <c r="J430" i="14"/>
  <c r="K430" i="14" s="1"/>
  <c r="K429" i="14"/>
  <c r="J429" i="14"/>
  <c r="K428" i="14"/>
  <c r="J428" i="14"/>
  <c r="J427" i="14"/>
  <c r="K427" i="14" s="1"/>
  <c r="J426" i="14"/>
  <c r="K426" i="14" s="1"/>
  <c r="K425" i="14"/>
  <c r="J425" i="14"/>
  <c r="J424" i="14"/>
  <c r="K424" i="14" s="1"/>
  <c r="K423" i="14"/>
  <c r="J423" i="14"/>
  <c r="K422" i="14"/>
  <c r="J422" i="14"/>
  <c r="J421" i="14"/>
  <c r="K421" i="14" s="1"/>
  <c r="J420" i="14"/>
  <c r="K420" i="14" s="1"/>
  <c r="K419" i="14"/>
  <c r="J419" i="14"/>
  <c r="K418" i="14"/>
  <c r="J418" i="14"/>
  <c r="J417" i="14"/>
  <c r="K417" i="14" s="1"/>
  <c r="M414" i="14" s="1"/>
  <c r="J416" i="14"/>
  <c r="K416" i="14" s="1"/>
  <c r="K415" i="14"/>
  <c r="J415" i="14"/>
  <c r="K414" i="14"/>
  <c r="J414" i="14"/>
  <c r="K413" i="14"/>
  <c r="J413" i="14"/>
  <c r="J412" i="14"/>
  <c r="K412" i="14" s="1"/>
  <c r="J411" i="14"/>
  <c r="K411" i="14" s="1"/>
  <c r="K410" i="14"/>
  <c r="J410" i="14"/>
  <c r="K409" i="14"/>
  <c r="J409" i="14"/>
  <c r="J408" i="14"/>
  <c r="K408" i="14" s="1"/>
  <c r="J407" i="14"/>
  <c r="K407" i="14" s="1"/>
  <c r="K406" i="14"/>
  <c r="J406" i="14"/>
  <c r="K405" i="14"/>
  <c r="J405" i="14"/>
  <c r="K404" i="14"/>
  <c r="J404" i="14"/>
  <c r="K403" i="14"/>
  <c r="J403" i="14"/>
  <c r="J402" i="14"/>
  <c r="K402" i="14" s="1"/>
  <c r="J401" i="14"/>
  <c r="K401" i="14" s="1"/>
  <c r="K400" i="14"/>
  <c r="J400" i="14"/>
  <c r="K399" i="14"/>
  <c r="J399" i="14"/>
  <c r="J398" i="14"/>
  <c r="K398" i="14" s="1"/>
  <c r="J397" i="14"/>
  <c r="K397" i="14" s="1"/>
  <c r="K396" i="14"/>
  <c r="J396" i="14"/>
  <c r="K395" i="14"/>
  <c r="J395" i="14"/>
  <c r="K394" i="14"/>
  <c r="J394" i="14"/>
  <c r="J393" i="14"/>
  <c r="K393" i="14" s="1"/>
  <c r="J392" i="14"/>
  <c r="K392" i="14" s="1"/>
  <c r="K391" i="14"/>
  <c r="J391" i="14"/>
  <c r="K390" i="14"/>
  <c r="J390" i="14"/>
  <c r="J389" i="14"/>
  <c r="K389" i="14" s="1"/>
  <c r="J388" i="14"/>
  <c r="K388" i="14" s="1"/>
  <c r="K387" i="14"/>
  <c r="J387" i="14"/>
  <c r="K386" i="14"/>
  <c r="J386" i="14"/>
  <c r="J385" i="14"/>
  <c r="K385" i="14" s="1"/>
  <c r="K384" i="14"/>
  <c r="J384" i="14"/>
  <c r="J383" i="14"/>
  <c r="K383" i="14" s="1"/>
  <c r="J382" i="14"/>
  <c r="K382" i="14" s="1"/>
  <c r="K381" i="14"/>
  <c r="J381" i="14"/>
  <c r="K380" i="14"/>
  <c r="J380" i="14"/>
  <c r="J379" i="14"/>
  <c r="K379" i="14" s="1"/>
  <c r="J378" i="14"/>
  <c r="K378" i="14" s="1"/>
  <c r="K377" i="14"/>
  <c r="J377" i="14"/>
  <c r="K376" i="14"/>
  <c r="J376" i="14"/>
  <c r="J375" i="14"/>
  <c r="K375" i="14" s="1"/>
  <c r="J374" i="14"/>
  <c r="K374" i="14" s="1"/>
  <c r="J373" i="14"/>
  <c r="K373" i="14" s="1"/>
  <c r="K372" i="14"/>
  <c r="J372" i="14"/>
  <c r="K371" i="14"/>
  <c r="J371" i="14"/>
  <c r="J370" i="14"/>
  <c r="K370" i="14" s="1"/>
  <c r="J369" i="14"/>
  <c r="K369" i="14" s="1"/>
  <c r="K368" i="14"/>
  <c r="J368" i="14"/>
  <c r="K367" i="14"/>
  <c r="J367" i="14"/>
  <c r="J366" i="14"/>
  <c r="K366" i="14" s="1"/>
  <c r="J365" i="14"/>
  <c r="K365" i="14" s="1"/>
  <c r="J364" i="14"/>
  <c r="K364" i="14" s="1"/>
  <c r="M364" i="14" s="1"/>
  <c r="J363" i="14"/>
  <c r="K363" i="14" s="1"/>
  <c r="K362" i="14"/>
  <c r="J362" i="14"/>
  <c r="K361" i="14"/>
  <c r="J361" i="14"/>
  <c r="J360" i="14"/>
  <c r="K360" i="14" s="1"/>
  <c r="J359" i="14"/>
  <c r="K359" i="14" s="1"/>
  <c r="K358" i="14"/>
  <c r="J358" i="14"/>
  <c r="K357" i="14"/>
  <c r="J357" i="14"/>
  <c r="J356" i="14"/>
  <c r="K356" i="14" s="1"/>
  <c r="J355" i="14"/>
  <c r="K355" i="14" s="1"/>
  <c r="J354" i="14"/>
  <c r="K354" i="14" s="1"/>
  <c r="M354" i="14" s="1"/>
  <c r="K353" i="14"/>
  <c r="J353" i="14"/>
  <c r="K352" i="14"/>
  <c r="J352" i="14"/>
  <c r="J351" i="14"/>
  <c r="K351" i="14" s="1"/>
  <c r="J350" i="14"/>
  <c r="K350" i="14" s="1"/>
  <c r="K349" i="14"/>
  <c r="J349" i="14"/>
  <c r="K348" i="14"/>
  <c r="J348" i="14"/>
  <c r="J347" i="14"/>
  <c r="K347" i="14" s="1"/>
  <c r="J346" i="14"/>
  <c r="K346" i="14" s="1"/>
  <c r="K345" i="14"/>
  <c r="J345" i="14"/>
  <c r="J344" i="14"/>
  <c r="K344" i="14" s="1"/>
  <c r="K343" i="14"/>
  <c r="J343" i="14"/>
  <c r="K342" i="14"/>
  <c r="J342" i="14"/>
  <c r="J341" i="14"/>
  <c r="K341" i="14" s="1"/>
  <c r="J340" i="14"/>
  <c r="K340" i="14" s="1"/>
  <c r="K339" i="14"/>
  <c r="J339" i="14"/>
  <c r="K338" i="14"/>
  <c r="J338" i="14"/>
  <c r="J337" i="14"/>
  <c r="K337" i="14" s="1"/>
  <c r="M334" i="14" s="1"/>
  <c r="J336" i="14"/>
  <c r="K336" i="14" s="1"/>
  <c r="K335" i="14"/>
  <c r="J335" i="14"/>
  <c r="K334" i="14"/>
  <c r="J334" i="14"/>
  <c r="K333" i="14"/>
  <c r="J333" i="14"/>
  <c r="J332" i="14"/>
  <c r="K332" i="14" s="1"/>
  <c r="J331" i="14"/>
  <c r="K331" i="14" s="1"/>
  <c r="K330" i="14"/>
  <c r="J330" i="14"/>
  <c r="K329" i="14"/>
  <c r="J329" i="14"/>
  <c r="J328" i="14"/>
  <c r="K328" i="14" s="1"/>
  <c r="J327" i="14"/>
  <c r="K327" i="14" s="1"/>
  <c r="K326" i="14"/>
  <c r="J326" i="14"/>
  <c r="K325" i="14"/>
  <c r="J325" i="14"/>
  <c r="K324" i="14"/>
  <c r="J324" i="14"/>
  <c r="J323" i="14"/>
  <c r="K323" i="14" s="1"/>
  <c r="J322" i="14"/>
  <c r="K322" i="14" s="1"/>
  <c r="J321" i="14"/>
  <c r="K321" i="14" s="1"/>
  <c r="K320" i="14"/>
  <c r="J320" i="14"/>
  <c r="J319" i="14"/>
  <c r="K319" i="14" s="1"/>
  <c r="J318" i="14"/>
  <c r="K318" i="14" s="1"/>
  <c r="J317" i="14"/>
  <c r="K317" i="14" s="1"/>
  <c r="K316" i="14"/>
  <c r="J316" i="14"/>
  <c r="J315" i="14"/>
  <c r="K315" i="14" s="1"/>
  <c r="K314" i="14"/>
  <c r="J314" i="14"/>
  <c r="J313" i="14"/>
  <c r="K313" i="14" s="1"/>
  <c r="J312" i="14"/>
  <c r="K312" i="14" s="1"/>
  <c r="K311" i="14"/>
  <c r="J311" i="14"/>
  <c r="K310" i="14"/>
  <c r="J310" i="14"/>
  <c r="J309" i="14"/>
  <c r="K309" i="14" s="1"/>
  <c r="J308" i="14"/>
  <c r="K308" i="14" s="1"/>
  <c r="K307" i="14"/>
  <c r="J307" i="14"/>
  <c r="K306" i="14"/>
  <c r="J306" i="14"/>
  <c r="J305" i="14"/>
  <c r="K305" i="14" s="1"/>
  <c r="K304" i="14"/>
  <c r="J304" i="14"/>
  <c r="J303" i="14"/>
  <c r="K303" i="14" s="1"/>
  <c r="J302" i="14"/>
  <c r="K302" i="14" s="1"/>
  <c r="K301" i="14"/>
  <c r="J301" i="14"/>
  <c r="K300" i="14"/>
  <c r="J300" i="14"/>
  <c r="J299" i="14"/>
  <c r="K299" i="14" s="1"/>
  <c r="J298" i="14"/>
  <c r="K298" i="14" s="1"/>
  <c r="K297" i="14"/>
  <c r="J297" i="14"/>
  <c r="K296" i="14"/>
  <c r="J296" i="14"/>
  <c r="J295" i="14"/>
  <c r="K295" i="14" s="1"/>
  <c r="J294" i="14"/>
  <c r="K294" i="14" s="1"/>
  <c r="J293" i="14"/>
  <c r="K293" i="14" s="1"/>
  <c r="K292" i="14"/>
  <c r="J292" i="14"/>
  <c r="K291" i="14"/>
  <c r="J291" i="14"/>
  <c r="J290" i="14"/>
  <c r="K290" i="14" s="1"/>
  <c r="J289" i="14"/>
  <c r="K289" i="14" s="1"/>
  <c r="K288" i="14"/>
  <c r="J288" i="14"/>
  <c r="K287" i="14"/>
  <c r="J287" i="14"/>
  <c r="J286" i="14"/>
  <c r="K286" i="14" s="1"/>
  <c r="J285" i="14"/>
  <c r="K285" i="14" s="1"/>
  <c r="J284" i="14"/>
  <c r="K284" i="14" s="1"/>
  <c r="M284" i="14" s="1"/>
  <c r="J283" i="14"/>
  <c r="K283" i="14" s="1"/>
  <c r="K282" i="14"/>
  <c r="J282" i="14"/>
  <c r="K281" i="14"/>
  <c r="J281" i="14"/>
  <c r="J280" i="14"/>
  <c r="K280" i="14" s="1"/>
  <c r="M274" i="14" s="1"/>
  <c r="J279" i="14"/>
  <c r="K279" i="14" s="1"/>
  <c r="K278" i="14"/>
  <c r="J278" i="14"/>
  <c r="K277" i="14"/>
  <c r="J277" i="14"/>
  <c r="J276" i="14"/>
  <c r="K276" i="14" s="1"/>
  <c r="J275" i="14"/>
  <c r="K275" i="14" s="1"/>
  <c r="J274" i="14"/>
  <c r="K274" i="14" s="1"/>
  <c r="K273" i="14"/>
  <c r="J273" i="14"/>
  <c r="K272" i="14"/>
  <c r="J272" i="14"/>
  <c r="J271" i="14"/>
  <c r="K271" i="14" s="1"/>
  <c r="J270" i="14"/>
  <c r="K270" i="14" s="1"/>
  <c r="K269" i="14"/>
  <c r="M264" i="14" s="1"/>
  <c r="J269" i="14"/>
  <c r="K268" i="14"/>
  <c r="J268" i="14"/>
  <c r="J267" i="14"/>
  <c r="K267" i="14" s="1"/>
  <c r="J266" i="14"/>
  <c r="K266" i="14" s="1"/>
  <c r="K265" i="14"/>
  <c r="J265" i="14"/>
  <c r="J264" i="14"/>
  <c r="K264" i="14" s="1"/>
  <c r="K263" i="14"/>
  <c r="J263" i="14"/>
  <c r="K262" i="14"/>
  <c r="J262" i="14"/>
  <c r="J261" i="14"/>
  <c r="K261" i="14" s="1"/>
  <c r="J260" i="14"/>
  <c r="K260" i="14" s="1"/>
  <c r="K259" i="14"/>
  <c r="M254" i="14" s="1"/>
  <c r="J259" i="14"/>
  <c r="K258" i="14"/>
  <c r="J258" i="14"/>
  <c r="J257" i="14"/>
  <c r="K257" i="14" s="1"/>
  <c r="J256" i="14"/>
  <c r="K256" i="14" s="1"/>
  <c r="K255" i="14"/>
  <c r="J255" i="14"/>
  <c r="K254" i="14"/>
  <c r="J254" i="14"/>
  <c r="K253" i="14"/>
  <c r="J253" i="14"/>
  <c r="J252" i="14"/>
  <c r="K252" i="14" s="1"/>
  <c r="J251" i="14"/>
  <c r="K251" i="14" s="1"/>
  <c r="K250" i="14"/>
  <c r="J250" i="14"/>
  <c r="K249" i="14"/>
  <c r="J249" i="14"/>
  <c r="J248" i="14"/>
  <c r="K248" i="14" s="1"/>
  <c r="J247" i="14"/>
  <c r="K247" i="14" s="1"/>
  <c r="K246" i="14"/>
  <c r="J246" i="14"/>
  <c r="K245" i="14"/>
  <c r="J245" i="14"/>
  <c r="K244" i="14"/>
  <c r="M244" i="14" s="1"/>
  <c r="J244" i="14"/>
  <c r="K243" i="14"/>
  <c r="J243" i="14"/>
  <c r="J242" i="14"/>
  <c r="K242" i="14" s="1"/>
  <c r="J241" i="14"/>
  <c r="K241" i="14" s="1"/>
  <c r="K240" i="14"/>
  <c r="J240" i="14"/>
  <c r="K239" i="14"/>
  <c r="J239" i="14"/>
  <c r="J238" i="14"/>
  <c r="K238" i="14" s="1"/>
  <c r="J237" i="14"/>
  <c r="K237" i="14" s="1"/>
  <c r="K236" i="14"/>
  <c r="J236" i="14"/>
  <c r="K235" i="14"/>
  <c r="J235" i="14"/>
  <c r="K234" i="14"/>
  <c r="J234" i="14"/>
  <c r="K233" i="14"/>
  <c r="J233" i="14"/>
  <c r="J232" i="14"/>
  <c r="K232" i="14" s="1"/>
  <c r="K231" i="14"/>
  <c r="J231" i="14"/>
  <c r="K230" i="14"/>
  <c r="J230" i="14"/>
  <c r="J229" i="14"/>
  <c r="K229" i="14" s="1"/>
  <c r="J228" i="14"/>
  <c r="K228" i="14" s="1"/>
  <c r="K227" i="14"/>
  <c r="J227" i="14"/>
  <c r="K226" i="14"/>
  <c r="J226" i="14"/>
  <c r="K225" i="14"/>
  <c r="J225" i="14"/>
  <c r="K224" i="14"/>
  <c r="J224" i="14"/>
  <c r="J223" i="14"/>
  <c r="K223" i="14" s="1"/>
  <c r="J222" i="14"/>
  <c r="K222" i="14" s="1"/>
  <c r="K221" i="14"/>
  <c r="J221" i="14"/>
  <c r="K220" i="14"/>
  <c r="J220" i="14"/>
  <c r="J219" i="14"/>
  <c r="K219" i="14" s="1"/>
  <c r="J218" i="14"/>
  <c r="K218" i="14" s="1"/>
  <c r="K217" i="14"/>
  <c r="J217" i="14"/>
  <c r="K216" i="14"/>
  <c r="J216" i="14"/>
  <c r="J215" i="14"/>
  <c r="K215" i="14" s="1"/>
  <c r="J214" i="14"/>
  <c r="K214" i="14" s="1"/>
  <c r="M214" i="14" s="1"/>
  <c r="J213" i="14"/>
  <c r="K213" i="14" s="1"/>
  <c r="K212" i="14"/>
  <c r="J212" i="14"/>
  <c r="K211" i="14"/>
  <c r="J211" i="14"/>
  <c r="K210" i="14"/>
  <c r="J210" i="14"/>
  <c r="J209" i="14"/>
  <c r="K209" i="14" s="1"/>
  <c r="K208" i="14"/>
  <c r="J208" i="14"/>
  <c r="K207" i="14"/>
  <c r="J207" i="14"/>
  <c r="J206" i="14"/>
  <c r="K206" i="14" s="1"/>
  <c r="M204" i="14" s="1"/>
  <c r="J205" i="14"/>
  <c r="K205" i="14" s="1"/>
  <c r="J204" i="14"/>
  <c r="K204" i="14" s="1"/>
  <c r="J203" i="14"/>
  <c r="K203" i="14" s="1"/>
  <c r="K202" i="14"/>
  <c r="J202" i="14"/>
  <c r="J201" i="14"/>
  <c r="K201" i="14" s="1"/>
  <c r="J200" i="14"/>
  <c r="K200" i="14" s="1"/>
  <c r="J199" i="14"/>
  <c r="K199" i="14" s="1"/>
  <c r="K198" i="14"/>
  <c r="J198" i="14"/>
  <c r="J197" i="14"/>
  <c r="K197" i="14" s="1"/>
  <c r="J196" i="14"/>
  <c r="K196" i="14" s="1"/>
  <c r="J195" i="14"/>
  <c r="K195" i="14" s="1"/>
  <c r="J194" i="14"/>
  <c r="K194" i="14" s="1"/>
  <c r="M194" i="14" s="1"/>
  <c r="K193" i="14"/>
  <c r="J193" i="14"/>
  <c r="K192" i="14"/>
  <c r="J192" i="14"/>
  <c r="J191" i="14"/>
  <c r="K191" i="14" s="1"/>
  <c r="J190" i="14"/>
  <c r="K190" i="14" s="1"/>
  <c r="K189" i="14"/>
  <c r="J189" i="14"/>
  <c r="K188" i="14"/>
  <c r="J188" i="14"/>
  <c r="K187" i="14"/>
  <c r="J187" i="14"/>
  <c r="J186" i="14"/>
  <c r="K186" i="14" s="1"/>
  <c r="K185" i="14"/>
  <c r="J185" i="14"/>
  <c r="J184" i="14"/>
  <c r="K184" i="14" s="1"/>
  <c r="M184" i="14" s="1"/>
  <c r="K183" i="14"/>
  <c r="J183" i="14"/>
  <c r="J182" i="14"/>
  <c r="K182" i="14" s="1"/>
  <c r="J181" i="14"/>
  <c r="K181" i="14" s="1"/>
  <c r="J180" i="14"/>
  <c r="K180" i="14" s="1"/>
  <c r="K179" i="14"/>
  <c r="J179" i="14"/>
  <c r="J178" i="14"/>
  <c r="K178" i="14" s="1"/>
  <c r="J177" i="14"/>
  <c r="K177" i="14" s="1"/>
  <c r="J176" i="14"/>
  <c r="K176" i="14" s="1"/>
  <c r="K175" i="14"/>
  <c r="J175" i="14"/>
  <c r="K174" i="14"/>
  <c r="J174" i="14"/>
  <c r="K173" i="14"/>
  <c r="J173" i="14"/>
  <c r="K172" i="14"/>
  <c r="J172" i="14"/>
  <c r="J171" i="14"/>
  <c r="K171" i="14" s="1"/>
  <c r="K170" i="14"/>
  <c r="J170" i="14"/>
  <c r="K169" i="14"/>
  <c r="J169" i="14"/>
  <c r="J168" i="14"/>
  <c r="K168" i="14" s="1"/>
  <c r="M164" i="14" s="1"/>
  <c r="J167" i="14"/>
  <c r="K167" i="14" s="1"/>
  <c r="K166" i="14"/>
  <c r="J166" i="14"/>
  <c r="K165" i="14"/>
  <c r="J165" i="14"/>
  <c r="K164" i="14"/>
  <c r="J164" i="14"/>
  <c r="J163" i="14"/>
  <c r="K163" i="14" s="1"/>
  <c r="J162" i="14"/>
  <c r="K162" i="14" s="1"/>
  <c r="J161" i="14"/>
  <c r="K161" i="14" s="1"/>
  <c r="K160" i="14"/>
  <c r="J160" i="14"/>
  <c r="J159" i="14"/>
  <c r="K159" i="14" s="1"/>
  <c r="J158" i="14"/>
  <c r="K158" i="14" s="1"/>
  <c r="J157" i="14"/>
  <c r="K157" i="14" s="1"/>
  <c r="K156" i="14"/>
  <c r="J156" i="14"/>
  <c r="J155" i="14"/>
  <c r="K155" i="14" s="1"/>
  <c r="K154" i="14"/>
  <c r="J154" i="14"/>
  <c r="J153" i="14"/>
  <c r="K153" i="14" s="1"/>
  <c r="J152" i="14"/>
  <c r="K152" i="14" s="1"/>
  <c r="K151" i="14"/>
  <c r="J151" i="14"/>
  <c r="K150" i="14"/>
  <c r="J150" i="14"/>
  <c r="K149" i="14"/>
  <c r="J149" i="14"/>
  <c r="J148" i="14"/>
  <c r="K148" i="14" s="1"/>
  <c r="K147" i="14"/>
  <c r="J147" i="14"/>
  <c r="K146" i="14"/>
  <c r="J146" i="14"/>
  <c r="J145" i="14"/>
  <c r="K145" i="14" s="1"/>
  <c r="K144" i="14"/>
  <c r="J144" i="14"/>
  <c r="J143" i="14"/>
  <c r="K143" i="14" s="1"/>
  <c r="J142" i="14"/>
  <c r="K142" i="14" s="1"/>
  <c r="K141" i="14"/>
  <c r="J141" i="14"/>
  <c r="K140" i="14"/>
  <c r="J140" i="14"/>
  <c r="J139" i="14"/>
  <c r="K139" i="14" s="1"/>
  <c r="J138" i="14"/>
  <c r="K138" i="14" s="1"/>
  <c r="K137" i="14"/>
  <c r="J137" i="14"/>
  <c r="K136" i="14"/>
  <c r="J136" i="14"/>
  <c r="J135" i="14"/>
  <c r="K135" i="14" s="1"/>
  <c r="K134" i="14"/>
  <c r="M134" i="14" s="1"/>
  <c r="J134" i="14"/>
  <c r="K133" i="14"/>
  <c r="J133" i="14"/>
  <c r="K132" i="14"/>
  <c r="J132" i="14"/>
  <c r="K131" i="14"/>
  <c r="J131" i="14"/>
  <c r="K130" i="14"/>
  <c r="J130" i="14"/>
  <c r="K129" i="14"/>
  <c r="J129" i="14"/>
  <c r="K128" i="14"/>
  <c r="J128" i="14"/>
  <c r="K127" i="14"/>
  <c r="J127" i="14"/>
  <c r="K126" i="14"/>
  <c r="J126" i="14"/>
  <c r="K125" i="14"/>
  <c r="J125" i="14"/>
  <c r="J124" i="14"/>
  <c r="K124" i="14" s="1"/>
  <c r="M124" i="14" s="1"/>
  <c r="J123" i="14"/>
  <c r="K123" i="14" s="1"/>
  <c r="J122" i="14"/>
  <c r="K122" i="14" s="1"/>
  <c r="J121" i="14"/>
  <c r="K121" i="14" s="1"/>
  <c r="J120" i="14"/>
  <c r="K120" i="14" s="1"/>
  <c r="J119" i="14"/>
  <c r="K119" i="14" s="1"/>
  <c r="J118" i="14"/>
  <c r="K118" i="14" s="1"/>
  <c r="J117" i="14"/>
  <c r="K117" i="14" s="1"/>
  <c r="J116" i="14"/>
  <c r="K116" i="14" s="1"/>
  <c r="J115" i="14"/>
  <c r="K115" i="14" s="1"/>
  <c r="K114" i="14"/>
  <c r="M114" i="14" s="1"/>
  <c r="J114" i="14"/>
  <c r="K113" i="14"/>
  <c r="J113" i="14"/>
  <c r="K112" i="14"/>
  <c r="J112" i="14"/>
  <c r="K111" i="14"/>
  <c r="J111" i="14"/>
  <c r="K110" i="14"/>
  <c r="J110" i="14"/>
  <c r="K109" i="14"/>
  <c r="J109" i="14"/>
  <c r="K108" i="14"/>
  <c r="J108" i="14"/>
  <c r="K107" i="14"/>
  <c r="J107" i="14"/>
  <c r="K106" i="14"/>
  <c r="J106" i="14"/>
  <c r="K105" i="14"/>
  <c r="J105" i="14"/>
  <c r="J104" i="14"/>
  <c r="K104" i="14" s="1"/>
  <c r="M104" i="14" s="1"/>
  <c r="J103" i="14"/>
  <c r="K103" i="14" s="1"/>
  <c r="J102" i="14"/>
  <c r="K102" i="14" s="1"/>
  <c r="J101" i="14"/>
  <c r="K101" i="14" s="1"/>
  <c r="J100" i="14"/>
  <c r="K100" i="14" s="1"/>
  <c r="J99" i="14"/>
  <c r="K99" i="14" s="1"/>
  <c r="J98" i="14"/>
  <c r="K98" i="14" s="1"/>
  <c r="J97" i="14"/>
  <c r="K97" i="14" s="1"/>
  <c r="J96" i="14"/>
  <c r="K96" i="14" s="1"/>
  <c r="J95" i="14"/>
  <c r="K95" i="14" s="1"/>
  <c r="K94" i="14"/>
  <c r="J94" i="14"/>
  <c r="K93" i="14"/>
  <c r="J93" i="14"/>
  <c r="K92" i="14"/>
  <c r="J92" i="14"/>
  <c r="K91" i="14"/>
  <c r="J91" i="14"/>
  <c r="K90" i="14"/>
  <c r="J90" i="14"/>
  <c r="K89" i="14"/>
  <c r="J89" i="14"/>
  <c r="K88" i="14"/>
  <c r="J88" i="14"/>
  <c r="K87" i="14"/>
  <c r="J87" i="14"/>
  <c r="K86" i="14"/>
  <c r="J86" i="14"/>
  <c r="K85" i="14"/>
  <c r="J85" i="14"/>
  <c r="J84" i="14"/>
  <c r="K84" i="14" s="1"/>
  <c r="M84" i="14" s="1"/>
  <c r="J83" i="14"/>
  <c r="K83" i="14" s="1"/>
  <c r="J82" i="14"/>
  <c r="K82" i="14" s="1"/>
  <c r="J81" i="14"/>
  <c r="K81" i="14" s="1"/>
  <c r="J80" i="14"/>
  <c r="K80" i="14" s="1"/>
  <c r="J79" i="14"/>
  <c r="K79" i="14" s="1"/>
  <c r="J78" i="14"/>
  <c r="K78" i="14" s="1"/>
  <c r="J77" i="14"/>
  <c r="K77" i="14" s="1"/>
  <c r="J76" i="14"/>
  <c r="K76" i="14" s="1"/>
  <c r="J75" i="14"/>
  <c r="K75" i="14" s="1"/>
  <c r="K74" i="14"/>
  <c r="J74" i="14"/>
  <c r="K73" i="14"/>
  <c r="J73" i="14"/>
  <c r="K72" i="14"/>
  <c r="J72" i="14"/>
  <c r="K71" i="14"/>
  <c r="J71" i="14"/>
  <c r="K70" i="14"/>
  <c r="J70" i="14"/>
  <c r="K69" i="14"/>
  <c r="J69" i="14"/>
  <c r="K68" i="14"/>
  <c r="J68" i="14"/>
  <c r="K67" i="14"/>
  <c r="J67" i="14"/>
  <c r="K66" i="14"/>
  <c r="J66" i="14"/>
  <c r="K65" i="14"/>
  <c r="J65" i="14"/>
  <c r="J64" i="14"/>
  <c r="K64" i="14" s="1"/>
  <c r="M64" i="14" s="1"/>
  <c r="J63" i="14"/>
  <c r="K63" i="14" s="1"/>
  <c r="J62" i="14"/>
  <c r="K62" i="14" s="1"/>
  <c r="J61" i="14"/>
  <c r="K61" i="14" s="1"/>
  <c r="J60" i="14"/>
  <c r="K60" i="14" s="1"/>
  <c r="J59" i="14"/>
  <c r="K59" i="14" s="1"/>
  <c r="J58" i="14"/>
  <c r="K58" i="14" s="1"/>
  <c r="J57" i="14"/>
  <c r="K57" i="14" s="1"/>
  <c r="J56" i="14"/>
  <c r="K56" i="14" s="1"/>
  <c r="J55" i="14"/>
  <c r="K55" i="14" s="1"/>
  <c r="K54" i="14"/>
  <c r="J54" i="14"/>
  <c r="K53" i="14"/>
  <c r="J53" i="14"/>
  <c r="K52" i="14"/>
  <c r="J52" i="14"/>
  <c r="K51" i="14"/>
  <c r="J51" i="14"/>
  <c r="K50" i="14"/>
  <c r="J50" i="14"/>
  <c r="K49" i="14"/>
  <c r="J49" i="14"/>
  <c r="K48" i="14"/>
  <c r="J48" i="14"/>
  <c r="K47" i="14"/>
  <c r="J47" i="14"/>
  <c r="K46" i="14"/>
  <c r="J46" i="14"/>
  <c r="K45" i="14"/>
  <c r="J45" i="14"/>
  <c r="J44" i="14"/>
  <c r="K44" i="14" s="1"/>
  <c r="M44" i="14" s="1"/>
  <c r="J43" i="14"/>
  <c r="K43" i="14" s="1"/>
  <c r="J42" i="14"/>
  <c r="K42" i="14" s="1"/>
  <c r="J41" i="14"/>
  <c r="K41" i="14" s="1"/>
  <c r="J40" i="14"/>
  <c r="K40" i="14" s="1"/>
  <c r="J39" i="14"/>
  <c r="K39" i="14" s="1"/>
  <c r="J38" i="14"/>
  <c r="K38" i="14" s="1"/>
  <c r="J37" i="14"/>
  <c r="K37" i="14" s="1"/>
  <c r="J36" i="14"/>
  <c r="K36" i="14" s="1"/>
  <c r="J35" i="14"/>
  <c r="K35" i="14" s="1"/>
  <c r="K34" i="14"/>
  <c r="J34" i="14"/>
  <c r="K33" i="14"/>
  <c r="J33" i="14"/>
  <c r="K32" i="14"/>
  <c r="J32" i="14"/>
  <c r="K31" i="14"/>
  <c r="J31" i="14"/>
  <c r="K30" i="14"/>
  <c r="J30" i="14"/>
  <c r="K29" i="14"/>
  <c r="J29" i="14"/>
  <c r="K28" i="14"/>
  <c r="J28" i="14"/>
  <c r="K27" i="14"/>
  <c r="J27" i="14"/>
  <c r="K26" i="14"/>
  <c r="J26" i="14"/>
  <c r="K25" i="14"/>
  <c r="J25" i="14"/>
  <c r="J24" i="14"/>
  <c r="K24" i="14" s="1"/>
  <c r="M24" i="14" s="1"/>
  <c r="J23" i="14"/>
  <c r="K23" i="14" s="1"/>
  <c r="J22" i="14"/>
  <c r="K22" i="14" s="1"/>
  <c r="J21" i="14"/>
  <c r="K21" i="14" s="1"/>
  <c r="J20" i="14"/>
  <c r="K20" i="14" s="1"/>
  <c r="J19" i="14"/>
  <c r="K19" i="14" s="1"/>
  <c r="J18" i="14"/>
  <c r="K18" i="14" s="1"/>
  <c r="J17" i="14"/>
  <c r="K17" i="14" s="1"/>
  <c r="J16" i="14"/>
  <c r="K16" i="14" s="1"/>
  <c r="J15" i="14"/>
  <c r="K15" i="14" s="1"/>
  <c r="K14" i="14"/>
  <c r="J14" i="14"/>
  <c r="K13" i="14"/>
  <c r="J13" i="14"/>
  <c r="K12" i="14"/>
  <c r="J12" i="14"/>
  <c r="K11" i="14"/>
  <c r="J11" i="14"/>
  <c r="K10" i="14"/>
  <c r="J10" i="14"/>
  <c r="K9" i="14"/>
  <c r="J9" i="14"/>
  <c r="K8" i="14"/>
  <c r="J8" i="14"/>
  <c r="K7" i="14"/>
  <c r="J7" i="14"/>
  <c r="K6" i="14"/>
  <c r="J6" i="14"/>
  <c r="K5" i="14"/>
  <c r="J5" i="14"/>
  <c r="J4" i="14"/>
  <c r="K4" i="14" s="1"/>
  <c r="M4" i="14" s="1"/>
  <c r="H2" i="12"/>
  <c r="H11" i="12"/>
  <c r="I11" i="12"/>
  <c r="H12" i="12"/>
  <c r="I12" i="12" s="1"/>
  <c r="H13" i="12"/>
  <c r="I13" i="12"/>
  <c r="H14" i="12"/>
  <c r="I14" i="12" s="1"/>
  <c r="H15" i="12"/>
  <c r="I15" i="12" s="1"/>
  <c r="H16" i="12"/>
  <c r="I16" i="12" s="1"/>
  <c r="H5" i="12"/>
  <c r="I5" i="12" s="1"/>
  <c r="H6" i="12"/>
  <c r="I6" i="12" s="1"/>
  <c r="H7" i="12"/>
  <c r="I7" i="12" s="1"/>
  <c r="H3" i="12"/>
  <c r="H107" i="12"/>
  <c r="I107" i="12" s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M34" i="14" l="1"/>
  <c r="M14" i="14"/>
  <c r="M94" i="14"/>
  <c r="M174" i="14"/>
  <c r="M74" i="14"/>
  <c r="M144" i="14"/>
  <c r="M54" i="14"/>
  <c r="M534" i="14"/>
  <c r="M624" i="14"/>
  <c r="M674" i="14"/>
  <c r="M614" i="14"/>
  <c r="M704" i="14"/>
  <c r="M314" i="14"/>
  <c r="M324" i="14"/>
  <c r="M344" i="14"/>
  <c r="M524" i="14"/>
  <c r="M694" i="14"/>
  <c r="M224" i="14"/>
  <c r="M304" i="14"/>
  <c r="M434" i="14"/>
  <c r="M604" i="14"/>
  <c r="M744" i="14"/>
  <c r="M294" i="14"/>
  <c r="M394" i="14"/>
  <c r="M404" i="14"/>
  <c r="M424" i="14"/>
  <c r="M514" i="14"/>
  <c r="M664" i="14"/>
  <c r="M234" i="14"/>
  <c r="M384" i="14"/>
  <c r="M474" i="14"/>
  <c r="M484" i="14"/>
  <c r="M504" i="14"/>
  <c r="M594" i="14"/>
  <c r="M154" i="14"/>
  <c r="M374" i="14"/>
  <c r="M464" i="14"/>
  <c r="M554" i="14"/>
  <c r="M564" i="14"/>
  <c r="M584" i="14"/>
  <c r="M684" i="14"/>
  <c r="M714" i="14"/>
  <c r="M724" i="14"/>
  <c r="F1" i="13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0" i="12"/>
  <c r="I10" i="12" s="1"/>
  <c r="H8" i="12"/>
  <c r="I8" i="12" s="1"/>
  <c r="H4" i="12"/>
  <c r="I4" i="12" s="1"/>
  <c r="I3" i="12"/>
  <c r="I2" i="12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 s="1"/>
  <c r="BP1" i="5" s="1"/>
  <c r="BO1" i="5" s="1"/>
  <c r="BE1" i="5"/>
  <c r="AO1" i="5"/>
  <c r="AN1" i="5" s="1"/>
  <c r="AM1" i="5" s="1"/>
  <c r="Y1" i="5"/>
  <c r="X1" i="5" s="1"/>
  <c r="W1" i="5" s="1"/>
  <c r="V1" i="5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 s="1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 s="1"/>
  <c r="AM1" i="3" s="1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CM10" i="3" s="1"/>
  <c r="W1" i="3"/>
  <c r="V1" i="3" s="1"/>
  <c r="U1" i="3" s="1"/>
  <c r="T1" i="3" s="1"/>
  <c r="S1" i="3" s="1"/>
  <c r="R1" i="3" s="1"/>
  <c r="Q1" i="3" s="1"/>
  <c r="P1" i="3" s="1"/>
  <c r="O1" i="3" s="1"/>
  <c r="N1" i="3" s="1"/>
  <c r="M1" i="3" s="1"/>
  <c r="L1" i="3" s="1"/>
  <c r="K1" i="3" s="1"/>
  <c r="CM30" i="5" l="1"/>
  <c r="CM62" i="5"/>
  <c r="CM58" i="5"/>
  <c r="CM34" i="5"/>
  <c r="CM66" i="5"/>
  <c r="CM10" i="5"/>
  <c r="CM42" i="5"/>
  <c r="CM14" i="5"/>
  <c r="CM46" i="5"/>
  <c r="CM39" i="5"/>
  <c r="CM18" i="5"/>
  <c r="CM50" i="5"/>
  <c r="CM22" i="5"/>
  <c r="CM54" i="5"/>
  <c r="DS62" i="3"/>
  <c r="DS59" i="3"/>
  <c r="DS10" i="3"/>
  <c r="DS56" i="3"/>
  <c r="DS1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" i="3"/>
  <c r="DS6" i="3"/>
  <c r="DS14" i="3"/>
  <c r="DS42" i="3"/>
  <c r="DS55" i="3"/>
  <c r="DS60" i="3"/>
  <c r="DS57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58" i="5"/>
  <c r="DS55" i="5"/>
  <c r="DS46" i="5"/>
  <c r="DS43" i="5"/>
  <c r="DS34" i="5"/>
  <c r="DS31" i="5"/>
  <c r="DS22" i="5"/>
  <c r="DS19" i="5"/>
  <c r="DS10" i="5"/>
  <c r="DS7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8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0" i="5"/>
  <c r="DC59" i="5"/>
  <c r="DC58" i="5"/>
  <c r="DC57" i="5"/>
  <c r="DC56" i="5"/>
  <c r="DC55" i="5"/>
  <c r="DC52" i="5"/>
  <c r="DC51" i="5"/>
  <c r="DC50" i="5"/>
  <c r="DC49" i="5"/>
  <c r="DC48" i="5"/>
  <c r="DC47" i="5"/>
  <c r="DC44" i="5"/>
  <c r="DC43" i="5"/>
  <c r="DC42" i="5"/>
  <c r="DC41" i="5"/>
  <c r="DC40" i="5"/>
  <c r="DC39" i="5"/>
  <c r="DC36" i="5"/>
  <c r="DC35" i="5"/>
  <c r="DC34" i="5"/>
  <c r="DC33" i="5"/>
  <c r="DC32" i="5"/>
  <c r="DC31" i="5"/>
  <c r="DC28" i="5"/>
  <c r="DC27" i="5"/>
  <c r="DC26" i="5"/>
  <c r="DC25" i="5"/>
  <c r="DC24" i="5"/>
  <c r="DC23" i="5"/>
  <c r="DC20" i="5"/>
  <c r="DC19" i="5"/>
  <c r="DC18" i="5"/>
  <c r="DC17" i="5"/>
  <c r="DC16" i="5"/>
  <c r="DC15" i="5"/>
  <c r="DC12" i="5"/>
  <c r="DC11" i="5"/>
  <c r="DC10" i="5"/>
  <c r="DC9" i="5"/>
  <c r="DC8" i="5"/>
  <c r="DC7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23" i="4"/>
  <c r="DC24" i="4"/>
  <c r="DC34" i="4"/>
  <c r="DC48" i="4"/>
  <c r="DC49" i="4"/>
  <c r="DC60" i="4"/>
  <c r="DC62" i="4"/>
  <c r="EI60" i="5"/>
  <c r="EI61" i="5"/>
  <c r="EI62" i="5"/>
  <c r="EI63" i="5"/>
  <c r="EI64" i="5"/>
  <c r="J1" i="13"/>
  <c r="DC47" i="4" l="1"/>
  <c r="DC5" i="5"/>
  <c r="DC13" i="5"/>
  <c r="DC21" i="5"/>
  <c r="DC29" i="5"/>
  <c r="DC37" i="5"/>
  <c r="DC45" i="5"/>
  <c r="DC53" i="5"/>
  <c r="DC61" i="5"/>
  <c r="DS8" i="5"/>
  <c r="DS20" i="5"/>
  <c r="DS32" i="5"/>
  <c r="DS44" i="5"/>
  <c r="DS56" i="5"/>
  <c r="DS38" i="4"/>
  <c r="DS52" i="3"/>
  <c r="DS47" i="3"/>
  <c r="DS63" i="3"/>
  <c r="DS51" i="3"/>
  <c r="DC38" i="4"/>
  <c r="DC6" i="5"/>
  <c r="DC14" i="5"/>
  <c r="DC22" i="5"/>
  <c r="DC30" i="5"/>
  <c r="DC38" i="5"/>
  <c r="DC46" i="5"/>
  <c r="DC54" i="5"/>
  <c r="DC62" i="5"/>
  <c r="DS9" i="5"/>
  <c r="DS21" i="5"/>
  <c r="DS33" i="5"/>
  <c r="DS45" i="5"/>
  <c r="DS57" i="5"/>
  <c r="DS59" i="4"/>
  <c r="DS50" i="3"/>
  <c r="DC9" i="4"/>
  <c r="DS11" i="5"/>
  <c r="DS23" i="5"/>
  <c r="DS35" i="5"/>
  <c r="DS47" i="5"/>
  <c r="DS59" i="5"/>
  <c r="DC10" i="4"/>
  <c r="DS12" i="5"/>
  <c r="DS24" i="5"/>
  <c r="DS36" i="5"/>
  <c r="DS48" i="5"/>
  <c r="DS60" i="5"/>
  <c r="DC19" i="4"/>
  <c r="DS5" i="5"/>
  <c r="DS17" i="5"/>
  <c r="DS29" i="5"/>
  <c r="DS41" i="5"/>
  <c r="DS53" i="5"/>
  <c r="DS65" i="5"/>
  <c r="DS53" i="3"/>
  <c r="DC20" i="4"/>
  <c r="DS6" i="5"/>
  <c r="DS18" i="5"/>
  <c r="DS30" i="5"/>
  <c r="DS42" i="5"/>
  <c r="DS54" i="5"/>
  <c r="DS66" i="5"/>
  <c r="DS50" i="4"/>
  <c r="DS48" i="4"/>
  <c r="DC36" i="4"/>
  <c r="DC46" i="4"/>
  <c r="DC37" i="4"/>
  <c r="DS62" i="4"/>
  <c r="DC35" i="4"/>
  <c r="DS17" i="4"/>
  <c r="DS35" i="4"/>
  <c r="DS47" i="4"/>
  <c r="DC27" i="4"/>
  <c r="DC58" i="4"/>
  <c r="DC26" i="4"/>
  <c r="DC59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57" i="4"/>
  <c r="DC22" i="4"/>
  <c r="DC44" i="4"/>
  <c r="DC55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1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56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N1" i="13"/>
  <c r="O141" i="13" s="1"/>
  <c r="P141" i="13" s="1"/>
  <c r="O114" i="13" l="1"/>
  <c r="P114" i="13" s="1"/>
  <c r="BL1" i="4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50" i="3"/>
  <c r="EI34" i="3"/>
  <c r="EI16" i="3"/>
  <c r="EI60" i="3"/>
  <c r="EI66" i="3"/>
  <c r="EI12" i="3"/>
  <c r="EI61" i="3"/>
  <c r="EI8" i="3"/>
  <c r="P1" i="4"/>
  <c r="EI43" i="3" l="1"/>
  <c r="EI64" i="3"/>
  <c r="EI18" i="3"/>
  <c r="EI44" i="3"/>
  <c r="EI27" i="3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31" i="3" l="1"/>
  <c r="DC27" i="3"/>
  <c r="DC54" i="3"/>
  <c r="DC48" i="3"/>
  <c r="DC52" i="3"/>
  <c r="DC25" i="3"/>
  <c r="DC20" i="3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45" i="4" l="1"/>
  <c r="EI56" i="4"/>
  <c r="EI61" i="4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25" i="4" l="1"/>
  <c r="CM62" i="4"/>
  <c r="CM3" i="4"/>
  <c r="CM59" i="4"/>
  <c r="CM8" i="4"/>
  <c r="CM10" i="4"/>
  <c r="CM26" i="4"/>
  <c r="CM46" i="4"/>
  <c r="CM18" i="4"/>
  <c r="CM13" i="4"/>
  <c r="CM14" i="4"/>
  <c r="CM60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57" i="4"/>
  <c r="CM56" i="4"/>
  <c r="CM22" i="4"/>
  <c r="CM45" i="4"/>
  <c r="CM61" i="4"/>
  <c r="CM40" i="4"/>
  <c r="CM12" i="4"/>
  <c r="CM48" i="4"/>
  <c r="CM28" i="4"/>
  <c r="CM50" i="4"/>
  <c r="CM55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58" i="4"/>
  <c r="CM16" i="4"/>
  <c r="CM44" i="4"/>
</calcChain>
</file>

<file path=xl/sharedStrings.xml><?xml version="1.0" encoding="utf-8"?>
<sst xmlns="http://schemas.openxmlformats.org/spreadsheetml/2006/main" count="3084" uniqueCount="358">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</sst>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0"/>
      <color theme="1"/>
      <name val="Verdana"/>
      <family val="2"/>
    </font>
    <font>
      <sz val="8"/>
      <color theme="1"/>
      <name val="Century Gothic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2" fillId="6" borderId="0" xfId="0" applyFont="1" applyFill="1"/>
    <xf numFmtId="0" fontId="3" fillId="0" borderId="0" xfId="0" applyFont="1"/>
    <xf numFmtId="0" fontId="4" fillId="5" borderId="0" xfId="0" applyFont="1" applyFill="1"/>
    <xf numFmtId="0" fontId="5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quotePrefix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</cellXfs>
  <cellStyles count="1">
    <cellStyle name="Normal" xfId="0" builtinId="0"/>
  </cellStyles>
  <dxfs count="339"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338" priority="19">
      <formula>K3=""</formula>
    </cfRule>
    <cfRule type="expression" dxfId="337" priority="20">
      <formula>K3&lt;&gt;""</formula>
    </cfRule>
  </conditionalFormatting>
  <conditionalFormatting sqref="BE63:BM68">
    <cfRule type="expression" dxfId="336" priority="17">
      <formula>BE63=""</formula>
    </cfRule>
    <cfRule type="expression" dxfId="335" priority="18">
      <formula>BE63&lt;&gt;""</formula>
    </cfRule>
  </conditionalFormatting>
  <conditionalFormatting sqref="AN59:AV64 AN56:AN58">
    <cfRule type="expression" dxfId="334" priority="15">
      <formula>AN56=""</formula>
    </cfRule>
    <cfRule type="expression" dxfId="333" priority="16">
      <formula>AN56&lt;&gt;""</formula>
    </cfRule>
  </conditionalFormatting>
  <conditionalFormatting sqref="AN53:AV58 AQ59:AT61 AN50:AN52">
    <cfRule type="expression" dxfId="332" priority="13">
      <formula>AN50=""</formula>
    </cfRule>
    <cfRule type="expression" dxfId="331" priority="14">
      <formula>AN50&lt;&gt;""</formula>
    </cfRule>
  </conditionalFormatting>
  <conditionalFormatting sqref="AQ47:AT55 AN47:AP52 AU47:AV52">
    <cfRule type="expression" dxfId="330" priority="11">
      <formula>AN47=""</formula>
    </cfRule>
    <cfRule type="expression" dxfId="329" priority="12">
      <formula>AN47&lt;&gt;""</formula>
    </cfRule>
  </conditionalFormatting>
  <conditionalFormatting sqref="AQ41:AV46 AQ47:AT49">
    <cfRule type="expression" dxfId="328" priority="9">
      <formula>AQ41=""</formula>
    </cfRule>
    <cfRule type="expression" dxfId="327" priority="10">
      <formula>AQ41&lt;&gt;""</formula>
    </cfRule>
  </conditionalFormatting>
  <conditionalFormatting sqref="AQ35:AU40 AQ41:AT43">
    <cfRule type="expression" dxfId="326" priority="7">
      <formula>AQ35=""</formula>
    </cfRule>
    <cfRule type="expression" dxfId="325" priority="8">
      <formula>AQ35&lt;&gt;""</formula>
    </cfRule>
  </conditionalFormatting>
  <conditionalFormatting sqref="AQ29:AU34 AQ35:AT37">
    <cfRule type="expression" dxfId="324" priority="5">
      <formula>AQ29=""</formula>
    </cfRule>
    <cfRule type="expression" dxfId="323" priority="6">
      <formula>AQ29&lt;&gt;""</formula>
    </cfRule>
  </conditionalFormatting>
  <conditionalFormatting sqref="CD63:CL66 BW3:CL62">
    <cfRule type="expression" dxfId="322" priority="3">
      <formula>BW3=""</formula>
    </cfRule>
    <cfRule type="expression" dxfId="321" priority="4">
      <formula>BW3&lt;&gt;""</formula>
    </cfRule>
  </conditionalFormatting>
  <conditionalFormatting sqref="BW63:CC68">
    <cfRule type="expression" dxfId="320" priority="1">
      <formula>BW63=""</formula>
    </cfRule>
    <cfRule type="expression" dxfId="319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tabSelected="1" zoomScale="84" zoomScaleNormal="84" workbookViewId="0">
      <selection activeCell="H16" sqref="H16"/>
    </sheetView>
  </sheetViews>
  <sheetFormatPr defaultRowHeight="9.75" customHeight="1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60" customHeight="1">
      <c r="B1" s="28">
        <v>80</v>
      </c>
      <c r="C1" s="2">
        <v>128</v>
      </c>
      <c r="D1" s="2">
        <v>64</v>
      </c>
      <c r="E1" s="2">
        <v>32</v>
      </c>
      <c r="F1" s="2">
        <v>16</v>
      </c>
      <c r="G1" s="2">
        <v>8</v>
      </c>
      <c r="P1" s="25"/>
    </row>
    <row r="2" spans="1:16" ht="9.75" customHeight="1">
      <c r="A2" s="33">
        <v>32</v>
      </c>
      <c r="B2" s="34" t="s">
        <v>215</v>
      </c>
      <c r="H2">
        <f>C2*C$1+D2*D$1+E2*E$1+F2*F$1+G2*G$1</f>
        <v>0</v>
      </c>
      <c r="I2" t="str">
        <f t="shared" ref="I2:I128" si="0">DEC2HEX(H2,2)</f>
        <v>00</v>
      </c>
      <c r="J2" s="35" t="str">
        <f>CONCATENATE("0x",I2,",0x",I3,",0x",I4,",0x",I5,",0x",I6,",0x",I7,",0x",I8,", //",B2)</f>
        <v>0x00,0x00,0x00,0x00,0x00,0x00,0x00, //sp</v>
      </c>
      <c r="P2" s="25"/>
    </row>
    <row r="3" spans="1:16" ht="9.75" customHeight="1">
      <c r="A3" s="33"/>
      <c r="B3" s="34"/>
      <c r="H3">
        <f>C3*C$1+D3*D$1+E3*E$1+F3*F$1+G3*G$1</f>
        <v>0</v>
      </c>
      <c r="I3" t="str">
        <f t="shared" si="0"/>
        <v>00</v>
      </c>
      <c r="J3" s="35"/>
      <c r="P3" s="25"/>
    </row>
    <row r="4" spans="1:16" ht="9.75" customHeight="1">
      <c r="A4" s="33"/>
      <c r="B4" s="34"/>
      <c r="H4">
        <f t="shared" ref="H4:H8" si="1">C4*C$1+D4*D$1+E4*E$1+F4*F$1+G4*G$1</f>
        <v>0</v>
      </c>
      <c r="I4" t="str">
        <f>DEC2HEX(H4,2)</f>
        <v>00</v>
      </c>
      <c r="J4" s="35"/>
      <c r="P4" s="25"/>
    </row>
    <row r="5" spans="1:16" ht="9.75" customHeight="1">
      <c r="A5" s="33"/>
      <c r="B5" s="34"/>
      <c r="H5">
        <f t="shared" ref="H5:H7" si="2">C5*C$1+D5*D$1+E5*E$1+F5*F$1+G5*G$1</f>
        <v>0</v>
      </c>
      <c r="I5" t="str">
        <f t="shared" ref="I5:I7" si="3">DEC2HEX(H5,2)</f>
        <v>00</v>
      </c>
      <c r="J5" s="35"/>
      <c r="P5" s="32"/>
    </row>
    <row r="6" spans="1:16" ht="9.75" customHeight="1">
      <c r="A6" s="33"/>
      <c r="B6" s="34"/>
      <c r="H6">
        <f t="shared" si="2"/>
        <v>0</v>
      </c>
      <c r="I6" t="str">
        <f t="shared" si="3"/>
        <v>00</v>
      </c>
      <c r="J6" s="35"/>
      <c r="P6" s="32"/>
    </row>
    <row r="7" spans="1:16" ht="9.75" customHeight="1">
      <c r="A7" s="33"/>
      <c r="B7" s="34"/>
      <c r="H7">
        <f t="shared" si="2"/>
        <v>0</v>
      </c>
      <c r="I7" t="str">
        <f t="shared" si="3"/>
        <v>00</v>
      </c>
      <c r="J7" s="35"/>
      <c r="P7" s="32"/>
    </row>
    <row r="8" spans="1:16" ht="9.75" customHeight="1">
      <c r="A8" s="33"/>
      <c r="B8" s="34"/>
      <c r="H8">
        <f t="shared" si="1"/>
        <v>0</v>
      </c>
      <c r="I8" t="str">
        <f t="shared" si="0"/>
        <v>00</v>
      </c>
      <c r="J8" s="35"/>
      <c r="P8" s="25"/>
    </row>
    <row r="9" spans="1:16" ht="9.75" customHeight="1">
      <c r="A9" s="33"/>
      <c r="B9" s="27"/>
      <c r="J9" s="25"/>
      <c r="P9" s="25"/>
    </row>
    <row r="10" spans="1:16" ht="9.75" customHeight="1">
      <c r="A10" s="33">
        <v>33</v>
      </c>
      <c r="B10" s="34" t="s">
        <v>101</v>
      </c>
      <c r="E10">
        <v>1</v>
      </c>
      <c r="H10">
        <f t="shared" ref="H10" si="4">C10*C$1+D10*D$1+E10*E$1+F10*F$1+G10*G$1</f>
        <v>32</v>
      </c>
      <c r="I10" t="str">
        <f t="shared" si="0"/>
        <v>20</v>
      </c>
      <c r="J10" s="35" t="str">
        <f>CONCATENATE("0x",I10,",0x",I11,",0x",I12,",0x",I13,",0x",I14,",0x",I15,",0x",I16,", //",B10)</f>
        <v>0x20,0x20,0x20,0x20,0x20,0x00,0x20, //!</v>
      </c>
      <c r="P10" s="25"/>
    </row>
    <row r="11" spans="1:16" ht="9.75" customHeight="1">
      <c r="A11" s="33"/>
      <c r="B11" s="34"/>
      <c r="E11">
        <v>1</v>
      </c>
      <c r="H11">
        <f t="shared" ref="H11:H16" si="5">C11*C$1+D11*D$1+E11*E$1+F11*F$1+G11*G$1</f>
        <v>32</v>
      </c>
      <c r="I11" t="str">
        <f t="shared" ref="I11:I16" si="6">DEC2HEX(H11,2)</f>
        <v>20</v>
      </c>
      <c r="J11" s="35"/>
      <c r="P11" s="25"/>
    </row>
    <row r="12" spans="1:16" ht="9.75" customHeight="1">
      <c r="A12" s="33"/>
      <c r="B12" s="34"/>
      <c r="E12">
        <v>1</v>
      </c>
      <c r="H12">
        <f t="shared" si="5"/>
        <v>32</v>
      </c>
      <c r="I12" t="str">
        <f t="shared" si="6"/>
        <v>20</v>
      </c>
      <c r="J12" s="35"/>
      <c r="P12" s="25"/>
    </row>
    <row r="13" spans="1:16" ht="9.75" customHeight="1">
      <c r="A13" s="33"/>
      <c r="B13" s="34"/>
      <c r="E13">
        <v>1</v>
      </c>
      <c r="H13">
        <f t="shared" si="5"/>
        <v>32</v>
      </c>
      <c r="I13" t="str">
        <f t="shared" si="6"/>
        <v>20</v>
      </c>
      <c r="J13" s="35"/>
      <c r="P13" s="25"/>
    </row>
    <row r="14" spans="1:16" ht="9.75" customHeight="1">
      <c r="A14" s="33"/>
      <c r="B14" s="34"/>
      <c r="E14">
        <v>1</v>
      </c>
      <c r="H14">
        <f t="shared" si="5"/>
        <v>32</v>
      </c>
      <c r="I14" t="str">
        <f t="shared" si="6"/>
        <v>20</v>
      </c>
      <c r="J14" s="35"/>
      <c r="P14" s="25"/>
    </row>
    <row r="15" spans="1:16" ht="9.75" customHeight="1">
      <c r="A15" s="33"/>
      <c r="B15" s="34"/>
      <c r="H15">
        <f t="shared" si="5"/>
        <v>0</v>
      </c>
      <c r="I15" t="str">
        <f t="shared" si="6"/>
        <v>00</v>
      </c>
      <c r="J15" s="35"/>
      <c r="P15" s="25"/>
    </row>
    <row r="16" spans="1:16" ht="9.75" customHeight="1">
      <c r="A16" s="33"/>
      <c r="B16" s="34"/>
      <c r="E16">
        <v>1</v>
      </c>
      <c r="H16">
        <f t="shared" si="5"/>
        <v>32</v>
      </c>
      <c r="I16" t="str">
        <f t="shared" si="6"/>
        <v>20</v>
      </c>
      <c r="J16" s="35"/>
      <c r="P16" s="25"/>
    </row>
    <row r="17" spans="1:16" ht="9.75" customHeight="1">
      <c r="A17" s="33"/>
      <c r="B17" s="27"/>
      <c r="J17" s="25"/>
      <c r="P17" s="25"/>
    </row>
    <row r="18" spans="1:16" ht="9.75" customHeight="1">
      <c r="A18" s="33">
        <v>34</v>
      </c>
      <c r="B18" s="34" t="s">
        <v>102</v>
      </c>
      <c r="D18">
        <v>1</v>
      </c>
      <c r="F18">
        <v>1</v>
      </c>
      <c r="H18">
        <f t="shared" ref="H18:H24" si="7">C18*C$1+D18*D$1+E18*E$1+F18*F$1+G18*G$1</f>
        <v>80</v>
      </c>
      <c r="I18" t="str">
        <f t="shared" si="0"/>
        <v>50</v>
      </c>
      <c r="J18" s="35" t="str">
        <f>CONCATENATE("0x",I18,",0x",I19,",0x",I20,",0x",I21,",0x",I22,",0x",I23,",0x",I24,", //",B18)</f>
        <v>0x50,0x50,0x50,0x00,0x00,0x00,0x00, //"</v>
      </c>
      <c r="P18" s="25"/>
    </row>
    <row r="19" spans="1:16" ht="9.75" customHeight="1">
      <c r="A19" s="33"/>
      <c r="B19" s="34"/>
      <c r="D19">
        <v>1</v>
      </c>
      <c r="F19">
        <v>1</v>
      </c>
      <c r="H19">
        <f t="shared" si="7"/>
        <v>80</v>
      </c>
      <c r="I19" t="str">
        <f t="shared" si="0"/>
        <v>50</v>
      </c>
      <c r="J19" s="35"/>
      <c r="P19" s="25"/>
    </row>
    <row r="20" spans="1:16" ht="9.75" customHeight="1">
      <c r="A20" s="33"/>
      <c r="B20" s="34"/>
      <c r="D20">
        <v>1</v>
      </c>
      <c r="F20">
        <v>1</v>
      </c>
      <c r="H20">
        <f t="shared" si="7"/>
        <v>80</v>
      </c>
      <c r="I20" t="str">
        <f t="shared" si="0"/>
        <v>50</v>
      </c>
      <c r="J20" s="35"/>
      <c r="P20" s="25"/>
    </row>
    <row r="21" spans="1:16" ht="9.75" customHeight="1">
      <c r="A21" s="33"/>
      <c r="B21" s="34"/>
      <c r="H21">
        <f t="shared" si="7"/>
        <v>0</v>
      </c>
      <c r="I21" t="str">
        <f t="shared" si="0"/>
        <v>00</v>
      </c>
      <c r="J21" s="35"/>
      <c r="P21" s="25"/>
    </row>
    <row r="22" spans="1:16" ht="9.75" customHeight="1">
      <c r="A22" s="33"/>
      <c r="B22" s="34"/>
      <c r="H22">
        <f t="shared" si="7"/>
        <v>0</v>
      </c>
      <c r="I22" t="str">
        <f t="shared" si="0"/>
        <v>00</v>
      </c>
      <c r="J22" s="35"/>
      <c r="P22" s="25"/>
    </row>
    <row r="23" spans="1:16" ht="9.75" customHeight="1">
      <c r="A23" s="33"/>
      <c r="B23" s="34"/>
      <c r="H23">
        <f t="shared" si="7"/>
        <v>0</v>
      </c>
      <c r="I23" t="str">
        <f t="shared" si="0"/>
        <v>00</v>
      </c>
      <c r="J23" s="35"/>
      <c r="P23" s="25"/>
    </row>
    <row r="24" spans="1:16" ht="9.75" customHeight="1">
      <c r="A24" s="33"/>
      <c r="B24" s="34"/>
      <c r="H24">
        <f t="shared" si="7"/>
        <v>0</v>
      </c>
      <c r="I24" t="str">
        <f t="shared" si="0"/>
        <v>00</v>
      </c>
      <c r="J24" s="35"/>
      <c r="P24" s="25"/>
    </row>
    <row r="25" spans="1:16" ht="9.75" customHeight="1">
      <c r="A25" s="33"/>
      <c r="B25" s="27"/>
      <c r="J25" s="25"/>
      <c r="P25" s="25"/>
    </row>
    <row r="26" spans="1:16" ht="9.75" customHeight="1">
      <c r="A26" s="33">
        <v>35</v>
      </c>
      <c r="B26" s="34" t="s">
        <v>103</v>
      </c>
      <c r="F26">
        <v>1</v>
      </c>
      <c r="H26">
        <f t="shared" ref="H26:H32" si="8">C26*C$1+D26*D$1+E26*E$1+F26*F$1+G26*G$1</f>
        <v>16</v>
      </c>
      <c r="I26" t="str">
        <f t="shared" si="0"/>
        <v>10</v>
      </c>
      <c r="J26" s="35" t="str">
        <f>CONCATENATE("0x",I26,",0x",I27,",0x",I28,",0x",I29,",0x",I30,",0x",I31,",0x",I32,", //",B26)</f>
        <v>0x10,0x30,0x70,0xF0,0x70,0x30,0x10, //#</v>
      </c>
      <c r="P26" s="25"/>
    </row>
    <row r="27" spans="1:16" ht="9.75" customHeight="1">
      <c r="A27" s="33"/>
      <c r="B27" s="34"/>
      <c r="E27">
        <v>1</v>
      </c>
      <c r="F27">
        <v>1</v>
      </c>
      <c r="H27">
        <f t="shared" si="8"/>
        <v>48</v>
      </c>
      <c r="I27" t="str">
        <f t="shared" si="0"/>
        <v>30</v>
      </c>
      <c r="J27" s="35"/>
      <c r="P27" s="25"/>
    </row>
    <row r="28" spans="1:16" ht="9.75" customHeight="1">
      <c r="A28" s="33"/>
      <c r="B28" s="34"/>
      <c r="D28">
        <v>1</v>
      </c>
      <c r="E28">
        <v>1</v>
      </c>
      <c r="F28">
        <v>1</v>
      </c>
      <c r="H28">
        <f t="shared" si="8"/>
        <v>112</v>
      </c>
      <c r="I28" t="str">
        <f t="shared" si="0"/>
        <v>70</v>
      </c>
      <c r="J28" s="35"/>
      <c r="P28" s="25"/>
    </row>
    <row r="29" spans="1:16" ht="9.75" customHeight="1">
      <c r="A29" s="33"/>
      <c r="B29" s="34"/>
      <c r="C29">
        <v>1</v>
      </c>
      <c r="D29">
        <v>1</v>
      </c>
      <c r="E29">
        <v>1</v>
      </c>
      <c r="F29">
        <v>1</v>
      </c>
      <c r="H29">
        <f t="shared" si="8"/>
        <v>240</v>
      </c>
      <c r="I29" t="str">
        <f t="shared" si="0"/>
        <v>F0</v>
      </c>
      <c r="J29" s="35"/>
      <c r="P29" s="25"/>
    </row>
    <row r="30" spans="1:16" ht="9.75" customHeight="1">
      <c r="A30" s="33"/>
      <c r="B30" s="34"/>
      <c r="D30">
        <v>1</v>
      </c>
      <c r="E30">
        <v>1</v>
      </c>
      <c r="F30">
        <v>1</v>
      </c>
      <c r="H30">
        <f t="shared" si="8"/>
        <v>112</v>
      </c>
      <c r="I30" t="str">
        <f t="shared" si="0"/>
        <v>70</v>
      </c>
      <c r="J30" s="35"/>
      <c r="P30" s="25"/>
    </row>
    <row r="31" spans="1:16" ht="9.75" customHeight="1">
      <c r="A31" s="33"/>
      <c r="B31" s="34"/>
      <c r="E31">
        <v>1</v>
      </c>
      <c r="F31">
        <v>1</v>
      </c>
      <c r="H31">
        <f t="shared" si="8"/>
        <v>48</v>
      </c>
      <c r="I31" t="str">
        <f t="shared" si="0"/>
        <v>30</v>
      </c>
      <c r="J31" s="35"/>
      <c r="P31" s="25"/>
    </row>
    <row r="32" spans="1:16" ht="9.75" customHeight="1">
      <c r="A32" s="33"/>
      <c r="B32" s="34"/>
      <c r="F32">
        <v>1</v>
      </c>
      <c r="H32">
        <f t="shared" si="8"/>
        <v>16</v>
      </c>
      <c r="I32" t="str">
        <f t="shared" si="0"/>
        <v>10</v>
      </c>
      <c r="J32" s="35"/>
      <c r="P32" s="25"/>
    </row>
    <row r="33" spans="1:16" ht="9.75" customHeight="1">
      <c r="A33" s="33"/>
      <c r="B33" s="27"/>
      <c r="J33" s="25"/>
      <c r="P33" s="25"/>
    </row>
    <row r="34" spans="1:16" ht="9.75" customHeight="1">
      <c r="A34" s="33">
        <v>36</v>
      </c>
      <c r="B34" s="34" t="s">
        <v>104</v>
      </c>
      <c r="H34">
        <f t="shared" ref="H34:H40" si="9">C34*C$1+D34*D$1+E34*E$1+F34*F$1+G34*G$1</f>
        <v>0</v>
      </c>
      <c r="I34" t="str">
        <f t="shared" si="0"/>
        <v>00</v>
      </c>
      <c r="J34" s="35" t="str">
        <f>CONCATENATE("0x",I34,",0x",I35,",0x",I36,",0x",I37,",0x",I38,",0x",I39,",0x",I40,", //",B34)</f>
        <v>0x00,0x20,0x20,0x70,0x70,0xF8,0xF8, //$</v>
      </c>
      <c r="P34" s="25"/>
    </row>
    <row r="35" spans="1:16" ht="9.75" customHeight="1">
      <c r="A35" s="33"/>
      <c r="B35" s="34"/>
      <c r="E35">
        <v>1</v>
      </c>
      <c r="H35">
        <f t="shared" si="9"/>
        <v>32</v>
      </c>
      <c r="I35" t="str">
        <f t="shared" si="0"/>
        <v>20</v>
      </c>
      <c r="J35" s="35"/>
      <c r="P35" s="25"/>
    </row>
    <row r="36" spans="1:16" ht="9.75" customHeight="1">
      <c r="A36" s="33"/>
      <c r="B36" s="34"/>
      <c r="E36">
        <v>1</v>
      </c>
      <c r="H36">
        <f t="shared" si="9"/>
        <v>32</v>
      </c>
      <c r="I36" t="str">
        <f t="shared" si="0"/>
        <v>20</v>
      </c>
      <c r="J36" s="35"/>
      <c r="P36" s="25"/>
    </row>
    <row r="37" spans="1:16" ht="9.75" customHeight="1">
      <c r="A37" s="33"/>
      <c r="B37" s="34"/>
      <c r="D37">
        <v>1</v>
      </c>
      <c r="E37">
        <v>1</v>
      </c>
      <c r="F37">
        <v>1</v>
      </c>
      <c r="H37">
        <f t="shared" si="9"/>
        <v>112</v>
      </c>
      <c r="I37" t="str">
        <f t="shared" si="0"/>
        <v>70</v>
      </c>
      <c r="J37" s="35"/>
      <c r="P37" s="25"/>
    </row>
    <row r="38" spans="1:16" ht="9.75" customHeight="1">
      <c r="A38" s="33"/>
      <c r="B38" s="34"/>
      <c r="D38">
        <v>1</v>
      </c>
      <c r="E38">
        <v>1</v>
      </c>
      <c r="F38">
        <v>1</v>
      </c>
      <c r="H38">
        <f t="shared" si="9"/>
        <v>112</v>
      </c>
      <c r="I38" t="str">
        <f t="shared" si="0"/>
        <v>70</v>
      </c>
      <c r="J38" s="35"/>
      <c r="P38" s="25"/>
    </row>
    <row r="39" spans="1:16" ht="9.75" customHeight="1">
      <c r="A39" s="33"/>
      <c r="B39" s="34"/>
      <c r="C39">
        <v>1</v>
      </c>
      <c r="D39">
        <v>1</v>
      </c>
      <c r="E39">
        <v>1</v>
      </c>
      <c r="F39">
        <v>1</v>
      </c>
      <c r="G39">
        <v>1</v>
      </c>
      <c r="H39">
        <f t="shared" si="9"/>
        <v>248</v>
      </c>
      <c r="I39" t="str">
        <f t="shared" si="0"/>
        <v>F8</v>
      </c>
      <c r="J39" s="35"/>
      <c r="P39" s="25"/>
    </row>
    <row r="40" spans="1:16" ht="9.75" customHeight="1">
      <c r="A40" s="33"/>
      <c r="B40" s="34"/>
      <c r="C40">
        <v>1</v>
      </c>
      <c r="D40">
        <v>1</v>
      </c>
      <c r="E40">
        <v>1</v>
      </c>
      <c r="F40">
        <v>1</v>
      </c>
      <c r="G40">
        <v>1</v>
      </c>
      <c r="H40">
        <f t="shared" si="9"/>
        <v>248</v>
      </c>
      <c r="I40" t="str">
        <f t="shared" si="0"/>
        <v>F8</v>
      </c>
      <c r="J40" s="35"/>
      <c r="P40" s="25"/>
    </row>
    <row r="41" spans="1:16" ht="9.75" customHeight="1">
      <c r="A41" s="33"/>
      <c r="B41" s="27"/>
      <c r="J41" s="25"/>
      <c r="P41" s="25"/>
    </row>
    <row r="42" spans="1:16" ht="9.75" customHeight="1">
      <c r="A42" s="33">
        <v>37</v>
      </c>
      <c r="B42" s="34" t="s">
        <v>105</v>
      </c>
      <c r="D42">
        <v>1</v>
      </c>
      <c r="G42">
        <v>1</v>
      </c>
      <c r="H42">
        <f t="shared" ref="H42:H48" si="10">C42*C$1+D42*D$1+E42*E$1+F42*F$1+G42*G$1</f>
        <v>72</v>
      </c>
      <c r="I42" t="str">
        <f t="shared" si="0"/>
        <v>48</v>
      </c>
      <c r="J42" s="35" t="str">
        <f>CONCATENATE("0x",I42,",0x",I43,",0x",I44,",0x",I45,",0x",I46,",0x",I47,",0x",I48,", //",B42)</f>
        <v>0x48,0xA8,0x50,0x20,0x50,0xA8,0x90, //%</v>
      </c>
      <c r="P42" s="25"/>
    </row>
    <row r="43" spans="1:16" ht="9.75" customHeight="1">
      <c r="A43" s="33"/>
      <c r="B43" s="34"/>
      <c r="C43">
        <v>1</v>
      </c>
      <c r="E43">
        <v>1</v>
      </c>
      <c r="G43">
        <v>1</v>
      </c>
      <c r="H43">
        <f t="shared" si="10"/>
        <v>168</v>
      </c>
      <c r="I43" t="str">
        <f t="shared" si="0"/>
        <v>A8</v>
      </c>
      <c r="J43" s="35"/>
      <c r="P43" s="25"/>
    </row>
    <row r="44" spans="1:16" ht="9.75" customHeight="1">
      <c r="A44" s="33"/>
      <c r="B44" s="34"/>
      <c r="D44">
        <v>1</v>
      </c>
      <c r="F44">
        <v>1</v>
      </c>
      <c r="H44">
        <f t="shared" si="10"/>
        <v>80</v>
      </c>
      <c r="I44" t="str">
        <f t="shared" si="0"/>
        <v>50</v>
      </c>
      <c r="J44" s="35"/>
      <c r="P44" s="25"/>
    </row>
    <row r="45" spans="1:16" ht="9.75" customHeight="1">
      <c r="A45" s="33"/>
      <c r="B45" s="34"/>
      <c r="E45">
        <v>1</v>
      </c>
      <c r="H45">
        <f t="shared" si="10"/>
        <v>32</v>
      </c>
      <c r="I45" t="str">
        <f t="shared" si="0"/>
        <v>20</v>
      </c>
      <c r="J45" s="35"/>
      <c r="P45" s="25"/>
    </row>
    <row r="46" spans="1:16" ht="9.75" customHeight="1">
      <c r="A46" s="33"/>
      <c r="B46" s="34"/>
      <c r="D46">
        <v>1</v>
      </c>
      <c r="F46">
        <v>1</v>
      </c>
      <c r="H46">
        <f t="shared" si="10"/>
        <v>80</v>
      </c>
      <c r="I46" t="str">
        <f t="shared" si="0"/>
        <v>50</v>
      </c>
      <c r="J46" s="35"/>
      <c r="P46" s="25"/>
    </row>
    <row r="47" spans="1:16" ht="9.75" customHeight="1">
      <c r="A47" s="33"/>
      <c r="B47" s="34"/>
      <c r="C47">
        <v>1</v>
      </c>
      <c r="E47">
        <v>1</v>
      </c>
      <c r="G47">
        <v>1</v>
      </c>
      <c r="H47">
        <f t="shared" si="10"/>
        <v>168</v>
      </c>
      <c r="I47" t="str">
        <f t="shared" si="0"/>
        <v>A8</v>
      </c>
      <c r="J47" s="35"/>
      <c r="P47" s="25"/>
    </row>
    <row r="48" spans="1:16" ht="9.75" customHeight="1">
      <c r="A48" s="33"/>
      <c r="B48" s="34"/>
      <c r="C48">
        <v>1</v>
      </c>
      <c r="F48">
        <v>1</v>
      </c>
      <c r="H48">
        <f t="shared" si="10"/>
        <v>144</v>
      </c>
      <c r="I48" t="str">
        <f t="shared" si="0"/>
        <v>90</v>
      </c>
      <c r="J48" s="35"/>
      <c r="P48" s="25"/>
    </row>
    <row r="49" spans="1:16" ht="9.75" customHeight="1">
      <c r="A49" s="33"/>
      <c r="B49" s="27"/>
      <c r="J49" s="25"/>
      <c r="P49" s="25"/>
    </row>
    <row r="50" spans="1:16" ht="9.75" customHeight="1">
      <c r="A50" s="33">
        <v>38</v>
      </c>
      <c r="B50" s="36" t="s">
        <v>106</v>
      </c>
      <c r="H50">
        <f t="shared" ref="H50:H56" si="11">C50*C$1+D50*D$1+E50*E$1+F50*F$1+G50*G$1</f>
        <v>0</v>
      </c>
      <c r="I50" t="str">
        <f t="shared" si="0"/>
        <v>00</v>
      </c>
      <c r="J50" s="35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>
      <c r="A51" s="33"/>
      <c r="B51" s="34"/>
      <c r="C51">
        <v>1</v>
      </c>
      <c r="D51">
        <v>1</v>
      </c>
      <c r="E51">
        <v>1</v>
      </c>
      <c r="F51">
        <v>1</v>
      </c>
      <c r="G51">
        <v>1</v>
      </c>
      <c r="H51">
        <f t="shared" si="11"/>
        <v>248</v>
      </c>
      <c r="I51" t="str">
        <f t="shared" si="0"/>
        <v>F8</v>
      </c>
      <c r="J51" s="35"/>
      <c r="P51" s="25"/>
    </row>
    <row r="52" spans="1:16" ht="9.75" customHeight="1">
      <c r="A52" s="33"/>
      <c r="B52" s="34"/>
      <c r="C52">
        <v>1</v>
      </c>
      <c r="D52">
        <v>1</v>
      </c>
      <c r="E52">
        <v>1</v>
      </c>
      <c r="F52">
        <v>1</v>
      </c>
      <c r="G52">
        <v>1</v>
      </c>
      <c r="H52">
        <f t="shared" si="11"/>
        <v>248</v>
      </c>
      <c r="I52" t="str">
        <f t="shared" si="0"/>
        <v>F8</v>
      </c>
      <c r="J52" s="35"/>
      <c r="P52" s="25"/>
    </row>
    <row r="53" spans="1:16" ht="9.75" customHeight="1">
      <c r="A53" s="33"/>
      <c r="B53" s="34"/>
      <c r="D53">
        <v>1</v>
      </c>
      <c r="E53">
        <v>1</v>
      </c>
      <c r="F53">
        <v>1</v>
      </c>
      <c r="H53">
        <f t="shared" si="11"/>
        <v>112</v>
      </c>
      <c r="I53" t="str">
        <f t="shared" si="0"/>
        <v>70</v>
      </c>
      <c r="J53" s="35"/>
      <c r="P53" s="25"/>
    </row>
    <row r="54" spans="1:16" ht="9.75" customHeight="1">
      <c r="A54" s="33"/>
      <c r="B54" s="34"/>
      <c r="D54">
        <v>1</v>
      </c>
      <c r="E54">
        <v>1</v>
      </c>
      <c r="F54">
        <v>1</v>
      </c>
      <c r="H54">
        <f t="shared" si="11"/>
        <v>112</v>
      </c>
      <c r="I54" t="str">
        <f t="shared" si="0"/>
        <v>70</v>
      </c>
      <c r="J54" s="35"/>
      <c r="P54" s="25"/>
    </row>
    <row r="55" spans="1:16" ht="9.75" customHeight="1">
      <c r="A55" s="33"/>
      <c r="B55" s="34"/>
      <c r="E55">
        <v>1</v>
      </c>
      <c r="H55">
        <f t="shared" si="11"/>
        <v>32</v>
      </c>
      <c r="I55" t="str">
        <f t="shared" si="0"/>
        <v>20</v>
      </c>
      <c r="J55" s="35"/>
      <c r="P55" s="25"/>
    </row>
    <row r="56" spans="1:16" ht="9.75" customHeight="1">
      <c r="A56" s="33"/>
      <c r="B56" s="34"/>
      <c r="E56">
        <v>1</v>
      </c>
      <c r="H56">
        <f t="shared" si="11"/>
        <v>32</v>
      </c>
      <c r="I56" t="str">
        <f t="shared" si="0"/>
        <v>20</v>
      </c>
      <c r="J56" s="35"/>
      <c r="P56" s="25"/>
    </row>
    <row r="57" spans="1:16" ht="9.75" customHeight="1">
      <c r="A57" s="33"/>
      <c r="B57" s="27"/>
      <c r="J57" s="25"/>
      <c r="P57" s="25"/>
    </row>
    <row r="58" spans="1:16" ht="9.75" customHeight="1">
      <c r="A58" s="33">
        <v>39</v>
      </c>
      <c r="B58" s="36" t="s">
        <v>356</v>
      </c>
      <c r="E58">
        <v>1</v>
      </c>
      <c r="H58">
        <f t="shared" ref="H58:H64" si="12">C58*C$1+D58*D$1+E58*E$1+F58*F$1+G58*G$1</f>
        <v>32</v>
      </c>
      <c r="I58" t="str">
        <f t="shared" si="0"/>
        <v>20</v>
      </c>
      <c r="J58" s="35" t="str">
        <f>CONCATENATE("0x",I58,",0x",I59,",0x",I60,",0x",I61,",0x",I62,",0x",I63,",0x",I64,", //",B58)</f>
        <v>0x20,0x20,0x20,0x00,0x00,0x00,0x00, //'</v>
      </c>
      <c r="P58" s="25"/>
    </row>
    <row r="59" spans="1:16" ht="9.75" customHeight="1">
      <c r="A59" s="33"/>
      <c r="B59" s="34"/>
      <c r="E59">
        <v>1</v>
      </c>
      <c r="H59">
        <f t="shared" si="12"/>
        <v>32</v>
      </c>
      <c r="I59" t="str">
        <f t="shared" si="0"/>
        <v>20</v>
      </c>
      <c r="J59" s="35"/>
      <c r="P59" s="25"/>
    </row>
    <row r="60" spans="1:16" ht="9.75" customHeight="1">
      <c r="A60" s="33"/>
      <c r="B60" s="34"/>
      <c r="E60">
        <v>1</v>
      </c>
      <c r="H60">
        <f t="shared" si="12"/>
        <v>32</v>
      </c>
      <c r="I60" t="str">
        <f t="shared" si="0"/>
        <v>20</v>
      </c>
      <c r="J60" s="35"/>
      <c r="P60" s="25"/>
    </row>
    <row r="61" spans="1:16" ht="9.75" customHeight="1">
      <c r="A61" s="33"/>
      <c r="B61" s="34"/>
      <c r="H61">
        <f t="shared" si="12"/>
        <v>0</v>
      </c>
      <c r="I61" t="str">
        <f t="shared" si="0"/>
        <v>00</v>
      </c>
      <c r="J61" s="35"/>
      <c r="P61" s="25"/>
    </row>
    <row r="62" spans="1:16" ht="9.75" customHeight="1">
      <c r="A62" s="33"/>
      <c r="B62" s="34"/>
      <c r="H62">
        <f t="shared" si="12"/>
        <v>0</v>
      </c>
      <c r="I62" t="str">
        <f t="shared" si="0"/>
        <v>00</v>
      </c>
      <c r="J62" s="35"/>
      <c r="P62" s="25"/>
    </row>
    <row r="63" spans="1:16" ht="9.75" customHeight="1">
      <c r="A63" s="33"/>
      <c r="B63" s="34"/>
      <c r="H63">
        <f t="shared" si="12"/>
        <v>0</v>
      </c>
      <c r="I63" t="str">
        <f t="shared" si="0"/>
        <v>00</v>
      </c>
      <c r="J63" s="35"/>
      <c r="P63" s="25"/>
    </row>
    <row r="64" spans="1:16" ht="9.75" customHeight="1">
      <c r="A64" s="33"/>
      <c r="B64" s="34"/>
      <c r="H64">
        <f t="shared" si="12"/>
        <v>0</v>
      </c>
      <c r="I64" t="str">
        <f t="shared" si="0"/>
        <v>00</v>
      </c>
      <c r="J64" s="35"/>
      <c r="P64" s="25"/>
    </row>
    <row r="65" spans="1:16" ht="9.75" customHeight="1">
      <c r="A65" s="33"/>
      <c r="B65" s="27"/>
      <c r="J65" s="25"/>
      <c r="P65" s="25"/>
    </row>
    <row r="66" spans="1:16" ht="9.75" customHeight="1">
      <c r="A66" s="33">
        <v>40</v>
      </c>
      <c r="B66" s="34" t="s">
        <v>107</v>
      </c>
      <c r="F66">
        <v>1</v>
      </c>
      <c r="H66">
        <f t="shared" ref="H66:H72" si="13">C66*C$1+D66*D$1+E66*E$1+F66*F$1+G66*G$1</f>
        <v>16</v>
      </c>
      <c r="I66" t="str">
        <f t="shared" si="0"/>
        <v>10</v>
      </c>
      <c r="J66" s="35" t="str">
        <f>CONCATENATE("0x",I66,",0x",I67,",0x",I68,",0x",I69,",0x",I70,",0x",I71,",0x",I72,", //",B66)</f>
        <v>0x10,0x20,0x40,0x40,0x40,0x20,0x10, //(</v>
      </c>
      <c r="P66" s="25"/>
    </row>
    <row r="67" spans="1:16" ht="9.75" customHeight="1">
      <c r="A67" s="33"/>
      <c r="B67" s="34"/>
      <c r="E67">
        <v>1</v>
      </c>
      <c r="H67">
        <f t="shared" si="13"/>
        <v>32</v>
      </c>
      <c r="I67" t="str">
        <f t="shared" si="0"/>
        <v>20</v>
      </c>
      <c r="J67" s="35"/>
      <c r="P67" s="25"/>
    </row>
    <row r="68" spans="1:16" ht="9.75" customHeight="1">
      <c r="A68" s="33"/>
      <c r="B68" s="34"/>
      <c r="D68">
        <v>1</v>
      </c>
      <c r="H68">
        <f t="shared" si="13"/>
        <v>64</v>
      </c>
      <c r="I68" t="str">
        <f t="shared" si="0"/>
        <v>40</v>
      </c>
      <c r="J68" s="35"/>
      <c r="P68" s="25"/>
    </row>
    <row r="69" spans="1:16" ht="9.75" customHeight="1">
      <c r="A69" s="33"/>
      <c r="B69" s="34"/>
      <c r="D69">
        <v>1</v>
      </c>
      <c r="H69">
        <f t="shared" si="13"/>
        <v>64</v>
      </c>
      <c r="I69" t="str">
        <f t="shared" si="0"/>
        <v>40</v>
      </c>
      <c r="J69" s="35"/>
      <c r="P69" s="25"/>
    </row>
    <row r="70" spans="1:16" ht="9.75" customHeight="1">
      <c r="A70" s="33"/>
      <c r="B70" s="34"/>
      <c r="D70">
        <v>1</v>
      </c>
      <c r="H70">
        <f t="shared" si="13"/>
        <v>64</v>
      </c>
      <c r="I70" t="str">
        <f t="shared" si="0"/>
        <v>40</v>
      </c>
      <c r="J70" s="35"/>
    </row>
    <row r="71" spans="1:16" ht="9.75" customHeight="1">
      <c r="A71" s="33"/>
      <c r="B71" s="34"/>
      <c r="E71">
        <v>1</v>
      </c>
      <c r="H71">
        <f t="shared" si="13"/>
        <v>32</v>
      </c>
      <c r="I71" t="str">
        <f t="shared" si="0"/>
        <v>20</v>
      </c>
      <c r="J71" s="35"/>
    </row>
    <row r="72" spans="1:16" ht="9.75" customHeight="1">
      <c r="A72" s="33"/>
      <c r="B72" s="34"/>
      <c r="F72">
        <v>1</v>
      </c>
      <c r="H72">
        <f t="shared" si="13"/>
        <v>16</v>
      </c>
      <c r="I72" t="str">
        <f t="shared" si="0"/>
        <v>10</v>
      </c>
      <c r="J72" s="35"/>
    </row>
    <row r="73" spans="1:16" ht="9.75" customHeight="1">
      <c r="A73" s="33"/>
      <c r="B73" s="27"/>
      <c r="J73" s="25"/>
    </row>
    <row r="74" spans="1:16" ht="9.75" customHeight="1">
      <c r="A74" s="33">
        <v>41</v>
      </c>
      <c r="B74" s="34" t="s">
        <v>108</v>
      </c>
      <c r="D74">
        <v>1</v>
      </c>
      <c r="H74">
        <f t="shared" ref="H74:H80" si="14">C74*C$1+D74*D$1+E74*E$1+F74*F$1+G74*G$1</f>
        <v>64</v>
      </c>
      <c r="I74" t="str">
        <f t="shared" si="0"/>
        <v>40</v>
      </c>
      <c r="J74" s="35" t="str">
        <f>CONCATENATE("0x",I74,",0x",I75,",0x",I76,",0x",I77,",0x",I78,",0x",I79,",0x",I80,", //",B74)</f>
        <v>0x40,0x20,0x10,0x10,0x10,0x20,0x40, //)</v>
      </c>
    </row>
    <row r="75" spans="1:16" ht="9.75" customHeight="1">
      <c r="A75" s="33"/>
      <c r="B75" s="34"/>
      <c r="E75">
        <v>1</v>
      </c>
      <c r="H75">
        <f t="shared" si="14"/>
        <v>32</v>
      </c>
      <c r="I75" t="str">
        <f t="shared" si="0"/>
        <v>20</v>
      </c>
      <c r="J75" s="35"/>
    </row>
    <row r="76" spans="1:16" ht="9.75" customHeight="1">
      <c r="A76" s="33"/>
      <c r="B76" s="34"/>
      <c r="F76">
        <v>1</v>
      </c>
      <c r="H76">
        <f t="shared" si="14"/>
        <v>16</v>
      </c>
      <c r="I76" t="str">
        <f t="shared" si="0"/>
        <v>10</v>
      </c>
      <c r="J76" s="35"/>
    </row>
    <row r="77" spans="1:16" ht="9.75" customHeight="1">
      <c r="A77" s="33"/>
      <c r="B77" s="34"/>
      <c r="F77">
        <v>1</v>
      </c>
      <c r="H77">
        <f t="shared" si="14"/>
        <v>16</v>
      </c>
      <c r="I77" t="str">
        <f t="shared" si="0"/>
        <v>10</v>
      </c>
      <c r="J77" s="35"/>
    </row>
    <row r="78" spans="1:16" ht="9.75" customHeight="1">
      <c r="A78" s="33"/>
      <c r="B78" s="34"/>
      <c r="F78">
        <v>1</v>
      </c>
      <c r="H78">
        <f t="shared" si="14"/>
        <v>16</v>
      </c>
      <c r="I78" t="str">
        <f t="shared" si="0"/>
        <v>10</v>
      </c>
      <c r="J78" s="35"/>
    </row>
    <row r="79" spans="1:16" ht="9.75" customHeight="1">
      <c r="A79" s="33"/>
      <c r="B79" s="34"/>
      <c r="E79">
        <v>1</v>
      </c>
      <c r="H79">
        <f t="shared" si="14"/>
        <v>32</v>
      </c>
      <c r="I79" t="str">
        <f t="shared" si="0"/>
        <v>20</v>
      </c>
      <c r="J79" s="35"/>
    </row>
    <row r="80" spans="1:16" ht="9.75" customHeight="1">
      <c r="A80" s="33"/>
      <c r="B80" s="34"/>
      <c r="D80">
        <v>1</v>
      </c>
      <c r="H80">
        <f t="shared" si="14"/>
        <v>64</v>
      </c>
      <c r="I80" t="str">
        <f t="shared" si="0"/>
        <v>40</v>
      </c>
      <c r="J80" s="35"/>
    </row>
    <row r="81" spans="1:10" ht="9.75" customHeight="1">
      <c r="A81" s="33"/>
      <c r="B81" s="27"/>
      <c r="J81" s="25"/>
    </row>
    <row r="82" spans="1:10" ht="9.75" customHeight="1">
      <c r="A82" s="33">
        <v>42</v>
      </c>
      <c r="B82" s="34" t="s">
        <v>109</v>
      </c>
      <c r="H82">
        <f t="shared" ref="H82:H88" si="15">C82*C$1+D82*D$1+E82*E$1+F82*F$1+G82*G$1</f>
        <v>0</v>
      </c>
      <c r="I82" t="str">
        <f t="shared" si="0"/>
        <v>00</v>
      </c>
      <c r="J82" s="35" t="str">
        <f>CONCATENATE("0x",I82,",0x",I83,",0x",I84,",0x",I85,",0x",I86,",0x",I87,",0x",I88,", //",B82)</f>
        <v>0x00,0xF8,0x00,0xF8,0x00,0xF8,0x00, //*</v>
      </c>
    </row>
    <row r="83" spans="1:10" ht="9.75" customHeight="1">
      <c r="A83" s="33"/>
      <c r="B83" s="34"/>
      <c r="C83">
        <v>1</v>
      </c>
      <c r="D83">
        <v>1</v>
      </c>
      <c r="E83">
        <v>1</v>
      </c>
      <c r="F83">
        <v>1</v>
      </c>
      <c r="G83">
        <v>1</v>
      </c>
      <c r="H83">
        <f t="shared" si="15"/>
        <v>248</v>
      </c>
      <c r="I83" t="str">
        <f t="shared" si="0"/>
        <v>F8</v>
      </c>
      <c r="J83" s="35"/>
    </row>
    <row r="84" spans="1:10" ht="9.75" customHeight="1">
      <c r="A84" s="33"/>
      <c r="B84" s="34"/>
      <c r="H84">
        <f t="shared" si="15"/>
        <v>0</v>
      </c>
      <c r="I84" t="str">
        <f t="shared" si="0"/>
        <v>00</v>
      </c>
      <c r="J84" s="35"/>
    </row>
    <row r="85" spans="1:10" ht="9.75" customHeight="1">
      <c r="A85" s="33"/>
      <c r="B85" s="34"/>
      <c r="C85">
        <v>1</v>
      </c>
      <c r="D85">
        <v>1</v>
      </c>
      <c r="E85">
        <v>1</v>
      </c>
      <c r="F85">
        <v>1</v>
      </c>
      <c r="G85">
        <v>1</v>
      </c>
      <c r="H85">
        <f t="shared" si="15"/>
        <v>248</v>
      </c>
      <c r="I85" t="str">
        <f t="shared" si="0"/>
        <v>F8</v>
      </c>
      <c r="J85" s="35"/>
    </row>
    <row r="86" spans="1:10" ht="9.75" customHeight="1">
      <c r="A86" s="33"/>
      <c r="B86" s="34"/>
      <c r="H86">
        <f t="shared" si="15"/>
        <v>0</v>
      </c>
      <c r="I86" t="str">
        <f t="shared" si="0"/>
        <v>00</v>
      </c>
      <c r="J86" s="35"/>
    </row>
    <row r="87" spans="1:10" ht="9.75" customHeight="1">
      <c r="A87" s="33"/>
      <c r="B87" s="34"/>
      <c r="C87">
        <v>1</v>
      </c>
      <c r="D87">
        <v>1</v>
      </c>
      <c r="E87">
        <v>1</v>
      </c>
      <c r="F87">
        <v>1</v>
      </c>
      <c r="G87">
        <v>1</v>
      </c>
      <c r="H87">
        <f t="shared" si="15"/>
        <v>248</v>
      </c>
      <c r="I87" t="str">
        <f t="shared" si="0"/>
        <v>F8</v>
      </c>
      <c r="J87" s="35"/>
    </row>
    <row r="88" spans="1:10" ht="9.75" customHeight="1">
      <c r="A88" s="33"/>
      <c r="B88" s="34"/>
      <c r="H88">
        <f t="shared" si="15"/>
        <v>0</v>
      </c>
      <c r="I88" t="str">
        <f t="shared" si="0"/>
        <v>00</v>
      </c>
      <c r="J88" s="35"/>
    </row>
    <row r="89" spans="1:10" ht="9.75" customHeight="1">
      <c r="A89" s="33"/>
      <c r="B89" s="27"/>
      <c r="J89" s="25"/>
    </row>
    <row r="90" spans="1:10" ht="9.75" customHeight="1">
      <c r="A90" s="33">
        <v>43</v>
      </c>
      <c r="B90" s="36" t="s">
        <v>110</v>
      </c>
      <c r="H90">
        <f t="shared" ref="H90:H96" si="16">C90*C$1+D90*D$1+E90*E$1+F90*F$1+G90*G$1</f>
        <v>0</v>
      </c>
      <c r="I90" t="str">
        <f t="shared" si="0"/>
        <v>00</v>
      </c>
      <c r="J90" s="35" t="str">
        <f>CONCATENATE("0x",I90,",0x",I91,",0x",I92,",0x",I93,",0x",I94,",0x",I95,",0x",I96,", //",B90)</f>
        <v>0x00,0x00,0x20,0x20,0xF8,0x20,0x20, //+</v>
      </c>
    </row>
    <row r="91" spans="1:10" ht="9.75" customHeight="1">
      <c r="A91" s="33"/>
      <c r="B91" s="34"/>
      <c r="H91">
        <f t="shared" si="16"/>
        <v>0</v>
      </c>
      <c r="I91" t="str">
        <f t="shared" si="0"/>
        <v>00</v>
      </c>
      <c r="J91" s="35"/>
    </row>
    <row r="92" spans="1:10" ht="9.75" customHeight="1">
      <c r="A92" s="33"/>
      <c r="B92" s="34"/>
      <c r="E92">
        <v>1</v>
      </c>
      <c r="H92">
        <f t="shared" si="16"/>
        <v>32</v>
      </c>
      <c r="I92" t="str">
        <f t="shared" si="0"/>
        <v>20</v>
      </c>
      <c r="J92" s="35"/>
    </row>
    <row r="93" spans="1:10" ht="9.75" customHeight="1">
      <c r="A93" s="33"/>
      <c r="B93" s="34"/>
      <c r="E93">
        <v>1</v>
      </c>
      <c r="H93">
        <f t="shared" si="16"/>
        <v>32</v>
      </c>
      <c r="I93" t="str">
        <f t="shared" si="0"/>
        <v>20</v>
      </c>
      <c r="J93" s="35"/>
    </row>
    <row r="94" spans="1:10" ht="9.75" customHeight="1">
      <c r="A94" s="33"/>
      <c r="B94" s="34"/>
      <c r="C94">
        <v>1</v>
      </c>
      <c r="D94">
        <v>1</v>
      </c>
      <c r="E94">
        <v>1</v>
      </c>
      <c r="F94">
        <v>1</v>
      </c>
      <c r="G94">
        <v>1</v>
      </c>
      <c r="H94">
        <f t="shared" si="16"/>
        <v>248</v>
      </c>
      <c r="I94" t="str">
        <f t="shared" si="0"/>
        <v>F8</v>
      </c>
      <c r="J94" s="35"/>
    </row>
    <row r="95" spans="1:10" ht="9.75" customHeight="1">
      <c r="A95" s="33"/>
      <c r="B95" s="34"/>
      <c r="E95">
        <v>1</v>
      </c>
      <c r="H95">
        <f t="shared" si="16"/>
        <v>32</v>
      </c>
      <c r="I95" t="str">
        <f t="shared" si="0"/>
        <v>20</v>
      </c>
      <c r="J95" s="35"/>
    </row>
    <row r="96" spans="1:10" ht="9.75" customHeight="1">
      <c r="A96" s="33"/>
      <c r="B96" s="34"/>
      <c r="E96">
        <v>1</v>
      </c>
      <c r="H96">
        <f t="shared" si="16"/>
        <v>32</v>
      </c>
      <c r="I96" t="str">
        <f t="shared" si="0"/>
        <v>20</v>
      </c>
      <c r="J96" s="35"/>
    </row>
    <row r="97" spans="1:10" ht="9.75" customHeight="1">
      <c r="A97" s="33"/>
      <c r="B97" s="27"/>
      <c r="J97" s="25"/>
    </row>
    <row r="98" spans="1:10" ht="9.75" customHeight="1">
      <c r="A98" s="33">
        <v>44</v>
      </c>
      <c r="B98" s="36" t="s">
        <v>1</v>
      </c>
      <c r="C98">
        <v>1</v>
      </c>
      <c r="H98">
        <f t="shared" ref="H98:H104" si="17">C98*C$1+D98*D$1+E98*E$1+F98*F$1+G98*G$1</f>
        <v>128</v>
      </c>
      <c r="I98" t="str">
        <f t="shared" si="0"/>
        <v>80</v>
      </c>
      <c r="J98" s="35" t="str">
        <f>CONCATENATE("0x",I98,",0x",I99,",0x",I100,",0x",I101,",0x",I102,",0x",I103,",0x",I104,", //",B98)</f>
        <v>0x80,0xC0,0xE0,0xF0,0xE0,0xC0,0x80, //,</v>
      </c>
    </row>
    <row r="99" spans="1:10" ht="9.75" customHeight="1">
      <c r="A99" s="33"/>
      <c r="B99" s="34"/>
      <c r="C99">
        <v>1</v>
      </c>
      <c r="D99">
        <v>1</v>
      </c>
      <c r="H99">
        <f t="shared" si="17"/>
        <v>192</v>
      </c>
      <c r="I99" t="str">
        <f t="shared" si="0"/>
        <v>C0</v>
      </c>
      <c r="J99" s="35"/>
    </row>
    <row r="100" spans="1:10" ht="9.75" customHeight="1">
      <c r="A100" s="33"/>
      <c r="B100" s="34"/>
      <c r="C100">
        <v>1</v>
      </c>
      <c r="D100">
        <v>1</v>
      </c>
      <c r="E100">
        <v>1</v>
      </c>
      <c r="H100">
        <f t="shared" si="17"/>
        <v>224</v>
      </c>
      <c r="I100" t="str">
        <f t="shared" si="0"/>
        <v>E0</v>
      </c>
      <c r="J100" s="35"/>
    </row>
    <row r="101" spans="1:10" ht="9.75" customHeight="1">
      <c r="A101" s="33"/>
      <c r="B101" s="34"/>
      <c r="C101">
        <v>1</v>
      </c>
      <c r="D101">
        <v>1</v>
      </c>
      <c r="E101">
        <v>1</v>
      </c>
      <c r="F101">
        <v>1</v>
      </c>
      <c r="H101">
        <f t="shared" si="17"/>
        <v>240</v>
      </c>
      <c r="I101" t="str">
        <f t="shared" si="0"/>
        <v>F0</v>
      </c>
      <c r="J101" s="35"/>
    </row>
    <row r="102" spans="1:10" ht="9.75" customHeight="1">
      <c r="A102" s="33"/>
      <c r="B102" s="34"/>
      <c r="C102">
        <v>1</v>
      </c>
      <c r="D102">
        <v>1</v>
      </c>
      <c r="E102">
        <v>1</v>
      </c>
      <c r="H102">
        <f t="shared" si="17"/>
        <v>224</v>
      </c>
      <c r="I102" t="str">
        <f t="shared" si="0"/>
        <v>E0</v>
      </c>
      <c r="J102" s="35"/>
    </row>
    <row r="103" spans="1:10" ht="9.75" customHeight="1">
      <c r="A103" s="33"/>
      <c r="B103" s="34"/>
      <c r="C103">
        <v>1</v>
      </c>
      <c r="D103">
        <v>1</v>
      </c>
      <c r="H103">
        <f t="shared" si="17"/>
        <v>192</v>
      </c>
      <c r="I103" t="str">
        <f t="shared" si="0"/>
        <v>C0</v>
      </c>
      <c r="J103" s="35"/>
    </row>
    <row r="104" spans="1:10" ht="9.75" customHeight="1">
      <c r="A104" s="33"/>
      <c r="B104" s="34"/>
      <c r="C104">
        <v>1</v>
      </c>
      <c r="H104">
        <f t="shared" si="17"/>
        <v>128</v>
      </c>
      <c r="I104" t="str">
        <f t="shared" si="0"/>
        <v>80</v>
      </c>
      <c r="J104" s="35"/>
    </row>
    <row r="105" spans="1:10" ht="9.75" customHeight="1">
      <c r="A105" s="33"/>
      <c r="B105" s="27"/>
      <c r="J105" s="25"/>
    </row>
    <row r="106" spans="1:10" ht="9.75" customHeight="1">
      <c r="A106" s="33">
        <v>45</v>
      </c>
      <c r="B106" s="34" t="s">
        <v>111</v>
      </c>
      <c r="H106">
        <f t="shared" ref="H106" si="18">C106*C$1+D106*D$1+E106*E$1+F106*F$1+G106*G$1</f>
        <v>0</v>
      </c>
      <c r="I106" t="str">
        <f t="shared" si="0"/>
        <v>00</v>
      </c>
      <c r="J106" s="35" t="str">
        <f>CONCATENATE("0x",I106,",0x",I107,",0x",I108,",0x",I109,",0x",I110,",0x",I111,",0x",I112,", //",B106)</f>
        <v>0x00,0x00,0x00,0xF8,0x00,0x00,0x00, //-</v>
      </c>
    </row>
    <row r="107" spans="1:10" ht="9.75" customHeight="1">
      <c r="A107" s="33"/>
      <c r="B107" s="34"/>
      <c r="H107">
        <f t="shared" ref="H107:H112" si="19">C107*C$1+D107*D$1+E107*E$1+F107*F$1+G107*G$1</f>
        <v>0</v>
      </c>
      <c r="I107" t="str">
        <f t="shared" si="0"/>
        <v>00</v>
      </c>
      <c r="J107" s="35"/>
    </row>
    <row r="108" spans="1:10" ht="9.75" customHeight="1">
      <c r="A108" s="33"/>
      <c r="B108" s="34"/>
      <c r="H108">
        <f t="shared" si="19"/>
        <v>0</v>
      </c>
      <c r="I108" t="str">
        <f t="shared" si="0"/>
        <v>00</v>
      </c>
      <c r="J108" s="35"/>
    </row>
    <row r="109" spans="1:10" ht="9.75" customHeight="1">
      <c r="A109" s="33"/>
      <c r="B109" s="34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9"/>
        <v>248</v>
      </c>
      <c r="I109" t="str">
        <f t="shared" si="0"/>
        <v>F8</v>
      </c>
      <c r="J109" s="35"/>
    </row>
    <row r="110" spans="1:10" ht="9.75" customHeight="1">
      <c r="A110" s="33"/>
      <c r="B110" s="34"/>
      <c r="H110">
        <f t="shared" si="19"/>
        <v>0</v>
      </c>
      <c r="I110" t="str">
        <f t="shared" si="0"/>
        <v>00</v>
      </c>
      <c r="J110" s="35"/>
    </row>
    <row r="111" spans="1:10" ht="9.75" customHeight="1">
      <c r="A111" s="33"/>
      <c r="B111" s="34"/>
      <c r="H111">
        <f t="shared" si="19"/>
        <v>0</v>
      </c>
      <c r="I111" t="str">
        <f t="shared" si="0"/>
        <v>00</v>
      </c>
      <c r="J111" s="35"/>
    </row>
    <row r="112" spans="1:10" ht="9.75" customHeight="1">
      <c r="A112" s="33"/>
      <c r="B112" s="34"/>
      <c r="H112">
        <f t="shared" si="19"/>
        <v>0</v>
      </c>
      <c r="I112" t="str">
        <f t="shared" si="0"/>
        <v>00</v>
      </c>
      <c r="J112" s="35"/>
    </row>
    <row r="113" spans="1:10" ht="9.75" customHeight="1">
      <c r="A113" s="33"/>
      <c r="B113" s="27"/>
      <c r="J113" s="25"/>
    </row>
    <row r="114" spans="1:10" ht="9.75" customHeight="1">
      <c r="A114" s="33">
        <v>46</v>
      </c>
      <c r="B114" s="34" t="s">
        <v>112</v>
      </c>
      <c r="H114">
        <f t="shared" ref="H114:H120" si="20">C114*C$1+D114*D$1+E114*E$1+F114*F$1+G114*G$1</f>
        <v>0</v>
      </c>
      <c r="I114" t="str">
        <f t="shared" si="0"/>
        <v>00</v>
      </c>
      <c r="J114" s="35" t="str">
        <f>CONCATENATE("0x",I114,",0x",I115,",0x",I116,",0x",I117,",0x",I118,",0x",I119,",0x",I120,", //",B114)</f>
        <v>0x00,0x00,0x00,0x00,0x00,0x00,0x20, //.</v>
      </c>
    </row>
    <row r="115" spans="1:10" ht="9.75" customHeight="1">
      <c r="A115" s="33"/>
      <c r="B115" s="34"/>
      <c r="H115">
        <f t="shared" si="20"/>
        <v>0</v>
      </c>
      <c r="I115" t="str">
        <f t="shared" si="0"/>
        <v>00</v>
      </c>
      <c r="J115" s="35"/>
    </row>
    <row r="116" spans="1:10" ht="9.75" customHeight="1">
      <c r="A116" s="33"/>
      <c r="B116" s="34"/>
      <c r="H116">
        <f t="shared" si="20"/>
        <v>0</v>
      </c>
      <c r="I116" t="str">
        <f t="shared" si="0"/>
        <v>00</v>
      </c>
      <c r="J116" s="35"/>
    </row>
    <row r="117" spans="1:10" ht="9.75" customHeight="1">
      <c r="A117" s="33"/>
      <c r="B117" s="34"/>
      <c r="H117">
        <f t="shared" si="20"/>
        <v>0</v>
      </c>
      <c r="I117" t="str">
        <f t="shared" si="0"/>
        <v>00</v>
      </c>
      <c r="J117" s="35"/>
    </row>
    <row r="118" spans="1:10" ht="9.75" customHeight="1">
      <c r="A118" s="33"/>
      <c r="B118" s="34"/>
      <c r="H118">
        <f t="shared" si="20"/>
        <v>0</v>
      </c>
      <c r="I118" t="str">
        <f t="shared" si="0"/>
        <v>00</v>
      </c>
      <c r="J118" s="35"/>
    </row>
    <row r="119" spans="1:10" ht="9.75" customHeight="1">
      <c r="A119" s="33"/>
      <c r="B119" s="34"/>
      <c r="H119">
        <f t="shared" si="20"/>
        <v>0</v>
      </c>
      <c r="I119" t="str">
        <f t="shared" si="0"/>
        <v>00</v>
      </c>
      <c r="J119" s="35"/>
    </row>
    <row r="120" spans="1:10" ht="9.75" customHeight="1">
      <c r="A120" s="33"/>
      <c r="B120" s="34"/>
      <c r="E120">
        <v>1</v>
      </c>
      <c r="H120">
        <f t="shared" si="20"/>
        <v>32</v>
      </c>
      <c r="I120" t="str">
        <f t="shared" si="0"/>
        <v>20</v>
      </c>
      <c r="J120" s="35"/>
    </row>
    <row r="121" spans="1:10" ht="9.75" customHeight="1">
      <c r="A121" s="33"/>
      <c r="B121" s="27"/>
      <c r="J121" s="25"/>
    </row>
    <row r="122" spans="1:10" ht="9.75" customHeight="1">
      <c r="A122" s="33">
        <v>47</v>
      </c>
      <c r="B122" s="36" t="s">
        <v>113</v>
      </c>
      <c r="D122">
        <v>1</v>
      </c>
      <c r="F122">
        <v>1</v>
      </c>
      <c r="H122">
        <f t="shared" ref="H122:H128" si="21">C122*C$1+D122*D$1+E122*E$1+F122*F$1+G122*G$1</f>
        <v>80</v>
      </c>
      <c r="I122" t="str">
        <f t="shared" si="0"/>
        <v>50</v>
      </c>
      <c r="J122" s="35" t="str">
        <f>CONCATENATE("0x",I122,",0x",I123,",0x",I124,",0x",I125,",0x",I126,",0x",I127,",0x",I128,", //",B122)</f>
        <v>0x50,0x50,0x50,0xF8,0x88,0x88,0x70, ///</v>
      </c>
    </row>
    <row r="123" spans="1:10" ht="9.75" customHeight="1">
      <c r="A123" s="33"/>
      <c r="B123" s="34"/>
      <c r="D123">
        <v>1</v>
      </c>
      <c r="F123">
        <v>1</v>
      </c>
      <c r="H123">
        <f t="shared" si="21"/>
        <v>80</v>
      </c>
      <c r="I123" t="str">
        <f t="shared" si="0"/>
        <v>50</v>
      </c>
      <c r="J123" s="35"/>
    </row>
    <row r="124" spans="1:10" ht="9.75" customHeight="1">
      <c r="A124" s="33"/>
      <c r="B124" s="34"/>
      <c r="D124">
        <v>1</v>
      </c>
      <c r="F124">
        <v>1</v>
      </c>
      <c r="H124">
        <f t="shared" si="21"/>
        <v>80</v>
      </c>
      <c r="I124" t="str">
        <f t="shared" si="0"/>
        <v>50</v>
      </c>
      <c r="J124" s="35"/>
    </row>
    <row r="125" spans="1:10" ht="9.75" customHeight="1">
      <c r="A125" s="33"/>
      <c r="B125" s="34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21"/>
        <v>248</v>
      </c>
      <c r="I125" t="str">
        <f t="shared" si="0"/>
        <v>F8</v>
      </c>
      <c r="J125" s="35"/>
    </row>
    <row r="126" spans="1:10" ht="9.75" customHeight="1">
      <c r="A126" s="33"/>
      <c r="B126" s="34"/>
      <c r="C126">
        <v>1</v>
      </c>
      <c r="G126">
        <v>1</v>
      </c>
      <c r="H126">
        <f t="shared" si="21"/>
        <v>136</v>
      </c>
      <c r="I126" t="str">
        <f t="shared" si="0"/>
        <v>88</v>
      </c>
      <c r="J126" s="35"/>
    </row>
    <row r="127" spans="1:10" ht="9.75" customHeight="1">
      <c r="A127" s="33"/>
      <c r="B127" s="34"/>
      <c r="C127">
        <v>1</v>
      </c>
      <c r="G127">
        <v>1</v>
      </c>
      <c r="H127">
        <f t="shared" si="21"/>
        <v>136</v>
      </c>
      <c r="I127" t="str">
        <f t="shared" si="0"/>
        <v>88</v>
      </c>
      <c r="J127" s="35"/>
    </row>
    <row r="128" spans="1:10" ht="9.75" customHeight="1">
      <c r="A128" s="33"/>
      <c r="B128" s="34"/>
      <c r="D128">
        <v>1</v>
      </c>
      <c r="E128">
        <v>1</v>
      </c>
      <c r="F128">
        <v>1</v>
      </c>
      <c r="H128">
        <f t="shared" si="21"/>
        <v>112</v>
      </c>
      <c r="I128" t="str">
        <f t="shared" si="0"/>
        <v>70</v>
      </c>
      <c r="J128" s="35"/>
    </row>
    <row r="129" spans="1:10" ht="9.75" customHeight="1">
      <c r="A129" s="33"/>
      <c r="B129" s="27"/>
      <c r="J129" s="25"/>
    </row>
    <row r="130" spans="1:10" ht="9.75" customHeight="1">
      <c r="A130" s="33">
        <v>48</v>
      </c>
      <c r="B130" s="34">
        <v>0</v>
      </c>
      <c r="D130">
        <v>1</v>
      </c>
      <c r="E130">
        <v>1</v>
      </c>
      <c r="F130">
        <v>1</v>
      </c>
      <c r="H130">
        <f t="shared" ref="H130:H136" si="22">C130*C$1+D130*D$1+E130*E$1+F130*F$1+G130*G$1</f>
        <v>112</v>
      </c>
      <c r="I130" t="str">
        <f t="shared" ref="I130:I136" si="23">DEC2HEX(H130,2)</f>
        <v>70</v>
      </c>
      <c r="J130" s="35" t="str">
        <f>CONCATENATE("0x",I130,",0x",I131,",0x",I132,",0x",I133,",0x",I134,",0x",I135,",0x",I136,", //",B130)</f>
        <v>0x70,0x88,0x88,0xA8,0x88,0x88,0x70, //0</v>
      </c>
    </row>
    <row r="131" spans="1:10" ht="9.75" customHeight="1">
      <c r="A131" s="33"/>
      <c r="B131" s="34"/>
      <c r="C131">
        <v>1</v>
      </c>
      <c r="G131">
        <v>1</v>
      </c>
      <c r="H131">
        <f t="shared" si="22"/>
        <v>136</v>
      </c>
      <c r="I131" t="str">
        <f t="shared" si="23"/>
        <v>88</v>
      </c>
      <c r="J131" s="35"/>
    </row>
    <row r="132" spans="1:10" ht="9.75" customHeight="1">
      <c r="A132" s="33"/>
      <c r="B132" s="34"/>
      <c r="C132">
        <v>1</v>
      </c>
      <c r="G132">
        <v>1</v>
      </c>
      <c r="H132">
        <f t="shared" si="22"/>
        <v>136</v>
      </c>
      <c r="I132" t="str">
        <f t="shared" si="23"/>
        <v>88</v>
      </c>
      <c r="J132" s="35"/>
    </row>
    <row r="133" spans="1:10" ht="9.75" customHeight="1">
      <c r="A133" s="33"/>
      <c r="B133" s="34"/>
      <c r="C133">
        <v>1</v>
      </c>
      <c r="E133">
        <v>1</v>
      </c>
      <c r="G133">
        <v>1</v>
      </c>
      <c r="H133">
        <f t="shared" si="22"/>
        <v>168</v>
      </c>
      <c r="I133" t="str">
        <f t="shared" si="23"/>
        <v>A8</v>
      </c>
      <c r="J133" s="35"/>
    </row>
    <row r="134" spans="1:10" ht="9.75" customHeight="1">
      <c r="A134" s="33"/>
      <c r="B134" s="34"/>
      <c r="C134">
        <v>1</v>
      </c>
      <c r="G134">
        <v>1</v>
      </c>
      <c r="H134">
        <f t="shared" si="22"/>
        <v>136</v>
      </c>
      <c r="I134" t="str">
        <f t="shared" si="23"/>
        <v>88</v>
      </c>
      <c r="J134" s="35"/>
    </row>
    <row r="135" spans="1:10" ht="9.75" customHeight="1">
      <c r="A135" s="33"/>
      <c r="B135" s="34"/>
      <c r="C135">
        <v>1</v>
      </c>
      <c r="G135">
        <v>1</v>
      </c>
      <c r="H135">
        <f t="shared" si="22"/>
        <v>136</v>
      </c>
      <c r="I135" t="str">
        <f t="shared" si="23"/>
        <v>88</v>
      </c>
      <c r="J135" s="35"/>
    </row>
    <row r="136" spans="1:10" ht="9.75" customHeight="1">
      <c r="A136" s="33"/>
      <c r="B136" s="34"/>
      <c r="D136">
        <v>1</v>
      </c>
      <c r="E136">
        <v>1</v>
      </c>
      <c r="F136">
        <v>1</v>
      </c>
      <c r="H136">
        <f t="shared" si="22"/>
        <v>112</v>
      </c>
      <c r="I136" t="str">
        <f t="shared" si="23"/>
        <v>70</v>
      </c>
      <c r="J136" s="35"/>
    </row>
    <row r="137" spans="1:10" ht="9.75" customHeight="1">
      <c r="A137" s="33"/>
      <c r="B137" s="27"/>
    </row>
    <row r="138" spans="1:10" ht="9.75" customHeight="1">
      <c r="A138" s="33">
        <v>49</v>
      </c>
      <c r="B138" s="34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35" t="str">
        <f>CONCATENATE("0x",I138,",0x",I139,",0x",I140,",0x",I141,",0x",I142,",0x",I143,",0x",I144,", //",B138)</f>
        <v>0x20,0x60,0x20,0x20,0x20,0x20,0x70, //1</v>
      </c>
    </row>
    <row r="139" spans="1:10" ht="9.75" customHeight="1">
      <c r="A139" s="33"/>
      <c r="B139" s="34"/>
      <c r="D139">
        <v>1</v>
      </c>
      <c r="E139">
        <v>1</v>
      </c>
      <c r="H139">
        <f t="shared" ref="H139:H152" si="24">C139*C$1+D139*D$1+E139*E$1+F139*F$1+G139*G$1</f>
        <v>96</v>
      </c>
      <c r="I139" t="str">
        <f t="shared" ref="I139:I152" si="25">DEC2HEX(H139,2)</f>
        <v>60</v>
      </c>
      <c r="J139" s="35"/>
    </row>
    <row r="140" spans="1:10" ht="9.75" customHeight="1">
      <c r="A140" s="33"/>
      <c r="B140" s="34"/>
      <c r="E140">
        <v>1</v>
      </c>
      <c r="H140">
        <f t="shared" si="24"/>
        <v>32</v>
      </c>
      <c r="I140" t="str">
        <f t="shared" si="25"/>
        <v>20</v>
      </c>
      <c r="J140" s="35"/>
    </row>
    <row r="141" spans="1:10" ht="9.75" customHeight="1">
      <c r="A141" s="33"/>
      <c r="B141" s="34"/>
      <c r="E141">
        <v>1</v>
      </c>
      <c r="H141">
        <f t="shared" si="24"/>
        <v>32</v>
      </c>
      <c r="I141" t="str">
        <f t="shared" si="25"/>
        <v>20</v>
      </c>
      <c r="J141" s="35"/>
    </row>
    <row r="142" spans="1:10" ht="9.75" customHeight="1">
      <c r="A142" s="33"/>
      <c r="B142" s="34"/>
      <c r="E142">
        <v>1</v>
      </c>
      <c r="H142">
        <f t="shared" si="24"/>
        <v>32</v>
      </c>
      <c r="I142" t="str">
        <f t="shared" si="25"/>
        <v>20</v>
      </c>
      <c r="J142" s="35"/>
    </row>
    <row r="143" spans="1:10" ht="9.75" customHeight="1">
      <c r="A143" s="33"/>
      <c r="B143" s="34"/>
      <c r="E143">
        <v>1</v>
      </c>
      <c r="H143">
        <f t="shared" si="24"/>
        <v>32</v>
      </c>
      <c r="I143" t="str">
        <f t="shared" si="25"/>
        <v>20</v>
      </c>
      <c r="J143" s="35"/>
    </row>
    <row r="144" spans="1:10" ht="9.75" customHeight="1">
      <c r="A144" s="33"/>
      <c r="B144" s="34"/>
      <c r="D144">
        <v>1</v>
      </c>
      <c r="E144">
        <v>1</v>
      </c>
      <c r="F144">
        <v>1</v>
      </c>
      <c r="H144">
        <f t="shared" si="24"/>
        <v>112</v>
      </c>
      <c r="I144" t="str">
        <f t="shared" si="25"/>
        <v>70</v>
      </c>
      <c r="J144" s="35"/>
    </row>
    <row r="145" spans="1:10" ht="9.75" customHeight="1">
      <c r="A145" s="33"/>
      <c r="B145" s="27"/>
    </row>
    <row r="146" spans="1:10" ht="9.75" customHeight="1">
      <c r="A146" s="33">
        <v>50</v>
      </c>
      <c r="B146" s="34">
        <v>2</v>
      </c>
      <c r="D146">
        <v>1</v>
      </c>
      <c r="E146">
        <v>1</v>
      </c>
      <c r="F146">
        <v>1</v>
      </c>
      <c r="H146">
        <f t="shared" si="24"/>
        <v>112</v>
      </c>
      <c r="I146" t="str">
        <f t="shared" si="25"/>
        <v>70</v>
      </c>
      <c r="J146" s="35" t="str">
        <f>CONCATENATE("0x",I146,",0x",I147,",0x",I148,",0x",I149,",0x",I150,",0x",I151,",0x",I152,", //",B146)</f>
        <v>0x70,0x88,0x08,0x70,0x80,0x80,0xF8, //2</v>
      </c>
    </row>
    <row r="147" spans="1:10" ht="9.75" customHeight="1">
      <c r="A147" s="33"/>
      <c r="B147" s="34"/>
      <c r="C147">
        <v>1</v>
      </c>
      <c r="G147">
        <v>1</v>
      </c>
      <c r="H147">
        <f t="shared" si="24"/>
        <v>136</v>
      </c>
      <c r="I147" t="str">
        <f t="shared" si="25"/>
        <v>88</v>
      </c>
      <c r="J147" s="35"/>
    </row>
    <row r="148" spans="1:10" ht="9.75" customHeight="1">
      <c r="A148" s="33"/>
      <c r="B148" s="34"/>
      <c r="G148">
        <v>1</v>
      </c>
      <c r="H148">
        <f t="shared" si="24"/>
        <v>8</v>
      </c>
      <c r="I148" t="str">
        <f t="shared" si="25"/>
        <v>08</v>
      </c>
      <c r="J148" s="35"/>
    </row>
    <row r="149" spans="1:10" ht="9.75" customHeight="1">
      <c r="A149" s="33"/>
      <c r="B149" s="34"/>
      <c r="D149">
        <v>1</v>
      </c>
      <c r="E149">
        <v>1</v>
      </c>
      <c r="F149">
        <v>1</v>
      </c>
      <c r="H149">
        <f t="shared" si="24"/>
        <v>112</v>
      </c>
      <c r="I149" t="str">
        <f t="shared" si="25"/>
        <v>70</v>
      </c>
      <c r="J149" s="35"/>
    </row>
    <row r="150" spans="1:10" ht="9.75" customHeight="1">
      <c r="A150" s="33"/>
      <c r="B150" s="34"/>
      <c r="C150">
        <v>1</v>
      </c>
      <c r="H150">
        <f t="shared" si="24"/>
        <v>128</v>
      </c>
      <c r="I150" t="str">
        <f t="shared" si="25"/>
        <v>80</v>
      </c>
      <c r="J150" s="35"/>
    </row>
    <row r="151" spans="1:10" ht="9.75" customHeight="1">
      <c r="A151" s="33"/>
      <c r="B151" s="34"/>
      <c r="C151">
        <v>1</v>
      </c>
      <c r="H151">
        <f t="shared" si="24"/>
        <v>128</v>
      </c>
      <c r="I151" t="str">
        <f t="shared" si="25"/>
        <v>80</v>
      </c>
      <c r="J151" s="35"/>
    </row>
    <row r="152" spans="1:10" ht="9.75" customHeight="1">
      <c r="A152" s="33"/>
      <c r="B152" s="34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4"/>
        <v>248</v>
      </c>
      <c r="I152" t="str">
        <f t="shared" si="25"/>
        <v>F8</v>
      </c>
      <c r="J152" s="35"/>
    </row>
    <row r="153" spans="1:10" ht="9.75" customHeight="1">
      <c r="A153" s="33"/>
    </row>
    <row r="154" spans="1:10" ht="9.75" customHeight="1">
      <c r="A154" s="33">
        <v>51</v>
      </c>
      <c r="B154" s="34">
        <v>3</v>
      </c>
      <c r="D154">
        <v>1</v>
      </c>
      <c r="E154">
        <v>1</v>
      </c>
      <c r="F154">
        <v>1</v>
      </c>
      <c r="H154">
        <f t="shared" ref="H154:H160" si="26">C154*C$1+D154*D$1+E154*E$1+F154*F$1+G154*G$1</f>
        <v>112</v>
      </c>
      <c r="I154" t="str">
        <f t="shared" ref="I154:I160" si="27">DEC2HEX(H154,2)</f>
        <v>70</v>
      </c>
      <c r="J154" s="35" t="str">
        <f>CONCATENATE("0x",I154,",0x",I155,",0x",I156,",0x",I157,",0x",I158,",0x",I159,",0x",I160,", //",B154)</f>
        <v>0x70,0x88,0x08,0x70,0x08,0x88,0x70, //3</v>
      </c>
    </row>
    <row r="155" spans="1:10" ht="9.75" customHeight="1">
      <c r="A155" s="33"/>
      <c r="B155" s="34"/>
      <c r="C155">
        <v>1</v>
      </c>
      <c r="G155">
        <v>1</v>
      </c>
      <c r="H155">
        <f t="shared" si="26"/>
        <v>136</v>
      </c>
      <c r="I155" t="str">
        <f t="shared" si="27"/>
        <v>88</v>
      </c>
      <c r="J155" s="35"/>
    </row>
    <row r="156" spans="1:10" ht="9.75" customHeight="1">
      <c r="A156" s="33"/>
      <c r="B156" s="34"/>
      <c r="G156">
        <v>1</v>
      </c>
      <c r="H156">
        <f t="shared" si="26"/>
        <v>8</v>
      </c>
      <c r="I156" t="str">
        <f t="shared" si="27"/>
        <v>08</v>
      </c>
      <c r="J156" s="35"/>
    </row>
    <row r="157" spans="1:10" ht="9.75" customHeight="1">
      <c r="A157" s="33"/>
      <c r="B157" s="34"/>
      <c r="D157">
        <v>1</v>
      </c>
      <c r="E157">
        <v>1</v>
      </c>
      <c r="F157">
        <v>1</v>
      </c>
      <c r="H157">
        <f t="shared" si="26"/>
        <v>112</v>
      </c>
      <c r="I157" t="str">
        <f t="shared" si="27"/>
        <v>70</v>
      </c>
      <c r="J157" s="35"/>
    </row>
    <row r="158" spans="1:10" ht="9.75" customHeight="1">
      <c r="A158" s="33"/>
      <c r="B158" s="34"/>
      <c r="G158">
        <v>1</v>
      </c>
      <c r="H158">
        <f t="shared" si="26"/>
        <v>8</v>
      </c>
      <c r="I158" t="str">
        <f t="shared" si="27"/>
        <v>08</v>
      </c>
      <c r="J158" s="35"/>
    </row>
    <row r="159" spans="1:10" ht="9.75" customHeight="1">
      <c r="A159" s="33"/>
      <c r="B159" s="34"/>
      <c r="C159">
        <v>1</v>
      </c>
      <c r="G159">
        <v>1</v>
      </c>
      <c r="H159">
        <f t="shared" si="26"/>
        <v>136</v>
      </c>
      <c r="I159" t="str">
        <f t="shared" si="27"/>
        <v>88</v>
      </c>
      <c r="J159" s="35"/>
    </row>
    <row r="160" spans="1:10" ht="9.75" customHeight="1">
      <c r="A160" s="33"/>
      <c r="B160" s="34"/>
      <c r="D160">
        <v>1</v>
      </c>
      <c r="E160">
        <v>1</v>
      </c>
      <c r="F160">
        <v>1</v>
      </c>
      <c r="H160">
        <f t="shared" si="26"/>
        <v>112</v>
      </c>
      <c r="I160" t="str">
        <f t="shared" si="27"/>
        <v>70</v>
      </c>
      <c r="J160" s="35"/>
    </row>
    <row r="161" spans="1:10" ht="9.75" customHeight="1">
      <c r="A161" s="33"/>
    </row>
    <row r="162" spans="1:10" ht="9.75" customHeight="1">
      <c r="A162" s="33">
        <v>52</v>
      </c>
      <c r="B162" s="34">
        <v>4</v>
      </c>
      <c r="C162">
        <v>1</v>
      </c>
      <c r="G162">
        <v>1</v>
      </c>
      <c r="H162">
        <f t="shared" ref="H162:H168" si="28">C162*C$1+D162*D$1+E162*E$1+F162*F$1+G162*G$1</f>
        <v>136</v>
      </c>
      <c r="I162" t="str">
        <f t="shared" ref="I162:I168" si="29">DEC2HEX(H162,2)</f>
        <v>88</v>
      </c>
      <c r="J162" s="35" t="str">
        <f>CONCATENATE("0x",I162,",0x",I163,",0x",I164,",0x",I165,",0x",I166,",0x",I167,",0x",I168,", //",B162)</f>
        <v>0x88,0x88,0x88,0xF8,0x08,0x08,0x08, //4</v>
      </c>
    </row>
    <row r="163" spans="1:10" ht="9.75" customHeight="1">
      <c r="A163" s="33"/>
      <c r="B163" s="34"/>
      <c r="C163">
        <v>1</v>
      </c>
      <c r="G163">
        <v>1</v>
      </c>
      <c r="H163">
        <f t="shared" si="28"/>
        <v>136</v>
      </c>
      <c r="I163" t="str">
        <f t="shared" si="29"/>
        <v>88</v>
      </c>
      <c r="J163" s="35"/>
    </row>
    <row r="164" spans="1:10" ht="9.75" customHeight="1">
      <c r="A164" s="33"/>
      <c r="B164" s="34"/>
      <c r="C164">
        <v>1</v>
      </c>
      <c r="G164">
        <v>1</v>
      </c>
      <c r="H164">
        <f t="shared" si="28"/>
        <v>136</v>
      </c>
      <c r="I164" t="str">
        <f t="shared" si="29"/>
        <v>88</v>
      </c>
      <c r="J164" s="35"/>
    </row>
    <row r="165" spans="1:10" ht="9.75" customHeight="1">
      <c r="A165" s="33"/>
      <c r="B165" s="34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8"/>
        <v>248</v>
      </c>
      <c r="I165" t="str">
        <f t="shared" si="29"/>
        <v>F8</v>
      </c>
      <c r="J165" s="35"/>
    </row>
    <row r="166" spans="1:10" ht="9.75" customHeight="1">
      <c r="A166" s="33"/>
      <c r="B166" s="34"/>
      <c r="G166">
        <v>1</v>
      </c>
      <c r="H166">
        <f t="shared" si="28"/>
        <v>8</v>
      </c>
      <c r="I166" t="str">
        <f t="shared" si="29"/>
        <v>08</v>
      </c>
      <c r="J166" s="35"/>
    </row>
    <row r="167" spans="1:10" ht="9.75" customHeight="1">
      <c r="A167" s="33"/>
      <c r="B167" s="34"/>
      <c r="G167">
        <v>1</v>
      </c>
      <c r="H167">
        <f t="shared" si="28"/>
        <v>8</v>
      </c>
      <c r="I167" t="str">
        <f t="shared" si="29"/>
        <v>08</v>
      </c>
      <c r="J167" s="35"/>
    </row>
    <row r="168" spans="1:10" ht="9.75" customHeight="1">
      <c r="A168" s="33"/>
      <c r="B168" s="34"/>
      <c r="G168">
        <v>1</v>
      </c>
      <c r="H168">
        <f t="shared" si="28"/>
        <v>8</v>
      </c>
      <c r="I168" t="str">
        <f t="shared" si="29"/>
        <v>08</v>
      </c>
      <c r="J168" s="35"/>
    </row>
    <row r="169" spans="1:10" ht="9.75" customHeight="1">
      <c r="A169" s="33"/>
      <c r="B169" s="27"/>
    </row>
    <row r="170" spans="1:10" ht="9.75" customHeight="1">
      <c r="A170" s="33">
        <v>53</v>
      </c>
      <c r="B170" s="34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30">C170*C$1+D170*D$1+E170*E$1+F170*F$1+G170*G$1</f>
        <v>248</v>
      </c>
      <c r="I170" t="str">
        <f t="shared" ref="I170:I512" si="31">DEC2HEX(H170,2)</f>
        <v>F8</v>
      </c>
      <c r="J170" s="35" t="str">
        <f>CONCATENATE("0x",I170,",0x",I171,",0x",I172,",0x",I173,",0x",I174,",0x",I175,",0x",I176,", //",B170)</f>
        <v>0xF8,0x80,0x80,0xF0,0x08,0x88,0x70, //5</v>
      </c>
    </row>
    <row r="171" spans="1:10" ht="9.75" customHeight="1">
      <c r="A171" s="33"/>
      <c r="B171" s="34"/>
      <c r="C171">
        <v>1</v>
      </c>
      <c r="H171">
        <f t="shared" si="30"/>
        <v>128</v>
      </c>
      <c r="I171" t="str">
        <f t="shared" si="31"/>
        <v>80</v>
      </c>
      <c r="J171" s="35"/>
    </row>
    <row r="172" spans="1:10" ht="9.75" customHeight="1">
      <c r="A172" s="33"/>
      <c r="B172" s="34"/>
      <c r="C172">
        <v>1</v>
      </c>
      <c r="H172">
        <f t="shared" si="30"/>
        <v>128</v>
      </c>
      <c r="I172" t="str">
        <f t="shared" si="31"/>
        <v>80</v>
      </c>
      <c r="J172" s="35"/>
    </row>
    <row r="173" spans="1:10" ht="9.75" customHeight="1">
      <c r="A173" s="33"/>
      <c r="B173" s="34"/>
      <c r="C173">
        <v>1</v>
      </c>
      <c r="D173">
        <v>1</v>
      </c>
      <c r="E173">
        <v>1</v>
      </c>
      <c r="F173">
        <v>1</v>
      </c>
      <c r="H173">
        <f t="shared" si="30"/>
        <v>240</v>
      </c>
      <c r="I173" t="str">
        <f t="shared" si="31"/>
        <v>F0</v>
      </c>
      <c r="J173" s="35"/>
    </row>
    <row r="174" spans="1:10" ht="9.75" customHeight="1">
      <c r="A174" s="33"/>
      <c r="B174" s="34"/>
      <c r="G174">
        <v>1</v>
      </c>
      <c r="H174">
        <f t="shared" si="30"/>
        <v>8</v>
      </c>
      <c r="I174" t="str">
        <f t="shared" si="31"/>
        <v>08</v>
      </c>
      <c r="J174" s="35"/>
    </row>
    <row r="175" spans="1:10" ht="9.75" customHeight="1">
      <c r="A175" s="33"/>
      <c r="B175" s="34"/>
      <c r="C175">
        <v>1</v>
      </c>
      <c r="G175">
        <v>1</v>
      </c>
      <c r="H175">
        <f t="shared" si="30"/>
        <v>136</v>
      </c>
      <c r="I175" t="str">
        <f t="shared" si="31"/>
        <v>88</v>
      </c>
      <c r="J175" s="35"/>
    </row>
    <row r="176" spans="1:10" ht="9.75" customHeight="1">
      <c r="A176" s="33"/>
      <c r="B176" s="34"/>
      <c r="D176">
        <v>1</v>
      </c>
      <c r="E176">
        <v>1</v>
      </c>
      <c r="F176">
        <v>1</v>
      </c>
      <c r="H176">
        <f t="shared" si="30"/>
        <v>112</v>
      </c>
      <c r="I176" t="str">
        <f t="shared" si="31"/>
        <v>70</v>
      </c>
      <c r="J176" s="35"/>
    </row>
    <row r="177" spans="1:10" ht="9.75" customHeight="1">
      <c r="A177" s="33"/>
      <c r="B177" s="27"/>
    </row>
    <row r="178" spans="1:10" ht="9.75" customHeight="1">
      <c r="A178" s="33">
        <v>54</v>
      </c>
      <c r="B178" s="34">
        <v>6</v>
      </c>
      <c r="D178">
        <v>1</v>
      </c>
      <c r="E178">
        <v>1</v>
      </c>
      <c r="F178">
        <v>1</v>
      </c>
      <c r="H178">
        <f t="shared" ref="H178:H184" si="32">C178*C$1+D178*D$1+E178*E$1+F178*F$1+G178*G$1</f>
        <v>112</v>
      </c>
      <c r="I178" t="str">
        <f t="shared" si="31"/>
        <v>70</v>
      </c>
      <c r="J178" s="35" t="str">
        <f>CONCATENATE("0x",I178,",0x",I179,",0x",I180,",0x",I181,",0x",I182,",0x",I183,",0x",I184,", //",B178)</f>
        <v>0x70,0x88,0x80,0xF0,0x88,0x88,0x70, //6</v>
      </c>
    </row>
    <row r="179" spans="1:10" ht="9.75" customHeight="1">
      <c r="A179" s="33"/>
      <c r="B179" s="34"/>
      <c r="C179">
        <v>1</v>
      </c>
      <c r="G179">
        <v>1</v>
      </c>
      <c r="H179">
        <f t="shared" si="32"/>
        <v>136</v>
      </c>
      <c r="I179" t="str">
        <f t="shared" si="31"/>
        <v>88</v>
      </c>
      <c r="J179" s="35"/>
    </row>
    <row r="180" spans="1:10" ht="9.75" customHeight="1">
      <c r="A180" s="33"/>
      <c r="B180" s="34"/>
      <c r="C180">
        <v>1</v>
      </c>
      <c r="H180">
        <f t="shared" si="32"/>
        <v>128</v>
      </c>
      <c r="I180" t="str">
        <f t="shared" si="31"/>
        <v>80</v>
      </c>
      <c r="J180" s="35"/>
    </row>
    <row r="181" spans="1:10" ht="9.75" customHeight="1">
      <c r="A181" s="33"/>
      <c r="B181" s="34"/>
      <c r="C181">
        <v>1</v>
      </c>
      <c r="D181">
        <v>1</v>
      </c>
      <c r="E181">
        <v>1</v>
      </c>
      <c r="F181">
        <v>1</v>
      </c>
      <c r="H181">
        <f t="shared" si="32"/>
        <v>240</v>
      </c>
      <c r="I181" t="str">
        <f t="shared" si="31"/>
        <v>F0</v>
      </c>
      <c r="J181" s="35"/>
    </row>
    <row r="182" spans="1:10" ht="9.75" customHeight="1">
      <c r="A182" s="33"/>
      <c r="B182" s="34"/>
      <c r="C182">
        <v>1</v>
      </c>
      <c r="G182">
        <v>1</v>
      </c>
      <c r="H182">
        <f t="shared" si="32"/>
        <v>136</v>
      </c>
      <c r="I182" t="str">
        <f t="shared" si="31"/>
        <v>88</v>
      </c>
      <c r="J182" s="35"/>
    </row>
    <row r="183" spans="1:10" ht="9.75" customHeight="1">
      <c r="A183" s="33"/>
      <c r="B183" s="34"/>
      <c r="C183">
        <v>1</v>
      </c>
      <c r="G183">
        <v>1</v>
      </c>
      <c r="H183">
        <f t="shared" si="32"/>
        <v>136</v>
      </c>
      <c r="I183" t="str">
        <f t="shared" si="31"/>
        <v>88</v>
      </c>
      <c r="J183" s="35"/>
    </row>
    <row r="184" spans="1:10" ht="9.75" customHeight="1">
      <c r="A184" s="33"/>
      <c r="B184" s="34"/>
      <c r="D184">
        <v>1</v>
      </c>
      <c r="E184">
        <v>1</v>
      </c>
      <c r="F184">
        <v>1</v>
      </c>
      <c r="H184">
        <f t="shared" si="32"/>
        <v>112</v>
      </c>
      <c r="I184" t="str">
        <f t="shared" si="31"/>
        <v>70</v>
      </c>
      <c r="J184" s="35"/>
    </row>
    <row r="185" spans="1:10" ht="9.75" customHeight="1">
      <c r="A185" s="33"/>
    </row>
    <row r="186" spans="1:10" ht="9.75" customHeight="1">
      <c r="A186" s="33">
        <v>55</v>
      </c>
      <c r="B186" s="34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33">C186*C$1+D186*D$1+E186*E$1+F186*F$1+G186*G$1</f>
        <v>248</v>
      </c>
      <c r="I186" t="str">
        <f t="shared" si="31"/>
        <v>F8</v>
      </c>
      <c r="J186" s="35" t="str">
        <f>CONCATENATE("0x",I186,",0x",I187,",0x",I188,",0x",I189,",0x",I190,",0x",I191,",0x",I192,", //",B186)</f>
        <v>0xF8,0x08,0x10,0x20,0x40,0x40,0x40, //7</v>
      </c>
    </row>
    <row r="187" spans="1:10" ht="9.75" customHeight="1">
      <c r="A187" s="33"/>
      <c r="B187" s="34"/>
      <c r="G187">
        <v>1</v>
      </c>
      <c r="H187">
        <f t="shared" si="33"/>
        <v>8</v>
      </c>
      <c r="I187" t="str">
        <f t="shared" si="31"/>
        <v>08</v>
      </c>
      <c r="J187" s="35"/>
    </row>
    <row r="188" spans="1:10" ht="9.75" customHeight="1">
      <c r="A188" s="33"/>
      <c r="B188" s="34"/>
      <c r="F188">
        <v>1</v>
      </c>
      <c r="H188">
        <f t="shared" si="33"/>
        <v>16</v>
      </c>
      <c r="I188" t="str">
        <f t="shared" si="31"/>
        <v>10</v>
      </c>
      <c r="J188" s="35"/>
    </row>
    <row r="189" spans="1:10" ht="9.75" customHeight="1">
      <c r="A189" s="33"/>
      <c r="B189" s="34"/>
      <c r="E189">
        <v>1</v>
      </c>
      <c r="H189">
        <f t="shared" si="33"/>
        <v>32</v>
      </c>
      <c r="I189" t="str">
        <f t="shared" si="31"/>
        <v>20</v>
      </c>
      <c r="J189" s="35"/>
    </row>
    <row r="190" spans="1:10" ht="9.75" customHeight="1">
      <c r="A190" s="33"/>
      <c r="B190" s="34"/>
      <c r="D190">
        <v>1</v>
      </c>
      <c r="H190">
        <f t="shared" si="33"/>
        <v>64</v>
      </c>
      <c r="I190" t="str">
        <f t="shared" si="31"/>
        <v>40</v>
      </c>
      <c r="J190" s="35"/>
    </row>
    <row r="191" spans="1:10" ht="9.75" customHeight="1">
      <c r="A191" s="33"/>
      <c r="B191" s="34"/>
      <c r="D191">
        <v>1</v>
      </c>
      <c r="H191">
        <f t="shared" si="33"/>
        <v>64</v>
      </c>
      <c r="I191" t="str">
        <f t="shared" si="31"/>
        <v>40</v>
      </c>
      <c r="J191" s="35"/>
    </row>
    <row r="192" spans="1:10" ht="9.75" customHeight="1">
      <c r="A192" s="33"/>
      <c r="B192" s="34"/>
      <c r="D192">
        <v>1</v>
      </c>
      <c r="H192">
        <f t="shared" si="33"/>
        <v>64</v>
      </c>
      <c r="I192" t="str">
        <f t="shared" si="31"/>
        <v>40</v>
      </c>
      <c r="J192" s="35"/>
    </row>
    <row r="193" spans="1:10" ht="9.75" customHeight="1">
      <c r="A193" s="33"/>
    </row>
    <row r="194" spans="1:10" ht="9.75" customHeight="1">
      <c r="A194" s="33">
        <v>56</v>
      </c>
      <c r="B194" s="34">
        <v>8</v>
      </c>
      <c r="D194">
        <v>1</v>
      </c>
      <c r="E194">
        <v>1</v>
      </c>
      <c r="F194">
        <v>1</v>
      </c>
      <c r="H194">
        <f t="shared" ref="H194:H200" si="34">C194*C$1+D194*D$1+E194*E$1+F194*F$1+G194*G$1</f>
        <v>112</v>
      </c>
      <c r="I194" t="str">
        <f t="shared" si="31"/>
        <v>70</v>
      </c>
      <c r="J194" s="35" t="str">
        <f>CONCATENATE("0x",I194,",0x",I195,",0x",I196,",0x",I197,",0x",I198,",0x",I199,",0x",I200,", //",B194)</f>
        <v>0x70,0x88,0x88,0x70,0x88,0x88,0x70, //8</v>
      </c>
    </row>
    <row r="195" spans="1:10" ht="9.75" customHeight="1">
      <c r="A195" s="33"/>
      <c r="B195" s="34"/>
      <c r="C195">
        <v>1</v>
      </c>
      <c r="G195">
        <v>1</v>
      </c>
      <c r="H195">
        <f t="shared" si="34"/>
        <v>136</v>
      </c>
      <c r="I195" t="str">
        <f t="shared" si="31"/>
        <v>88</v>
      </c>
      <c r="J195" s="35"/>
    </row>
    <row r="196" spans="1:10" ht="9.75" customHeight="1">
      <c r="A196" s="33"/>
      <c r="B196" s="34"/>
      <c r="C196">
        <v>1</v>
      </c>
      <c r="G196">
        <v>1</v>
      </c>
      <c r="H196">
        <f t="shared" si="34"/>
        <v>136</v>
      </c>
      <c r="I196" t="str">
        <f t="shared" si="31"/>
        <v>88</v>
      </c>
      <c r="J196" s="35"/>
    </row>
    <row r="197" spans="1:10" ht="9.75" customHeight="1">
      <c r="A197" s="33"/>
      <c r="B197" s="34"/>
      <c r="D197">
        <v>1</v>
      </c>
      <c r="E197">
        <v>1</v>
      </c>
      <c r="F197">
        <v>1</v>
      </c>
      <c r="H197">
        <f t="shared" si="34"/>
        <v>112</v>
      </c>
      <c r="I197" t="str">
        <f t="shared" si="31"/>
        <v>70</v>
      </c>
      <c r="J197" s="35"/>
    </row>
    <row r="198" spans="1:10" ht="9.75" customHeight="1">
      <c r="A198" s="33"/>
      <c r="B198" s="34"/>
      <c r="C198">
        <v>1</v>
      </c>
      <c r="G198">
        <v>1</v>
      </c>
      <c r="H198">
        <f t="shared" si="34"/>
        <v>136</v>
      </c>
      <c r="I198" t="str">
        <f t="shared" si="31"/>
        <v>88</v>
      </c>
      <c r="J198" s="35"/>
    </row>
    <row r="199" spans="1:10" ht="9.75" customHeight="1">
      <c r="A199" s="33"/>
      <c r="B199" s="34"/>
      <c r="C199">
        <v>1</v>
      </c>
      <c r="G199">
        <v>1</v>
      </c>
      <c r="H199">
        <f t="shared" si="34"/>
        <v>136</v>
      </c>
      <c r="I199" t="str">
        <f t="shared" si="31"/>
        <v>88</v>
      </c>
      <c r="J199" s="35"/>
    </row>
    <row r="200" spans="1:10" ht="9.75" customHeight="1">
      <c r="A200" s="33"/>
      <c r="B200" s="34"/>
      <c r="D200">
        <v>1</v>
      </c>
      <c r="E200">
        <v>1</v>
      </c>
      <c r="F200">
        <v>1</v>
      </c>
      <c r="H200">
        <f t="shared" si="34"/>
        <v>112</v>
      </c>
      <c r="I200" t="str">
        <f t="shared" si="31"/>
        <v>70</v>
      </c>
      <c r="J200" s="35"/>
    </row>
    <row r="201" spans="1:10" ht="9.75" customHeight="1">
      <c r="A201" s="33"/>
    </row>
    <row r="202" spans="1:10" ht="9.75" customHeight="1">
      <c r="A202" s="33">
        <v>57</v>
      </c>
      <c r="B202" s="34">
        <v>9</v>
      </c>
      <c r="D202">
        <v>1</v>
      </c>
      <c r="E202">
        <v>1</v>
      </c>
      <c r="F202">
        <v>1</v>
      </c>
      <c r="H202">
        <f t="shared" ref="H202:H512" si="35">C202*C$1+D202*D$1+E202*E$1+F202*F$1+G202*G$1</f>
        <v>112</v>
      </c>
      <c r="I202" t="str">
        <f t="shared" si="31"/>
        <v>70</v>
      </c>
      <c r="J202" s="35" t="str">
        <f>CONCATENATE("0x",I202,",0x",I203,",0x",I204,",0x",I205,",0x",I206,",0x",I207,",0x",I208,", //",B202)</f>
        <v>0x70,0x88,0x88,0x78,0x08,0x88,0x70, //9</v>
      </c>
    </row>
    <row r="203" spans="1:10" ht="9.75" customHeight="1">
      <c r="A203" s="33"/>
      <c r="B203" s="34"/>
      <c r="C203">
        <v>1</v>
      </c>
      <c r="G203">
        <v>1</v>
      </c>
      <c r="H203">
        <f t="shared" si="35"/>
        <v>136</v>
      </c>
      <c r="I203" t="str">
        <f t="shared" si="31"/>
        <v>88</v>
      </c>
      <c r="J203" s="35"/>
    </row>
    <row r="204" spans="1:10" ht="9.75" customHeight="1">
      <c r="A204" s="33"/>
      <c r="B204" s="34"/>
      <c r="C204">
        <v>1</v>
      </c>
      <c r="G204">
        <v>1</v>
      </c>
      <c r="H204">
        <f t="shared" si="35"/>
        <v>136</v>
      </c>
      <c r="I204" t="str">
        <f t="shared" si="31"/>
        <v>88</v>
      </c>
      <c r="J204" s="35"/>
    </row>
    <row r="205" spans="1:10" ht="9.75" customHeight="1">
      <c r="A205" s="33"/>
      <c r="B205" s="34"/>
      <c r="D205">
        <v>1</v>
      </c>
      <c r="E205">
        <v>1</v>
      </c>
      <c r="F205">
        <v>1</v>
      </c>
      <c r="G205">
        <v>1</v>
      </c>
      <c r="H205">
        <f t="shared" si="35"/>
        <v>120</v>
      </c>
      <c r="I205" t="str">
        <f t="shared" si="31"/>
        <v>78</v>
      </c>
      <c r="J205" s="35"/>
    </row>
    <row r="206" spans="1:10" ht="9.75" customHeight="1">
      <c r="A206" s="33"/>
      <c r="B206" s="34"/>
      <c r="G206">
        <v>1</v>
      </c>
      <c r="H206">
        <f t="shared" si="35"/>
        <v>8</v>
      </c>
      <c r="I206" t="str">
        <f t="shared" si="31"/>
        <v>08</v>
      </c>
      <c r="J206" s="35"/>
    </row>
    <row r="207" spans="1:10" ht="9.75" customHeight="1">
      <c r="A207" s="33"/>
      <c r="B207" s="34"/>
      <c r="C207">
        <v>1</v>
      </c>
      <c r="G207">
        <v>1</v>
      </c>
      <c r="H207">
        <f t="shared" si="35"/>
        <v>136</v>
      </c>
      <c r="I207" t="str">
        <f t="shared" si="31"/>
        <v>88</v>
      </c>
      <c r="J207" s="35"/>
    </row>
    <row r="208" spans="1:10" ht="9.75" customHeight="1">
      <c r="A208" s="33"/>
      <c r="B208" s="34"/>
      <c r="D208">
        <v>1</v>
      </c>
      <c r="E208">
        <v>1</v>
      </c>
      <c r="F208">
        <v>1</v>
      </c>
      <c r="H208">
        <f t="shared" si="35"/>
        <v>112</v>
      </c>
      <c r="I208" t="str">
        <f t="shared" si="31"/>
        <v>70</v>
      </c>
      <c r="J208" s="35"/>
    </row>
    <row r="209" spans="1:10" ht="9.75" customHeight="1">
      <c r="A209" s="33"/>
      <c r="B209" s="27"/>
      <c r="J209" s="26"/>
    </row>
    <row r="210" spans="1:10" ht="9.75" customHeight="1">
      <c r="A210" s="33">
        <v>58</v>
      </c>
      <c r="B210" s="34" t="s">
        <v>114</v>
      </c>
      <c r="H210">
        <f t="shared" ref="H210:H216" si="36">C210*C$1+D210*D$1+E210*E$1+F210*F$1+G210*G$1</f>
        <v>0</v>
      </c>
      <c r="I210" t="str">
        <f t="shared" ref="I210:I216" si="37">DEC2HEX(H210,2)</f>
        <v>00</v>
      </c>
      <c r="J210" s="35" t="str">
        <f>CONCATENATE("0x",I210,",0x",I211,",0x",I212,",0x",I213,",0x",I214,",0x",I215,",0x",I216,", //",B210)</f>
        <v>0x00,0x00,0x20,0x00,0x00,0x00,0x20, //:</v>
      </c>
    </row>
    <row r="211" spans="1:10" ht="9.75" customHeight="1">
      <c r="A211" s="33"/>
      <c r="B211" s="34"/>
      <c r="H211">
        <f t="shared" si="36"/>
        <v>0</v>
      </c>
      <c r="I211" t="str">
        <f t="shared" si="37"/>
        <v>00</v>
      </c>
      <c r="J211" s="35"/>
    </row>
    <row r="212" spans="1:10" ht="9.75" customHeight="1">
      <c r="A212" s="33"/>
      <c r="B212" s="34"/>
      <c r="E212">
        <v>1</v>
      </c>
      <c r="H212">
        <f t="shared" si="36"/>
        <v>32</v>
      </c>
      <c r="I212" t="str">
        <f t="shared" si="37"/>
        <v>20</v>
      </c>
      <c r="J212" s="35"/>
    </row>
    <row r="213" spans="1:10" ht="9.75" customHeight="1">
      <c r="A213" s="33"/>
      <c r="B213" s="34"/>
      <c r="H213">
        <f t="shared" si="36"/>
        <v>0</v>
      </c>
      <c r="I213" t="str">
        <f t="shared" si="37"/>
        <v>00</v>
      </c>
      <c r="J213" s="35"/>
    </row>
    <row r="214" spans="1:10" ht="9.75" customHeight="1">
      <c r="A214" s="33"/>
      <c r="B214" s="34"/>
      <c r="H214">
        <f t="shared" si="36"/>
        <v>0</v>
      </c>
      <c r="I214" t="str">
        <f t="shared" si="37"/>
        <v>00</v>
      </c>
      <c r="J214" s="35"/>
    </row>
    <row r="215" spans="1:10" ht="9.75" customHeight="1">
      <c r="A215" s="33"/>
      <c r="B215" s="34"/>
      <c r="H215">
        <f t="shared" si="36"/>
        <v>0</v>
      </c>
      <c r="I215" t="str">
        <f t="shared" si="37"/>
        <v>00</v>
      </c>
      <c r="J215" s="35"/>
    </row>
    <row r="216" spans="1:10" ht="9.75" customHeight="1">
      <c r="A216" s="33"/>
      <c r="B216" s="34"/>
      <c r="E216">
        <v>1</v>
      </c>
      <c r="H216">
        <f t="shared" si="36"/>
        <v>32</v>
      </c>
      <c r="I216" t="str">
        <f t="shared" si="37"/>
        <v>20</v>
      </c>
      <c r="J216" s="35"/>
    </row>
    <row r="217" spans="1:10" ht="9.75" customHeight="1">
      <c r="A217" s="33"/>
      <c r="B217" s="27"/>
      <c r="J217" s="25"/>
    </row>
    <row r="218" spans="1:10" ht="9.75" customHeight="1">
      <c r="A218" s="33">
        <v>59</v>
      </c>
      <c r="B218" s="34" t="s">
        <v>115</v>
      </c>
      <c r="H218">
        <f t="shared" si="35"/>
        <v>0</v>
      </c>
      <c r="I218" t="str">
        <f t="shared" si="31"/>
        <v>00</v>
      </c>
      <c r="J218" s="35" t="str">
        <f>CONCATENATE("0x",I218,",0x",I219,",0x",I220,",0x",I221,",0x",I222,",0x",I223,",0x",I224,", //",B218)</f>
        <v>0x00,0x00,0x20,0x00,0x20,0x20,0x40, //;</v>
      </c>
    </row>
    <row r="219" spans="1:10" ht="9.75" customHeight="1">
      <c r="A219" s="33"/>
      <c r="B219" s="34"/>
      <c r="H219">
        <f t="shared" si="35"/>
        <v>0</v>
      </c>
      <c r="I219" t="str">
        <f t="shared" si="31"/>
        <v>00</v>
      </c>
      <c r="J219" s="35"/>
    </row>
    <row r="220" spans="1:10" ht="9.75" customHeight="1">
      <c r="A220" s="33"/>
      <c r="B220" s="34"/>
      <c r="E220">
        <v>1</v>
      </c>
      <c r="H220">
        <f t="shared" si="35"/>
        <v>32</v>
      </c>
      <c r="I220" t="str">
        <f t="shared" si="31"/>
        <v>20</v>
      </c>
      <c r="J220" s="35"/>
    </row>
    <row r="221" spans="1:10" ht="9.75" customHeight="1">
      <c r="A221" s="33"/>
      <c r="B221" s="34"/>
      <c r="H221">
        <f t="shared" si="35"/>
        <v>0</v>
      </c>
      <c r="I221" t="str">
        <f t="shared" si="31"/>
        <v>00</v>
      </c>
      <c r="J221" s="35"/>
    </row>
    <row r="222" spans="1:10" ht="9.75" customHeight="1">
      <c r="A222" s="33"/>
      <c r="B222" s="34"/>
      <c r="E222">
        <v>1</v>
      </c>
      <c r="H222">
        <f t="shared" si="35"/>
        <v>32</v>
      </c>
      <c r="I222" t="str">
        <f t="shared" si="31"/>
        <v>20</v>
      </c>
      <c r="J222" s="35"/>
    </row>
    <row r="223" spans="1:10" ht="9.75" customHeight="1">
      <c r="A223" s="33"/>
      <c r="B223" s="34"/>
      <c r="E223">
        <v>1</v>
      </c>
      <c r="H223">
        <f t="shared" si="35"/>
        <v>32</v>
      </c>
      <c r="I223" t="str">
        <f t="shared" si="31"/>
        <v>20</v>
      </c>
      <c r="J223" s="35"/>
    </row>
    <row r="224" spans="1:10" ht="9.75" customHeight="1">
      <c r="A224" s="33"/>
      <c r="B224" s="34"/>
      <c r="D224">
        <v>1</v>
      </c>
      <c r="H224">
        <f t="shared" si="35"/>
        <v>64</v>
      </c>
      <c r="I224" t="str">
        <f t="shared" si="31"/>
        <v>40</v>
      </c>
      <c r="J224" s="35"/>
    </row>
    <row r="225" spans="1:10" ht="9.75" customHeight="1">
      <c r="A225" s="33"/>
      <c r="B225" s="27"/>
      <c r="J225" s="25"/>
    </row>
    <row r="226" spans="1:10" ht="9.75" customHeight="1">
      <c r="A226" s="33">
        <v>60</v>
      </c>
      <c r="B226" s="34" t="s">
        <v>116</v>
      </c>
      <c r="F226">
        <v>1</v>
      </c>
      <c r="H226">
        <f t="shared" ref="H226:H232" si="38">C226*C$1+D226*D$1+E226*E$1+F226*F$1+G226*G$1</f>
        <v>16</v>
      </c>
      <c r="I226" t="str">
        <f t="shared" ref="I226:I232" si="39">DEC2HEX(H226,2)</f>
        <v>10</v>
      </c>
      <c r="J226" s="35" t="str">
        <f>CONCATENATE("0x",I226,",0x",I227,",0x",I228,",0x",I229,",0x",I230,",0x",I231,",0x",I232,", //",B226)</f>
        <v>0x10,0x20,0x40,0x80,0x40,0x20,0x10, //&lt;</v>
      </c>
    </row>
    <row r="227" spans="1:10" ht="9.75" customHeight="1">
      <c r="A227" s="33"/>
      <c r="B227" s="34"/>
      <c r="E227">
        <v>1</v>
      </c>
      <c r="H227">
        <f t="shared" si="38"/>
        <v>32</v>
      </c>
      <c r="I227" t="str">
        <f t="shared" si="39"/>
        <v>20</v>
      </c>
      <c r="J227" s="35"/>
    </row>
    <row r="228" spans="1:10" ht="9.75" customHeight="1">
      <c r="A228" s="33"/>
      <c r="B228" s="34"/>
      <c r="D228">
        <v>1</v>
      </c>
      <c r="H228">
        <f t="shared" si="38"/>
        <v>64</v>
      </c>
      <c r="I228" t="str">
        <f t="shared" si="39"/>
        <v>40</v>
      </c>
      <c r="J228" s="35"/>
    </row>
    <row r="229" spans="1:10" ht="9.75" customHeight="1">
      <c r="A229" s="33"/>
      <c r="B229" s="34"/>
      <c r="C229">
        <v>1</v>
      </c>
      <c r="H229">
        <f t="shared" si="38"/>
        <v>128</v>
      </c>
      <c r="I229" t="str">
        <f t="shared" si="39"/>
        <v>80</v>
      </c>
      <c r="J229" s="35"/>
    </row>
    <row r="230" spans="1:10" ht="9.75" customHeight="1">
      <c r="A230" s="33"/>
      <c r="B230" s="34"/>
      <c r="D230">
        <v>1</v>
      </c>
      <c r="H230">
        <f t="shared" si="38"/>
        <v>64</v>
      </c>
      <c r="I230" t="str">
        <f t="shared" si="39"/>
        <v>40</v>
      </c>
      <c r="J230" s="35"/>
    </row>
    <row r="231" spans="1:10" ht="9.75" customHeight="1">
      <c r="A231" s="33"/>
      <c r="B231" s="34"/>
      <c r="E231">
        <v>1</v>
      </c>
      <c r="H231">
        <f t="shared" si="38"/>
        <v>32</v>
      </c>
      <c r="I231" t="str">
        <f t="shared" si="39"/>
        <v>20</v>
      </c>
      <c r="J231" s="35"/>
    </row>
    <row r="232" spans="1:10" ht="9.75" customHeight="1">
      <c r="A232" s="33"/>
      <c r="B232" s="34"/>
      <c r="F232">
        <v>1</v>
      </c>
      <c r="H232">
        <f t="shared" si="38"/>
        <v>16</v>
      </c>
      <c r="I232" t="str">
        <f t="shared" si="39"/>
        <v>10</v>
      </c>
      <c r="J232" s="35"/>
    </row>
    <row r="233" spans="1:10" ht="9.75" customHeight="1">
      <c r="A233" s="33"/>
      <c r="B233" s="27"/>
      <c r="J233" s="25"/>
    </row>
    <row r="234" spans="1:10" ht="9.75" customHeight="1">
      <c r="A234" s="33">
        <v>61</v>
      </c>
      <c r="B234" s="36" t="s">
        <v>117</v>
      </c>
      <c r="H234">
        <f t="shared" ref="H234:H240" si="40">C234*C$1+D234*D$1+E234*E$1+F234*F$1+G234*G$1</f>
        <v>0</v>
      </c>
      <c r="I234" t="str">
        <f t="shared" ref="I234:I240" si="41">DEC2HEX(H234,2)</f>
        <v>00</v>
      </c>
      <c r="J234" s="35" t="str">
        <f>CONCATENATE("0x",I234,",0x",I235,",0x",I236,",0x",I237,",0x",I238,",0x",I239,",0x",I240,", //",B234)</f>
        <v>0x00,0x00,0xF8,0x00,0xF8,0x00,0x00, //=</v>
      </c>
    </row>
    <row r="235" spans="1:10" ht="9.75" customHeight="1">
      <c r="A235" s="33"/>
      <c r="B235" s="34"/>
      <c r="H235">
        <f t="shared" si="40"/>
        <v>0</v>
      </c>
      <c r="I235" t="str">
        <f t="shared" si="41"/>
        <v>00</v>
      </c>
      <c r="J235" s="35"/>
    </row>
    <row r="236" spans="1:10" ht="9.75" customHeight="1">
      <c r="A236" s="33"/>
      <c r="B236" s="34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40"/>
        <v>248</v>
      </c>
      <c r="I236" t="str">
        <f t="shared" si="41"/>
        <v>F8</v>
      </c>
      <c r="J236" s="35"/>
    </row>
    <row r="237" spans="1:10" ht="9.75" customHeight="1">
      <c r="A237" s="33"/>
      <c r="B237" s="34"/>
      <c r="H237">
        <f t="shared" si="40"/>
        <v>0</v>
      </c>
      <c r="I237" t="str">
        <f t="shared" si="41"/>
        <v>00</v>
      </c>
      <c r="J237" s="35"/>
    </row>
    <row r="238" spans="1:10" ht="9.75" customHeight="1">
      <c r="A238" s="33"/>
      <c r="B238" s="34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40"/>
        <v>248</v>
      </c>
      <c r="I238" t="str">
        <f t="shared" si="41"/>
        <v>F8</v>
      </c>
      <c r="J238" s="35"/>
    </row>
    <row r="239" spans="1:10" ht="9.75" customHeight="1">
      <c r="A239" s="33"/>
      <c r="B239" s="34"/>
      <c r="H239">
        <f t="shared" si="40"/>
        <v>0</v>
      </c>
      <c r="I239" t="str">
        <f t="shared" si="41"/>
        <v>00</v>
      </c>
      <c r="J239" s="35"/>
    </row>
    <row r="240" spans="1:10" ht="9.75" customHeight="1">
      <c r="A240" s="33"/>
      <c r="B240" s="34"/>
      <c r="H240">
        <f t="shared" si="40"/>
        <v>0</v>
      </c>
      <c r="I240" t="str">
        <f t="shared" si="41"/>
        <v>00</v>
      </c>
      <c r="J240" s="35"/>
    </row>
    <row r="241" spans="1:10" ht="9.75" customHeight="1">
      <c r="A241" s="33"/>
      <c r="B241" s="27"/>
      <c r="J241" s="26"/>
    </row>
    <row r="242" spans="1:10" ht="9.75" customHeight="1">
      <c r="A242" s="33">
        <v>62</v>
      </c>
      <c r="B242" s="36" t="s">
        <v>118</v>
      </c>
      <c r="C242">
        <v>1</v>
      </c>
      <c r="H242">
        <f t="shared" ref="H242:H248" si="42">C242*C$1+D242*D$1+E242*E$1+F242*F$1+G242*G$1</f>
        <v>128</v>
      </c>
      <c r="I242" t="str">
        <f t="shared" ref="I242:I248" si="43">DEC2HEX(H242,2)</f>
        <v>80</v>
      </c>
      <c r="J242" s="35" t="str">
        <f>CONCATENATE("0x",I242,",0x",I243,",0x",I244,",0x",I245,",0x",I246,",0x",I247,",0x",I248,", //",B242)</f>
        <v>0x80,0x40,0x20,0x10,0x20,0x40,0x80, //&gt;</v>
      </c>
    </row>
    <row r="243" spans="1:10" ht="9.75" customHeight="1">
      <c r="A243" s="33"/>
      <c r="B243" s="34"/>
      <c r="D243">
        <v>1</v>
      </c>
      <c r="H243">
        <f t="shared" si="42"/>
        <v>64</v>
      </c>
      <c r="I243" t="str">
        <f t="shared" si="43"/>
        <v>40</v>
      </c>
      <c r="J243" s="35"/>
    </row>
    <row r="244" spans="1:10" ht="9.75" customHeight="1">
      <c r="A244" s="33"/>
      <c r="B244" s="34"/>
      <c r="E244">
        <v>1</v>
      </c>
      <c r="H244">
        <f t="shared" si="42"/>
        <v>32</v>
      </c>
      <c r="I244" t="str">
        <f t="shared" si="43"/>
        <v>20</v>
      </c>
      <c r="J244" s="35"/>
    </row>
    <row r="245" spans="1:10" ht="9.75" customHeight="1">
      <c r="A245" s="33"/>
      <c r="B245" s="34"/>
      <c r="F245">
        <v>1</v>
      </c>
      <c r="H245">
        <f t="shared" si="42"/>
        <v>16</v>
      </c>
      <c r="I245" t="str">
        <f t="shared" si="43"/>
        <v>10</v>
      </c>
      <c r="J245" s="35"/>
    </row>
    <row r="246" spans="1:10" ht="9.75" customHeight="1">
      <c r="A246" s="33"/>
      <c r="B246" s="34"/>
      <c r="E246">
        <v>1</v>
      </c>
      <c r="H246">
        <f t="shared" si="42"/>
        <v>32</v>
      </c>
      <c r="I246" t="str">
        <f t="shared" si="43"/>
        <v>20</v>
      </c>
      <c r="J246" s="35"/>
    </row>
    <row r="247" spans="1:10" ht="9.75" customHeight="1">
      <c r="A247" s="33"/>
      <c r="B247" s="34"/>
      <c r="D247">
        <v>1</v>
      </c>
      <c r="H247">
        <f t="shared" si="42"/>
        <v>64</v>
      </c>
      <c r="I247" t="str">
        <f t="shared" si="43"/>
        <v>40</v>
      </c>
      <c r="J247" s="35"/>
    </row>
    <row r="248" spans="1:10" ht="9.75" customHeight="1">
      <c r="A248" s="33"/>
      <c r="B248" s="34"/>
      <c r="C248">
        <v>1</v>
      </c>
      <c r="H248">
        <f t="shared" si="42"/>
        <v>128</v>
      </c>
      <c r="I248" t="str">
        <f t="shared" si="43"/>
        <v>80</v>
      </c>
      <c r="J248" s="35"/>
    </row>
    <row r="249" spans="1:10" ht="9.75" customHeight="1">
      <c r="A249" s="33"/>
      <c r="B249" s="27"/>
      <c r="J249" s="25"/>
    </row>
    <row r="250" spans="1:10" ht="9.75" customHeight="1">
      <c r="A250" s="33">
        <v>63</v>
      </c>
      <c r="B250" s="34" t="s">
        <v>119</v>
      </c>
      <c r="E250">
        <v>1</v>
      </c>
      <c r="F250">
        <v>1</v>
      </c>
      <c r="H250">
        <f t="shared" si="35"/>
        <v>48</v>
      </c>
      <c r="I250" t="str">
        <f t="shared" si="31"/>
        <v>30</v>
      </c>
      <c r="J250" s="35" t="str">
        <f>CONCATENATE("0x",I250,",0x",I251,",0x",I252,",0x",I253,",0x",I254,",0x",I255,",0x",I256,", //",B250)</f>
        <v>0x30,0x48,0x08,0x30,0x20,0x00,0x20, //?</v>
      </c>
    </row>
    <row r="251" spans="1:10" ht="9.75" customHeight="1">
      <c r="A251" s="33"/>
      <c r="B251" s="34"/>
      <c r="D251">
        <v>1</v>
      </c>
      <c r="G251">
        <v>1</v>
      </c>
      <c r="H251">
        <f t="shared" si="35"/>
        <v>72</v>
      </c>
      <c r="I251" t="str">
        <f t="shared" si="31"/>
        <v>48</v>
      </c>
      <c r="J251" s="35"/>
    </row>
    <row r="252" spans="1:10" ht="9.75" customHeight="1">
      <c r="A252" s="33"/>
      <c r="B252" s="34"/>
      <c r="G252">
        <v>1</v>
      </c>
      <c r="H252">
        <f t="shared" si="35"/>
        <v>8</v>
      </c>
      <c r="I252" t="str">
        <f t="shared" si="31"/>
        <v>08</v>
      </c>
      <c r="J252" s="35"/>
    </row>
    <row r="253" spans="1:10" ht="9.75" customHeight="1">
      <c r="A253" s="33"/>
      <c r="B253" s="34"/>
      <c r="E253">
        <v>1</v>
      </c>
      <c r="F253">
        <v>1</v>
      </c>
      <c r="H253">
        <f t="shared" si="35"/>
        <v>48</v>
      </c>
      <c r="I253" t="str">
        <f t="shared" si="31"/>
        <v>30</v>
      </c>
      <c r="J253" s="35"/>
    </row>
    <row r="254" spans="1:10" ht="9.75" customHeight="1">
      <c r="A254" s="33"/>
      <c r="B254" s="34"/>
      <c r="E254">
        <v>1</v>
      </c>
      <c r="H254">
        <f t="shared" si="35"/>
        <v>32</v>
      </c>
      <c r="I254" t="str">
        <f t="shared" si="31"/>
        <v>20</v>
      </c>
      <c r="J254" s="35"/>
    </row>
    <row r="255" spans="1:10" ht="9.75" customHeight="1">
      <c r="A255" s="33"/>
      <c r="B255" s="34"/>
      <c r="H255">
        <f t="shared" si="35"/>
        <v>0</v>
      </c>
      <c r="I255" t="str">
        <f t="shared" si="31"/>
        <v>00</v>
      </c>
      <c r="J255" s="35"/>
    </row>
    <row r="256" spans="1:10" ht="9.75" customHeight="1">
      <c r="A256" s="33"/>
      <c r="B256" s="34"/>
      <c r="E256">
        <v>1</v>
      </c>
      <c r="H256">
        <f t="shared" si="35"/>
        <v>32</v>
      </c>
      <c r="I256" t="str">
        <f t="shared" si="31"/>
        <v>20</v>
      </c>
      <c r="J256" s="35"/>
    </row>
    <row r="257" spans="1:10" ht="9.75" customHeight="1">
      <c r="A257" s="33"/>
      <c r="B257" s="27"/>
      <c r="J257" s="25"/>
    </row>
    <row r="258" spans="1:10" ht="9.75" customHeight="1">
      <c r="A258" s="33">
        <v>64</v>
      </c>
      <c r="B258" s="34" t="s">
        <v>120</v>
      </c>
      <c r="H258">
        <f t="shared" ref="H258:H264" si="44">C258*C$1+D258*D$1+E258*E$1+F258*F$1+G258*G$1</f>
        <v>0</v>
      </c>
      <c r="I258" t="str">
        <f t="shared" ref="I258:I264" si="45">DEC2HEX(H258,2)</f>
        <v>00</v>
      </c>
      <c r="J258" s="35" t="str">
        <f>CONCATENATE("0x",I258,",0x",I259,",0x",I260,",0x",I261,",0x",I262,",0x",I263,",0x",I264,", //",B258)</f>
        <v>0x00,0x00,0x00,0x00,0x00,0x00,0x00, //@</v>
      </c>
    </row>
    <row r="259" spans="1:10" ht="9.75" customHeight="1">
      <c r="A259" s="33"/>
      <c r="B259" s="34"/>
      <c r="H259">
        <f t="shared" si="44"/>
        <v>0</v>
      </c>
      <c r="I259" t="str">
        <f t="shared" si="45"/>
        <v>00</v>
      </c>
      <c r="J259" s="35"/>
    </row>
    <row r="260" spans="1:10" ht="9.75" customHeight="1">
      <c r="A260" s="33"/>
      <c r="B260" s="34"/>
      <c r="H260">
        <f t="shared" si="44"/>
        <v>0</v>
      </c>
      <c r="I260" t="str">
        <f t="shared" si="45"/>
        <v>00</v>
      </c>
      <c r="J260" s="35"/>
    </row>
    <row r="261" spans="1:10" ht="9.75" customHeight="1">
      <c r="A261" s="33"/>
      <c r="B261" s="34"/>
      <c r="H261">
        <f t="shared" si="44"/>
        <v>0</v>
      </c>
      <c r="I261" t="str">
        <f t="shared" si="45"/>
        <v>00</v>
      </c>
      <c r="J261" s="35"/>
    </row>
    <row r="262" spans="1:10" ht="9.75" customHeight="1">
      <c r="A262" s="33"/>
      <c r="B262" s="34"/>
      <c r="H262">
        <f t="shared" si="44"/>
        <v>0</v>
      </c>
      <c r="I262" t="str">
        <f t="shared" si="45"/>
        <v>00</v>
      </c>
      <c r="J262" s="35"/>
    </row>
    <row r="263" spans="1:10" ht="9.75" customHeight="1">
      <c r="A263" s="33"/>
      <c r="B263" s="34"/>
      <c r="H263">
        <f t="shared" si="44"/>
        <v>0</v>
      </c>
      <c r="I263" t="str">
        <f t="shared" si="45"/>
        <v>00</v>
      </c>
      <c r="J263" s="35"/>
    </row>
    <row r="264" spans="1:10" ht="9.75" customHeight="1">
      <c r="A264" s="33"/>
      <c r="B264" s="34"/>
      <c r="H264">
        <f t="shared" si="44"/>
        <v>0</v>
      </c>
      <c r="I264" t="str">
        <f t="shared" si="45"/>
        <v>00</v>
      </c>
      <c r="J264" s="35"/>
    </row>
    <row r="265" spans="1:10" ht="9.75" customHeight="1">
      <c r="A265" s="33"/>
      <c r="B265" s="27"/>
      <c r="J265" s="25"/>
    </row>
    <row r="266" spans="1:10" ht="9.75" customHeight="1">
      <c r="A266" s="33">
        <v>65</v>
      </c>
      <c r="B266" s="34" t="s">
        <v>121</v>
      </c>
      <c r="D266">
        <v>1</v>
      </c>
      <c r="E266">
        <v>1</v>
      </c>
      <c r="F266">
        <v>1</v>
      </c>
      <c r="H266">
        <f t="shared" si="35"/>
        <v>112</v>
      </c>
      <c r="I266" t="str">
        <f>DEC2HEX(H266,2)</f>
        <v>70</v>
      </c>
      <c r="J266" s="35" t="str">
        <f>CONCATENATE("0x",I266,",0x",I267,",0x",I268,",0x",I269,",0x",I270,",0x",I271,",0x",I272,", //",B266)</f>
        <v>0x70,0x88,0x88,0xF8,0x88,0x88,0x88, //A</v>
      </c>
    </row>
    <row r="267" spans="1:10" ht="9.75" customHeight="1">
      <c r="A267" s="33"/>
      <c r="B267" s="34"/>
      <c r="C267">
        <v>1</v>
      </c>
      <c r="G267">
        <v>1</v>
      </c>
      <c r="H267">
        <f t="shared" si="35"/>
        <v>136</v>
      </c>
      <c r="I267" t="str">
        <f t="shared" si="31"/>
        <v>88</v>
      </c>
      <c r="J267" s="35"/>
    </row>
    <row r="268" spans="1:10" ht="9.75" customHeight="1">
      <c r="A268" s="33"/>
      <c r="B268" s="34"/>
      <c r="C268">
        <v>1</v>
      </c>
      <c r="G268">
        <v>1</v>
      </c>
      <c r="H268">
        <f t="shared" si="35"/>
        <v>136</v>
      </c>
      <c r="I268" t="str">
        <f t="shared" si="31"/>
        <v>88</v>
      </c>
      <c r="J268" s="35"/>
    </row>
    <row r="269" spans="1:10" ht="9.75" customHeight="1">
      <c r="A269" s="33"/>
      <c r="B269" s="34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5"/>
        <v>248</v>
      </c>
      <c r="I269" t="str">
        <f t="shared" si="31"/>
        <v>F8</v>
      </c>
      <c r="J269" s="35"/>
    </row>
    <row r="270" spans="1:10" ht="9.75" customHeight="1">
      <c r="A270" s="33"/>
      <c r="B270" s="34"/>
      <c r="C270">
        <v>1</v>
      </c>
      <c r="G270">
        <v>1</v>
      </c>
      <c r="H270">
        <f t="shared" si="35"/>
        <v>136</v>
      </c>
      <c r="I270" t="str">
        <f t="shared" si="31"/>
        <v>88</v>
      </c>
      <c r="J270" s="35"/>
    </row>
    <row r="271" spans="1:10" ht="9.75" customHeight="1">
      <c r="A271" s="33"/>
      <c r="B271" s="34"/>
      <c r="C271">
        <v>1</v>
      </c>
      <c r="G271">
        <v>1</v>
      </c>
      <c r="H271">
        <f t="shared" si="35"/>
        <v>136</v>
      </c>
      <c r="I271" t="str">
        <f t="shared" si="31"/>
        <v>88</v>
      </c>
      <c r="J271" s="35"/>
    </row>
    <row r="272" spans="1:10" ht="9.75" customHeight="1">
      <c r="A272" s="33"/>
      <c r="B272" s="34"/>
      <c r="C272">
        <v>1</v>
      </c>
      <c r="G272">
        <v>1</v>
      </c>
      <c r="H272">
        <f t="shared" si="35"/>
        <v>136</v>
      </c>
      <c r="I272" t="str">
        <f t="shared" si="31"/>
        <v>88</v>
      </c>
      <c r="J272" s="35"/>
    </row>
    <row r="273" spans="1:10" ht="9.75" customHeight="1">
      <c r="A273" s="33"/>
      <c r="B273" s="27"/>
      <c r="J273" s="25"/>
    </row>
    <row r="274" spans="1:10" ht="9.75" customHeight="1">
      <c r="A274" s="33">
        <v>66</v>
      </c>
      <c r="B274" s="34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6">C274*C$1+D274*D$1+E274*E$1+F274*F$1+G274*G$1</f>
        <v>240</v>
      </c>
      <c r="I274" t="str">
        <f t="shared" ref="I274:I280" si="47">DEC2HEX(H274,2)</f>
        <v>F0</v>
      </c>
      <c r="J274" s="35" t="str">
        <f>CONCATENATE("0x",I274,",0x",I275,",0x",I276,",0x",I277,",0x",I278,",0x",I279,",0x",I280,", //",B274)</f>
        <v>0xF0,0x88,0x88,0xF8,0x88,0x88,0xF0, //B</v>
      </c>
    </row>
    <row r="275" spans="1:10" ht="9.75" customHeight="1">
      <c r="A275" s="33"/>
      <c r="B275" s="34"/>
      <c r="C275">
        <v>1</v>
      </c>
      <c r="G275">
        <v>1</v>
      </c>
      <c r="H275">
        <f t="shared" si="46"/>
        <v>136</v>
      </c>
      <c r="I275" t="str">
        <f t="shared" si="47"/>
        <v>88</v>
      </c>
      <c r="J275" s="35"/>
    </row>
    <row r="276" spans="1:10" ht="9.75" customHeight="1">
      <c r="A276" s="33"/>
      <c r="B276" s="34"/>
      <c r="C276">
        <v>1</v>
      </c>
      <c r="G276">
        <v>1</v>
      </c>
      <c r="H276">
        <f t="shared" si="46"/>
        <v>136</v>
      </c>
      <c r="I276" t="str">
        <f t="shared" si="47"/>
        <v>88</v>
      </c>
      <c r="J276" s="35"/>
    </row>
    <row r="277" spans="1:10" ht="9.75" customHeight="1">
      <c r="A277" s="33"/>
      <c r="B277" s="34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6"/>
        <v>248</v>
      </c>
      <c r="I277" t="str">
        <f t="shared" si="47"/>
        <v>F8</v>
      </c>
      <c r="J277" s="35"/>
    </row>
    <row r="278" spans="1:10" ht="9.75" customHeight="1">
      <c r="A278" s="33"/>
      <c r="B278" s="34"/>
      <c r="C278">
        <v>1</v>
      </c>
      <c r="G278">
        <v>1</v>
      </c>
      <c r="H278">
        <f t="shared" si="46"/>
        <v>136</v>
      </c>
      <c r="I278" t="str">
        <f t="shared" si="47"/>
        <v>88</v>
      </c>
      <c r="J278" s="35"/>
    </row>
    <row r="279" spans="1:10" ht="9.75" customHeight="1">
      <c r="A279" s="33"/>
      <c r="B279" s="34"/>
      <c r="C279">
        <v>1</v>
      </c>
      <c r="G279">
        <v>1</v>
      </c>
      <c r="H279">
        <f t="shared" si="46"/>
        <v>136</v>
      </c>
      <c r="I279" t="str">
        <f t="shared" si="47"/>
        <v>88</v>
      </c>
      <c r="J279" s="35"/>
    </row>
    <row r="280" spans="1:10" ht="9.75" customHeight="1">
      <c r="A280" s="33"/>
      <c r="B280" s="34"/>
      <c r="C280">
        <v>1</v>
      </c>
      <c r="D280">
        <v>1</v>
      </c>
      <c r="E280">
        <v>1</v>
      </c>
      <c r="F280">
        <v>1</v>
      </c>
      <c r="H280">
        <f t="shared" si="46"/>
        <v>240</v>
      </c>
      <c r="I280" t="str">
        <f t="shared" si="47"/>
        <v>F0</v>
      </c>
      <c r="J280" s="35"/>
    </row>
    <row r="281" spans="1:10" ht="9.75" customHeight="1">
      <c r="A281" s="33"/>
      <c r="B281" s="27"/>
      <c r="J281" s="25"/>
    </row>
    <row r="282" spans="1:10" ht="9.75" customHeight="1">
      <c r="A282" s="33">
        <v>67</v>
      </c>
      <c r="B282" s="34" t="s">
        <v>2</v>
      </c>
      <c r="D282">
        <v>1</v>
      </c>
      <c r="E282">
        <v>1</v>
      </c>
      <c r="F282">
        <v>1</v>
      </c>
      <c r="H282">
        <f t="shared" si="35"/>
        <v>112</v>
      </c>
      <c r="I282" t="str">
        <f t="shared" si="31"/>
        <v>70</v>
      </c>
      <c r="J282" s="35" t="str">
        <f>CONCATENATE("0x",I282,",0x",I283,",0x",I284,",0x",I285,",0x",I286,",0x",I287,",0x",I288,", //",B282)</f>
        <v>0x70,0x88,0x80,0x80,0x80,0x88,0x70, //C</v>
      </c>
    </row>
    <row r="283" spans="1:10" ht="9.75" customHeight="1">
      <c r="A283" s="33"/>
      <c r="B283" s="34"/>
      <c r="C283">
        <v>1</v>
      </c>
      <c r="G283">
        <v>1</v>
      </c>
      <c r="H283">
        <f t="shared" si="35"/>
        <v>136</v>
      </c>
      <c r="I283" t="str">
        <f t="shared" si="31"/>
        <v>88</v>
      </c>
      <c r="J283" s="35"/>
    </row>
    <row r="284" spans="1:10" ht="9.75" customHeight="1">
      <c r="A284" s="33"/>
      <c r="B284" s="34"/>
      <c r="C284">
        <v>1</v>
      </c>
      <c r="H284">
        <f t="shared" si="35"/>
        <v>128</v>
      </c>
      <c r="I284" t="str">
        <f t="shared" si="31"/>
        <v>80</v>
      </c>
      <c r="J284" s="35"/>
    </row>
    <row r="285" spans="1:10" ht="9.75" customHeight="1">
      <c r="A285" s="33"/>
      <c r="B285" s="34"/>
      <c r="C285">
        <v>1</v>
      </c>
      <c r="H285">
        <f t="shared" si="35"/>
        <v>128</v>
      </c>
      <c r="I285" t="str">
        <f t="shared" si="31"/>
        <v>80</v>
      </c>
      <c r="J285" s="35"/>
    </row>
    <row r="286" spans="1:10" ht="9.75" customHeight="1">
      <c r="A286" s="33"/>
      <c r="B286" s="34"/>
      <c r="C286">
        <v>1</v>
      </c>
      <c r="H286">
        <f t="shared" si="35"/>
        <v>128</v>
      </c>
      <c r="I286" t="str">
        <f t="shared" si="31"/>
        <v>80</v>
      </c>
      <c r="J286" s="35"/>
    </row>
    <row r="287" spans="1:10" ht="9.75" customHeight="1">
      <c r="A287" s="33"/>
      <c r="B287" s="34"/>
      <c r="C287">
        <v>1</v>
      </c>
      <c r="G287">
        <v>1</v>
      </c>
      <c r="H287">
        <f t="shared" si="35"/>
        <v>136</v>
      </c>
      <c r="I287" t="str">
        <f t="shared" si="31"/>
        <v>88</v>
      </c>
      <c r="J287" s="35"/>
    </row>
    <row r="288" spans="1:10" ht="9.75" customHeight="1">
      <c r="A288" s="33"/>
      <c r="B288" s="34"/>
      <c r="D288">
        <v>1</v>
      </c>
      <c r="E288">
        <v>1</v>
      </c>
      <c r="F288">
        <v>1</v>
      </c>
      <c r="H288">
        <f t="shared" si="35"/>
        <v>112</v>
      </c>
      <c r="I288" t="str">
        <f t="shared" si="31"/>
        <v>70</v>
      </c>
      <c r="J288" s="35"/>
    </row>
    <row r="289" spans="1:10" ht="9.75" customHeight="1">
      <c r="A289" s="33"/>
      <c r="B289" s="27"/>
      <c r="J289" s="25"/>
    </row>
    <row r="290" spans="1:10" ht="9.75" customHeight="1">
      <c r="A290" s="33">
        <v>68</v>
      </c>
      <c r="B290" s="34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8">C290*C$1+D290*D$1+E290*E$1+F290*F$1+G290*G$1</f>
        <v>240</v>
      </c>
      <c r="I290" t="str">
        <f t="shared" ref="I290:I296" si="49">DEC2HEX(H290,2)</f>
        <v>F0</v>
      </c>
      <c r="J290" s="35" t="str">
        <f>CONCATENATE("0x",I290,",0x",I291,",0x",I292,",0x",I293,",0x",I294,",0x",I295,",0x",I296,", //",B290)</f>
        <v>0xF0,0x88,0x88,0x88,0x88,0x88,0xF0, //D</v>
      </c>
    </row>
    <row r="291" spans="1:10" ht="9.75" customHeight="1">
      <c r="A291" s="33"/>
      <c r="B291" s="34"/>
      <c r="C291">
        <v>1</v>
      </c>
      <c r="G291">
        <v>1</v>
      </c>
      <c r="H291">
        <f t="shared" si="48"/>
        <v>136</v>
      </c>
      <c r="I291" t="str">
        <f t="shared" si="49"/>
        <v>88</v>
      </c>
      <c r="J291" s="35"/>
    </row>
    <row r="292" spans="1:10" ht="9.75" customHeight="1">
      <c r="A292" s="33"/>
      <c r="B292" s="34"/>
      <c r="C292">
        <v>1</v>
      </c>
      <c r="G292">
        <v>1</v>
      </c>
      <c r="H292">
        <f t="shared" si="48"/>
        <v>136</v>
      </c>
      <c r="I292" t="str">
        <f t="shared" si="49"/>
        <v>88</v>
      </c>
      <c r="J292" s="35"/>
    </row>
    <row r="293" spans="1:10" ht="9.75" customHeight="1">
      <c r="A293" s="33"/>
      <c r="B293" s="34"/>
      <c r="C293">
        <v>1</v>
      </c>
      <c r="G293">
        <v>1</v>
      </c>
      <c r="H293">
        <f t="shared" si="48"/>
        <v>136</v>
      </c>
      <c r="I293" t="str">
        <f t="shared" si="49"/>
        <v>88</v>
      </c>
      <c r="J293" s="35"/>
    </row>
    <row r="294" spans="1:10" ht="9.75" customHeight="1">
      <c r="A294" s="33"/>
      <c r="B294" s="34"/>
      <c r="C294">
        <v>1</v>
      </c>
      <c r="G294">
        <v>1</v>
      </c>
      <c r="H294">
        <f t="shared" si="48"/>
        <v>136</v>
      </c>
      <c r="I294" t="str">
        <f t="shared" si="49"/>
        <v>88</v>
      </c>
      <c r="J294" s="35"/>
    </row>
    <row r="295" spans="1:10" ht="9.75" customHeight="1">
      <c r="A295" s="33"/>
      <c r="B295" s="34"/>
      <c r="C295">
        <v>1</v>
      </c>
      <c r="G295">
        <v>1</v>
      </c>
      <c r="H295">
        <f t="shared" si="48"/>
        <v>136</v>
      </c>
      <c r="I295" t="str">
        <f t="shared" si="49"/>
        <v>88</v>
      </c>
      <c r="J295" s="35"/>
    </row>
    <row r="296" spans="1:10" ht="9.75" customHeight="1">
      <c r="A296" s="33"/>
      <c r="B296" s="34"/>
      <c r="C296">
        <v>1</v>
      </c>
      <c r="D296">
        <v>1</v>
      </c>
      <c r="E296">
        <v>1</v>
      </c>
      <c r="F296">
        <v>1</v>
      </c>
      <c r="H296">
        <f t="shared" si="48"/>
        <v>240</v>
      </c>
      <c r="I296" t="str">
        <f t="shared" si="49"/>
        <v>F0</v>
      </c>
      <c r="J296" s="35"/>
    </row>
    <row r="297" spans="1:10" ht="9.75" customHeight="1">
      <c r="A297" s="33"/>
      <c r="B297" s="27"/>
      <c r="J297" s="25"/>
    </row>
    <row r="298" spans="1:10" ht="9.75" customHeight="1">
      <c r="A298" s="33">
        <v>69</v>
      </c>
      <c r="B298" s="34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5"/>
        <v>248</v>
      </c>
      <c r="I298" t="str">
        <f t="shared" si="31"/>
        <v>F8</v>
      </c>
      <c r="J298" s="35" t="str">
        <f>CONCATENATE("0x",I298,",0x",I299,",0x",I300,",0x",I301,",0x",I302,",0x",I303,",0x",I304,", //",B298)</f>
        <v>0xF8,0x80,0x80,0xF0,0x80,0x80,0xF8, //E</v>
      </c>
    </row>
    <row r="299" spans="1:10" ht="9.75" customHeight="1">
      <c r="A299" s="33"/>
      <c r="B299" s="34"/>
      <c r="C299">
        <v>1</v>
      </c>
      <c r="H299">
        <f t="shared" si="35"/>
        <v>128</v>
      </c>
      <c r="I299" t="str">
        <f t="shared" si="31"/>
        <v>80</v>
      </c>
      <c r="J299" s="35"/>
    </row>
    <row r="300" spans="1:10" ht="9.75" customHeight="1">
      <c r="A300" s="33"/>
      <c r="B300" s="34"/>
      <c r="C300">
        <v>1</v>
      </c>
      <c r="H300">
        <f t="shared" si="35"/>
        <v>128</v>
      </c>
      <c r="I300" t="str">
        <f t="shared" si="31"/>
        <v>80</v>
      </c>
      <c r="J300" s="35"/>
    </row>
    <row r="301" spans="1:10" ht="9.75" customHeight="1">
      <c r="A301" s="33"/>
      <c r="B301" s="34"/>
      <c r="C301">
        <v>1</v>
      </c>
      <c r="D301">
        <v>1</v>
      </c>
      <c r="E301">
        <v>1</v>
      </c>
      <c r="F301">
        <v>1</v>
      </c>
      <c r="H301">
        <f t="shared" si="35"/>
        <v>240</v>
      </c>
      <c r="I301" t="str">
        <f t="shared" si="31"/>
        <v>F0</v>
      </c>
      <c r="J301" s="35"/>
    </row>
    <row r="302" spans="1:10" ht="9.75" customHeight="1">
      <c r="A302" s="33"/>
      <c r="B302" s="34"/>
      <c r="C302">
        <v>1</v>
      </c>
      <c r="H302">
        <f t="shared" si="35"/>
        <v>128</v>
      </c>
      <c r="I302" t="str">
        <f t="shared" si="31"/>
        <v>80</v>
      </c>
      <c r="J302" s="35"/>
    </row>
    <row r="303" spans="1:10" ht="9.75" customHeight="1">
      <c r="A303" s="33"/>
      <c r="B303" s="34"/>
      <c r="C303">
        <v>1</v>
      </c>
      <c r="H303">
        <f t="shared" si="35"/>
        <v>128</v>
      </c>
      <c r="I303" t="str">
        <f t="shared" si="31"/>
        <v>80</v>
      </c>
      <c r="J303" s="35"/>
    </row>
    <row r="304" spans="1:10" ht="9.75" customHeight="1">
      <c r="A304" s="33"/>
      <c r="B304" s="34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5"/>
        <v>248</v>
      </c>
      <c r="I304" t="str">
        <f t="shared" si="31"/>
        <v>F8</v>
      </c>
      <c r="J304" s="35"/>
    </row>
    <row r="305" spans="1:10" ht="9.75" customHeight="1">
      <c r="A305" s="33"/>
      <c r="B305" s="27"/>
      <c r="J305" s="25"/>
    </row>
    <row r="306" spans="1:10" ht="9.75" customHeight="1">
      <c r="A306" s="33">
        <v>70</v>
      </c>
      <c r="B306" s="34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50">C306*C$1+D306*D$1+E306*E$1+F306*F$1+G306*G$1</f>
        <v>248</v>
      </c>
      <c r="I306" t="str">
        <f t="shared" ref="I306:I312" si="51">DEC2HEX(H306,2)</f>
        <v>F8</v>
      </c>
      <c r="J306" s="35" t="str">
        <f>CONCATENATE("0x",I306,",0x",I307,",0x",I308,",0x",I309,",0x",I310,",0x",I311,",0x",I312,", //",B306)</f>
        <v>0xF8,0x80,0x80,0xF0,0x80,0x80,0x80, //F</v>
      </c>
    </row>
    <row r="307" spans="1:10" ht="9.75" customHeight="1">
      <c r="A307" s="33"/>
      <c r="B307" s="34"/>
      <c r="C307">
        <v>1</v>
      </c>
      <c r="H307">
        <f t="shared" si="50"/>
        <v>128</v>
      </c>
      <c r="I307" t="str">
        <f t="shared" si="51"/>
        <v>80</v>
      </c>
      <c r="J307" s="35"/>
    </row>
    <row r="308" spans="1:10" ht="9.75" customHeight="1">
      <c r="A308" s="33"/>
      <c r="B308" s="34"/>
      <c r="C308">
        <v>1</v>
      </c>
      <c r="H308">
        <f t="shared" si="50"/>
        <v>128</v>
      </c>
      <c r="I308" t="str">
        <f t="shared" si="51"/>
        <v>80</v>
      </c>
      <c r="J308" s="35"/>
    </row>
    <row r="309" spans="1:10" ht="9.75" customHeight="1">
      <c r="A309" s="33"/>
      <c r="B309" s="34"/>
      <c r="C309">
        <v>1</v>
      </c>
      <c r="D309">
        <v>1</v>
      </c>
      <c r="E309">
        <v>1</v>
      </c>
      <c r="F309">
        <v>1</v>
      </c>
      <c r="H309">
        <f t="shared" si="50"/>
        <v>240</v>
      </c>
      <c r="I309" t="str">
        <f t="shared" si="51"/>
        <v>F0</v>
      </c>
      <c r="J309" s="35"/>
    </row>
    <row r="310" spans="1:10" ht="9.75" customHeight="1">
      <c r="A310" s="33"/>
      <c r="B310" s="34"/>
      <c r="C310">
        <v>1</v>
      </c>
      <c r="H310">
        <f t="shared" si="50"/>
        <v>128</v>
      </c>
      <c r="I310" t="str">
        <f t="shared" si="51"/>
        <v>80</v>
      </c>
      <c r="J310" s="35"/>
    </row>
    <row r="311" spans="1:10" ht="9.75" customHeight="1">
      <c r="A311" s="33"/>
      <c r="B311" s="34"/>
      <c r="C311">
        <v>1</v>
      </c>
      <c r="H311">
        <f t="shared" si="50"/>
        <v>128</v>
      </c>
      <c r="I311" t="str">
        <f t="shared" si="51"/>
        <v>80</v>
      </c>
      <c r="J311" s="35"/>
    </row>
    <row r="312" spans="1:10" ht="9.75" customHeight="1">
      <c r="A312" s="33"/>
      <c r="B312" s="34"/>
      <c r="C312">
        <v>1</v>
      </c>
      <c r="H312">
        <f t="shared" si="50"/>
        <v>128</v>
      </c>
      <c r="I312" t="str">
        <f t="shared" si="51"/>
        <v>80</v>
      </c>
      <c r="J312" s="35"/>
    </row>
    <row r="313" spans="1:10" ht="9.75" customHeight="1">
      <c r="A313" s="33"/>
      <c r="B313" s="27"/>
      <c r="J313" s="25"/>
    </row>
    <row r="314" spans="1:10" ht="9.75" customHeight="1">
      <c r="A314" s="33">
        <v>71</v>
      </c>
      <c r="B314" s="34" t="s">
        <v>124</v>
      </c>
      <c r="D314">
        <v>1</v>
      </c>
      <c r="E314">
        <v>1</v>
      </c>
      <c r="F314">
        <v>1</v>
      </c>
      <c r="H314">
        <f t="shared" si="35"/>
        <v>112</v>
      </c>
      <c r="I314" t="str">
        <f t="shared" si="31"/>
        <v>70</v>
      </c>
      <c r="J314" s="35" t="str">
        <f>CONCATENATE("0x",I314,",0x",I315,",0x",I316,",0x",I317,",0x",I318,",0x",I319,",0x",I320,", //",B314)</f>
        <v>0x70,0x88,0x80,0xB8,0x88,0x88,0x78, //G</v>
      </c>
    </row>
    <row r="315" spans="1:10" ht="9.75" customHeight="1">
      <c r="A315" s="33"/>
      <c r="B315" s="34"/>
      <c r="C315">
        <v>1</v>
      </c>
      <c r="G315">
        <v>1</v>
      </c>
      <c r="H315">
        <f t="shared" si="35"/>
        <v>136</v>
      </c>
      <c r="I315" t="str">
        <f t="shared" si="31"/>
        <v>88</v>
      </c>
      <c r="J315" s="35"/>
    </row>
    <row r="316" spans="1:10" ht="9.75" customHeight="1">
      <c r="A316" s="33"/>
      <c r="B316" s="34"/>
      <c r="C316">
        <v>1</v>
      </c>
      <c r="H316">
        <f t="shared" si="35"/>
        <v>128</v>
      </c>
      <c r="I316" t="str">
        <f t="shared" si="31"/>
        <v>80</v>
      </c>
      <c r="J316" s="35"/>
    </row>
    <row r="317" spans="1:10" ht="9.75" customHeight="1">
      <c r="A317" s="33"/>
      <c r="B317" s="34"/>
      <c r="C317">
        <v>1</v>
      </c>
      <c r="E317">
        <v>1</v>
      </c>
      <c r="F317">
        <v>1</v>
      </c>
      <c r="G317">
        <v>1</v>
      </c>
      <c r="H317">
        <f t="shared" si="35"/>
        <v>184</v>
      </c>
      <c r="I317" t="str">
        <f t="shared" si="31"/>
        <v>B8</v>
      </c>
      <c r="J317" s="35"/>
    </row>
    <row r="318" spans="1:10" ht="9.75" customHeight="1">
      <c r="A318" s="33"/>
      <c r="B318" s="34"/>
      <c r="C318">
        <v>1</v>
      </c>
      <c r="G318">
        <v>1</v>
      </c>
      <c r="H318">
        <f t="shared" si="35"/>
        <v>136</v>
      </c>
      <c r="I318" t="str">
        <f t="shared" si="31"/>
        <v>88</v>
      </c>
      <c r="J318" s="35"/>
    </row>
    <row r="319" spans="1:10" ht="9.75" customHeight="1">
      <c r="A319" s="33"/>
      <c r="B319" s="34"/>
      <c r="C319">
        <v>1</v>
      </c>
      <c r="G319">
        <v>1</v>
      </c>
      <c r="H319">
        <f t="shared" si="35"/>
        <v>136</v>
      </c>
      <c r="I319" t="str">
        <f t="shared" si="31"/>
        <v>88</v>
      </c>
      <c r="J319" s="35"/>
    </row>
    <row r="320" spans="1:10" ht="9.75" customHeight="1">
      <c r="A320" s="33"/>
      <c r="B320" s="34"/>
      <c r="D320">
        <v>1</v>
      </c>
      <c r="E320">
        <v>1</v>
      </c>
      <c r="F320">
        <v>1</v>
      </c>
      <c r="G320">
        <v>1</v>
      </c>
      <c r="H320">
        <f t="shared" si="35"/>
        <v>120</v>
      </c>
      <c r="I320" t="str">
        <f t="shared" si="31"/>
        <v>78</v>
      </c>
      <c r="J320" s="35"/>
    </row>
    <row r="321" spans="1:10" ht="9.75" customHeight="1">
      <c r="A321" s="33"/>
      <c r="B321" s="27"/>
      <c r="J321" s="25"/>
    </row>
    <row r="322" spans="1:10" ht="9.75" customHeight="1">
      <c r="A322" s="33">
        <v>72</v>
      </c>
      <c r="B322" s="34" t="s">
        <v>125</v>
      </c>
      <c r="C322">
        <v>1</v>
      </c>
      <c r="G322">
        <v>1</v>
      </c>
      <c r="H322">
        <f t="shared" ref="H322:H328" si="52">C322*C$1+D322*D$1+E322*E$1+F322*F$1+G322*G$1</f>
        <v>136</v>
      </c>
      <c r="I322" t="str">
        <f t="shared" ref="I322:I328" si="53">DEC2HEX(H322,2)</f>
        <v>88</v>
      </c>
      <c r="J322" s="35" t="str">
        <f>CONCATENATE("0x",I322,",0x",I323,",0x",I324,",0x",I325,",0x",I326,",0x",I327,",0x",I328,", //",B322)</f>
        <v>0x88,0x88,0x88,0xF8,0x88,0x88,0x88, //H</v>
      </c>
    </row>
    <row r="323" spans="1:10" ht="9.75" customHeight="1">
      <c r="A323" s="33"/>
      <c r="B323" s="34"/>
      <c r="C323">
        <v>1</v>
      </c>
      <c r="G323">
        <v>1</v>
      </c>
      <c r="H323">
        <f t="shared" si="52"/>
        <v>136</v>
      </c>
      <c r="I323" t="str">
        <f t="shared" si="53"/>
        <v>88</v>
      </c>
      <c r="J323" s="35"/>
    </row>
    <row r="324" spans="1:10" ht="9.75" customHeight="1">
      <c r="A324" s="33"/>
      <c r="B324" s="34"/>
      <c r="C324">
        <v>1</v>
      </c>
      <c r="G324">
        <v>1</v>
      </c>
      <c r="H324">
        <f t="shared" si="52"/>
        <v>136</v>
      </c>
      <c r="I324" t="str">
        <f t="shared" si="53"/>
        <v>88</v>
      </c>
      <c r="J324" s="35"/>
    </row>
    <row r="325" spans="1:10" ht="9.75" customHeight="1">
      <c r="A325" s="33"/>
      <c r="B325" s="34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52"/>
        <v>248</v>
      </c>
      <c r="I325" t="str">
        <f t="shared" si="53"/>
        <v>F8</v>
      </c>
      <c r="J325" s="35"/>
    </row>
    <row r="326" spans="1:10" ht="9.75" customHeight="1">
      <c r="A326" s="33"/>
      <c r="B326" s="34"/>
      <c r="C326">
        <v>1</v>
      </c>
      <c r="G326">
        <v>1</v>
      </c>
      <c r="H326">
        <f t="shared" si="52"/>
        <v>136</v>
      </c>
      <c r="I326" t="str">
        <f t="shared" si="53"/>
        <v>88</v>
      </c>
      <c r="J326" s="35"/>
    </row>
    <row r="327" spans="1:10" ht="9.75" customHeight="1">
      <c r="A327" s="33"/>
      <c r="B327" s="34"/>
      <c r="C327">
        <v>1</v>
      </c>
      <c r="G327">
        <v>1</v>
      </c>
      <c r="H327">
        <f t="shared" si="52"/>
        <v>136</v>
      </c>
      <c r="I327" t="str">
        <f t="shared" si="53"/>
        <v>88</v>
      </c>
      <c r="J327" s="35"/>
    </row>
    <row r="328" spans="1:10" ht="9.75" customHeight="1">
      <c r="A328" s="33"/>
      <c r="B328" s="34"/>
      <c r="C328">
        <v>1</v>
      </c>
      <c r="G328">
        <v>1</v>
      </c>
      <c r="H328">
        <f t="shared" si="52"/>
        <v>136</v>
      </c>
      <c r="I328" t="str">
        <f t="shared" si="53"/>
        <v>88</v>
      </c>
      <c r="J328" s="35"/>
    </row>
    <row r="329" spans="1:10" ht="9.75" customHeight="1">
      <c r="A329" s="33"/>
      <c r="B329" s="27"/>
      <c r="J329" s="25"/>
    </row>
    <row r="330" spans="1:10" ht="9.75" customHeight="1">
      <c r="A330" s="33">
        <v>73</v>
      </c>
      <c r="B330" s="34" t="s">
        <v>126</v>
      </c>
      <c r="D330">
        <v>1</v>
      </c>
      <c r="E330">
        <v>1</v>
      </c>
      <c r="F330">
        <v>1</v>
      </c>
      <c r="H330">
        <f t="shared" si="35"/>
        <v>112</v>
      </c>
      <c r="I330" t="str">
        <f t="shared" si="31"/>
        <v>70</v>
      </c>
      <c r="J330" s="35" t="str">
        <f>CONCATENATE("0x",I330,",0x",I331,",0x",I332,",0x",I333,",0x",I334,",0x",I335,",0x",I336,", //",B330)</f>
        <v>0x70,0x20,0x20,0x20,0x20,0x20,0x70, //I</v>
      </c>
    </row>
    <row r="331" spans="1:10" ht="9.75" customHeight="1">
      <c r="A331" s="33"/>
      <c r="B331" s="34"/>
      <c r="E331">
        <v>1</v>
      </c>
      <c r="H331">
        <f t="shared" si="35"/>
        <v>32</v>
      </c>
      <c r="I331" t="str">
        <f t="shared" si="31"/>
        <v>20</v>
      </c>
      <c r="J331" s="35"/>
    </row>
    <row r="332" spans="1:10" ht="9.75" customHeight="1">
      <c r="A332" s="33"/>
      <c r="B332" s="34"/>
      <c r="E332">
        <v>1</v>
      </c>
      <c r="H332">
        <f t="shared" si="35"/>
        <v>32</v>
      </c>
      <c r="I332" t="str">
        <f t="shared" si="31"/>
        <v>20</v>
      </c>
      <c r="J332" s="35"/>
    </row>
    <row r="333" spans="1:10" ht="9.75" customHeight="1">
      <c r="A333" s="33"/>
      <c r="B333" s="34"/>
      <c r="E333">
        <v>1</v>
      </c>
      <c r="H333">
        <f t="shared" si="35"/>
        <v>32</v>
      </c>
      <c r="I333" t="str">
        <f t="shared" si="31"/>
        <v>20</v>
      </c>
      <c r="J333" s="35"/>
    </row>
    <row r="334" spans="1:10" ht="9.75" customHeight="1">
      <c r="A334" s="33"/>
      <c r="B334" s="34"/>
      <c r="E334">
        <v>1</v>
      </c>
      <c r="H334">
        <f t="shared" si="35"/>
        <v>32</v>
      </c>
      <c r="I334" t="str">
        <f t="shared" si="31"/>
        <v>20</v>
      </c>
      <c r="J334" s="35"/>
    </row>
    <row r="335" spans="1:10" ht="9.75" customHeight="1">
      <c r="A335" s="33"/>
      <c r="B335" s="34"/>
      <c r="E335">
        <v>1</v>
      </c>
      <c r="H335">
        <f t="shared" si="35"/>
        <v>32</v>
      </c>
      <c r="I335" t="str">
        <f t="shared" si="31"/>
        <v>20</v>
      </c>
      <c r="J335" s="35"/>
    </row>
    <row r="336" spans="1:10" ht="9.75" customHeight="1">
      <c r="A336" s="33"/>
      <c r="B336" s="34"/>
      <c r="D336">
        <v>1</v>
      </c>
      <c r="E336">
        <v>1</v>
      </c>
      <c r="F336">
        <v>1</v>
      </c>
      <c r="H336">
        <f t="shared" si="35"/>
        <v>112</v>
      </c>
      <c r="I336" t="str">
        <f t="shared" si="31"/>
        <v>70</v>
      </c>
      <c r="J336" s="35"/>
    </row>
    <row r="337" spans="1:10" ht="9.75" customHeight="1">
      <c r="A337" s="33"/>
      <c r="B337" s="27"/>
      <c r="J337" s="25"/>
    </row>
    <row r="338" spans="1:10" ht="9.75" customHeight="1">
      <c r="A338" s="33">
        <v>74</v>
      </c>
      <c r="B338" s="34" t="s">
        <v>127</v>
      </c>
      <c r="E338">
        <v>1</v>
      </c>
      <c r="F338">
        <v>1</v>
      </c>
      <c r="G338">
        <v>1</v>
      </c>
      <c r="H338">
        <f t="shared" ref="H338:H344" si="54">C338*C$1+D338*D$1+E338*E$1+F338*F$1+G338*G$1</f>
        <v>56</v>
      </c>
      <c r="I338" t="str">
        <f t="shared" ref="I338:I344" si="55">DEC2HEX(H338,2)</f>
        <v>38</v>
      </c>
      <c r="J338" s="35" t="str">
        <f>CONCATENATE("0x",I338,",0x",I339,",0x",I340,",0x",I341,",0x",I342,",0x",I343,",0x",I344,", //",B338)</f>
        <v>0x38,0x08,0x08,0x08,0x08,0x88,0x70, //J</v>
      </c>
    </row>
    <row r="339" spans="1:10" ht="9.75" customHeight="1">
      <c r="A339" s="33"/>
      <c r="B339" s="34"/>
      <c r="G339">
        <v>1</v>
      </c>
      <c r="H339">
        <f t="shared" si="54"/>
        <v>8</v>
      </c>
      <c r="I339" t="str">
        <f t="shared" si="55"/>
        <v>08</v>
      </c>
      <c r="J339" s="35"/>
    </row>
    <row r="340" spans="1:10" ht="9.75" customHeight="1">
      <c r="A340" s="33"/>
      <c r="B340" s="34"/>
      <c r="G340">
        <v>1</v>
      </c>
      <c r="H340">
        <f t="shared" si="54"/>
        <v>8</v>
      </c>
      <c r="I340" t="str">
        <f t="shared" si="55"/>
        <v>08</v>
      </c>
      <c r="J340" s="35"/>
    </row>
    <row r="341" spans="1:10" ht="9.75" customHeight="1">
      <c r="A341" s="33"/>
      <c r="B341" s="34"/>
      <c r="G341">
        <v>1</v>
      </c>
      <c r="H341">
        <f t="shared" si="54"/>
        <v>8</v>
      </c>
      <c r="I341" t="str">
        <f t="shared" si="55"/>
        <v>08</v>
      </c>
      <c r="J341" s="35"/>
    </row>
    <row r="342" spans="1:10" ht="9.75" customHeight="1">
      <c r="A342" s="33"/>
      <c r="B342" s="34"/>
      <c r="G342">
        <v>1</v>
      </c>
      <c r="H342">
        <f t="shared" si="54"/>
        <v>8</v>
      </c>
      <c r="I342" t="str">
        <f t="shared" si="55"/>
        <v>08</v>
      </c>
      <c r="J342" s="35"/>
    </row>
    <row r="343" spans="1:10" ht="9.75" customHeight="1">
      <c r="A343" s="33"/>
      <c r="B343" s="34"/>
      <c r="C343">
        <v>1</v>
      </c>
      <c r="G343">
        <v>1</v>
      </c>
      <c r="H343">
        <f t="shared" si="54"/>
        <v>136</v>
      </c>
      <c r="I343" t="str">
        <f t="shared" si="55"/>
        <v>88</v>
      </c>
      <c r="J343" s="35"/>
    </row>
    <row r="344" spans="1:10" ht="9.75" customHeight="1">
      <c r="A344" s="33"/>
      <c r="B344" s="34"/>
      <c r="D344">
        <v>1</v>
      </c>
      <c r="E344">
        <v>1</v>
      </c>
      <c r="F344">
        <v>1</v>
      </c>
      <c r="H344">
        <f t="shared" si="54"/>
        <v>112</v>
      </c>
      <c r="I344" t="str">
        <f t="shared" si="55"/>
        <v>70</v>
      </c>
      <c r="J344" s="35"/>
    </row>
    <row r="345" spans="1:10" ht="9.75" customHeight="1">
      <c r="A345" s="33"/>
      <c r="B345" s="27"/>
      <c r="J345" s="25"/>
    </row>
    <row r="346" spans="1:10" ht="9.75" customHeight="1">
      <c r="A346" s="33">
        <v>75</v>
      </c>
      <c r="B346" s="34" t="s">
        <v>128</v>
      </c>
      <c r="C346">
        <v>1</v>
      </c>
      <c r="G346">
        <v>1</v>
      </c>
      <c r="H346">
        <f t="shared" si="35"/>
        <v>136</v>
      </c>
      <c r="I346" t="str">
        <f t="shared" si="31"/>
        <v>88</v>
      </c>
      <c r="J346" s="35" t="str">
        <f>CONCATENATE("0x",I346,",0x",I347,",0x",I348,",0x",I349,",0x",I350,",0x",I351,",0x",I352,", //",B346)</f>
        <v>0x88,0x90,0xA0,0xC0,0xA0,0x90,0x88, //K</v>
      </c>
    </row>
    <row r="347" spans="1:10" ht="9.75" customHeight="1">
      <c r="A347" s="33"/>
      <c r="B347" s="34"/>
      <c r="C347">
        <v>1</v>
      </c>
      <c r="F347">
        <v>1</v>
      </c>
      <c r="H347">
        <f t="shared" si="35"/>
        <v>144</v>
      </c>
      <c r="I347" t="str">
        <f t="shared" si="31"/>
        <v>90</v>
      </c>
      <c r="J347" s="35"/>
    </row>
    <row r="348" spans="1:10" ht="9.75" customHeight="1">
      <c r="A348" s="33"/>
      <c r="B348" s="34"/>
      <c r="C348">
        <v>1</v>
      </c>
      <c r="E348">
        <v>1</v>
      </c>
      <c r="H348">
        <f t="shared" si="35"/>
        <v>160</v>
      </c>
      <c r="I348" t="str">
        <f t="shared" si="31"/>
        <v>A0</v>
      </c>
      <c r="J348" s="35"/>
    </row>
    <row r="349" spans="1:10" ht="9.75" customHeight="1">
      <c r="A349" s="33"/>
      <c r="B349" s="34"/>
      <c r="C349">
        <v>1</v>
      </c>
      <c r="D349">
        <v>1</v>
      </c>
      <c r="H349">
        <f t="shared" si="35"/>
        <v>192</v>
      </c>
      <c r="I349" t="str">
        <f t="shared" si="31"/>
        <v>C0</v>
      </c>
      <c r="J349" s="35"/>
    </row>
    <row r="350" spans="1:10" ht="9.75" customHeight="1">
      <c r="A350" s="33"/>
      <c r="B350" s="34"/>
      <c r="C350">
        <v>1</v>
      </c>
      <c r="E350">
        <v>1</v>
      </c>
      <c r="H350">
        <f t="shared" si="35"/>
        <v>160</v>
      </c>
      <c r="I350" t="str">
        <f t="shared" si="31"/>
        <v>A0</v>
      </c>
      <c r="J350" s="35"/>
    </row>
    <row r="351" spans="1:10" ht="9.75" customHeight="1">
      <c r="A351" s="33"/>
      <c r="B351" s="34"/>
      <c r="C351">
        <v>1</v>
      </c>
      <c r="F351">
        <v>1</v>
      </c>
      <c r="H351">
        <f t="shared" si="35"/>
        <v>144</v>
      </c>
      <c r="I351" t="str">
        <f t="shared" si="31"/>
        <v>90</v>
      </c>
      <c r="J351" s="35"/>
    </row>
    <row r="352" spans="1:10" ht="9.75" customHeight="1">
      <c r="A352" s="33"/>
      <c r="B352" s="34"/>
      <c r="C352">
        <v>1</v>
      </c>
      <c r="G352">
        <v>1</v>
      </c>
      <c r="H352">
        <f t="shared" si="35"/>
        <v>136</v>
      </c>
      <c r="I352" t="str">
        <f t="shared" si="31"/>
        <v>88</v>
      </c>
      <c r="J352" s="35"/>
    </row>
    <row r="353" spans="1:10" ht="9.75" customHeight="1">
      <c r="A353" s="33"/>
      <c r="B353" s="27"/>
      <c r="J353" s="25"/>
    </row>
    <row r="354" spans="1:10" ht="9.75" customHeight="1">
      <c r="A354" s="33">
        <v>76</v>
      </c>
      <c r="B354" s="34" t="s">
        <v>129</v>
      </c>
      <c r="C354">
        <v>1</v>
      </c>
      <c r="H354">
        <f t="shared" ref="H354:H360" si="56">C354*C$1+D354*D$1+E354*E$1+F354*F$1+G354*G$1</f>
        <v>128</v>
      </c>
      <c r="I354" t="str">
        <f t="shared" ref="I354:I360" si="57">DEC2HEX(H354,2)</f>
        <v>80</v>
      </c>
      <c r="J354" s="35" t="str">
        <f>CONCATENATE("0x",I354,",0x",I355,",0x",I356,",0x",I357,",0x",I358,",0x",I359,",0x",I360,", //",B354)</f>
        <v>0x80,0x80,0x80,0x80,0x80,0x80,0xF8, //L</v>
      </c>
    </row>
    <row r="355" spans="1:10" ht="9.75" customHeight="1">
      <c r="A355" s="33"/>
      <c r="B355" s="34"/>
      <c r="C355">
        <v>1</v>
      </c>
      <c r="H355">
        <f t="shared" si="56"/>
        <v>128</v>
      </c>
      <c r="I355" t="str">
        <f t="shared" si="57"/>
        <v>80</v>
      </c>
      <c r="J355" s="35"/>
    </row>
    <row r="356" spans="1:10" ht="9.75" customHeight="1">
      <c r="A356" s="33"/>
      <c r="B356" s="34"/>
      <c r="C356">
        <v>1</v>
      </c>
      <c r="H356">
        <f t="shared" si="56"/>
        <v>128</v>
      </c>
      <c r="I356" t="str">
        <f t="shared" si="57"/>
        <v>80</v>
      </c>
      <c r="J356" s="35"/>
    </row>
    <row r="357" spans="1:10" ht="9.75" customHeight="1">
      <c r="A357" s="33"/>
      <c r="B357" s="34"/>
      <c r="C357">
        <v>1</v>
      </c>
      <c r="H357">
        <f t="shared" si="56"/>
        <v>128</v>
      </c>
      <c r="I357" t="str">
        <f t="shared" si="57"/>
        <v>80</v>
      </c>
      <c r="J357" s="35"/>
    </row>
    <row r="358" spans="1:10" ht="9.75" customHeight="1">
      <c r="A358" s="33"/>
      <c r="B358" s="34"/>
      <c r="C358">
        <v>1</v>
      </c>
      <c r="H358">
        <f t="shared" si="56"/>
        <v>128</v>
      </c>
      <c r="I358" t="str">
        <f t="shared" si="57"/>
        <v>80</v>
      </c>
      <c r="J358" s="35"/>
    </row>
    <row r="359" spans="1:10" ht="9.75" customHeight="1">
      <c r="A359" s="33"/>
      <c r="B359" s="34"/>
      <c r="C359">
        <v>1</v>
      </c>
      <c r="H359">
        <f t="shared" si="56"/>
        <v>128</v>
      </c>
      <c r="I359" t="str">
        <f t="shared" si="57"/>
        <v>80</v>
      </c>
      <c r="J359" s="35"/>
    </row>
    <row r="360" spans="1:10" ht="9.75" customHeight="1">
      <c r="A360" s="33"/>
      <c r="B360" s="34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6"/>
        <v>248</v>
      </c>
      <c r="I360" t="str">
        <f t="shared" si="57"/>
        <v>F8</v>
      </c>
      <c r="J360" s="35"/>
    </row>
    <row r="361" spans="1:10" ht="9.75" customHeight="1">
      <c r="A361" s="33"/>
      <c r="B361" s="27"/>
      <c r="J361" s="25"/>
    </row>
    <row r="362" spans="1:10" ht="9.75" customHeight="1">
      <c r="A362" s="33">
        <v>77</v>
      </c>
      <c r="B362" s="34" t="s">
        <v>130</v>
      </c>
      <c r="C362">
        <v>1</v>
      </c>
      <c r="G362">
        <v>1</v>
      </c>
      <c r="H362">
        <f t="shared" si="35"/>
        <v>136</v>
      </c>
      <c r="I362" t="str">
        <f t="shared" si="31"/>
        <v>88</v>
      </c>
      <c r="J362" s="35" t="str">
        <f>CONCATENATE("0x",I362,",0x",I363,",0x",I364,",0x",I365,",0x",I366,",0x",I367,",0x",I368,", //",B362)</f>
        <v>0x88,0xD8,0xA8,0x88,0x88,0x88,0x88, //M</v>
      </c>
    </row>
    <row r="363" spans="1:10" ht="9.75" customHeight="1">
      <c r="A363" s="33"/>
      <c r="B363" s="34"/>
      <c r="C363">
        <v>1</v>
      </c>
      <c r="D363">
        <v>1</v>
      </c>
      <c r="F363">
        <v>1</v>
      </c>
      <c r="G363">
        <v>1</v>
      </c>
      <c r="H363">
        <f t="shared" si="35"/>
        <v>216</v>
      </c>
      <c r="I363" t="str">
        <f t="shared" si="31"/>
        <v>D8</v>
      </c>
      <c r="J363" s="35"/>
    </row>
    <row r="364" spans="1:10" ht="9.75" customHeight="1">
      <c r="A364" s="33"/>
      <c r="B364" s="34"/>
      <c r="C364">
        <v>1</v>
      </c>
      <c r="E364">
        <v>1</v>
      </c>
      <c r="G364">
        <v>1</v>
      </c>
      <c r="H364">
        <f t="shared" si="35"/>
        <v>168</v>
      </c>
      <c r="I364" t="str">
        <f t="shared" si="31"/>
        <v>A8</v>
      </c>
      <c r="J364" s="35"/>
    </row>
    <row r="365" spans="1:10" ht="9.75" customHeight="1">
      <c r="A365" s="33"/>
      <c r="B365" s="34"/>
      <c r="C365">
        <v>1</v>
      </c>
      <c r="G365">
        <v>1</v>
      </c>
      <c r="H365">
        <f t="shared" si="35"/>
        <v>136</v>
      </c>
      <c r="I365" t="str">
        <f t="shared" si="31"/>
        <v>88</v>
      </c>
      <c r="J365" s="35"/>
    </row>
    <row r="366" spans="1:10" ht="9.75" customHeight="1">
      <c r="A366" s="33"/>
      <c r="B366" s="34"/>
      <c r="C366">
        <v>1</v>
      </c>
      <c r="G366">
        <v>1</v>
      </c>
      <c r="H366">
        <f t="shared" si="35"/>
        <v>136</v>
      </c>
      <c r="I366" t="str">
        <f t="shared" si="31"/>
        <v>88</v>
      </c>
      <c r="J366" s="35"/>
    </row>
    <row r="367" spans="1:10" ht="9.75" customHeight="1">
      <c r="A367" s="33"/>
      <c r="B367" s="34"/>
      <c r="C367">
        <v>1</v>
      </c>
      <c r="G367">
        <v>1</v>
      </c>
      <c r="H367">
        <f t="shared" si="35"/>
        <v>136</v>
      </c>
      <c r="I367" t="str">
        <f t="shared" si="31"/>
        <v>88</v>
      </c>
      <c r="J367" s="35"/>
    </row>
    <row r="368" spans="1:10" ht="9.75" customHeight="1">
      <c r="A368" s="33"/>
      <c r="B368" s="34"/>
      <c r="C368">
        <v>1</v>
      </c>
      <c r="G368">
        <v>1</v>
      </c>
      <c r="H368">
        <f t="shared" si="35"/>
        <v>136</v>
      </c>
      <c r="I368" t="str">
        <f t="shared" si="31"/>
        <v>88</v>
      </c>
      <c r="J368" s="35"/>
    </row>
    <row r="369" spans="1:10" ht="9.75" customHeight="1">
      <c r="A369" s="33"/>
      <c r="B369" s="27"/>
      <c r="J369" s="25"/>
    </row>
    <row r="370" spans="1:10" ht="9.75" customHeight="1">
      <c r="A370" s="33">
        <v>78</v>
      </c>
      <c r="B370" s="34" t="s">
        <v>131</v>
      </c>
      <c r="C370">
        <v>1</v>
      </c>
      <c r="G370">
        <v>1</v>
      </c>
      <c r="H370">
        <f t="shared" ref="H370:H376" si="58">C370*C$1+D370*D$1+E370*E$1+F370*F$1+G370*G$1</f>
        <v>136</v>
      </c>
      <c r="I370" t="str">
        <f t="shared" ref="I370:I376" si="59">DEC2HEX(H370,2)</f>
        <v>88</v>
      </c>
      <c r="J370" s="35" t="str">
        <f>CONCATENATE("0x",I370,",0x",I371,",0x",I372,",0x",I373,",0x",I374,",0x",I375,",0x",I376,", //",B370)</f>
        <v>0x88,0x88,0xC8,0xA8,0x98,0x88,0x88, //N</v>
      </c>
    </row>
    <row r="371" spans="1:10" ht="9.75" customHeight="1">
      <c r="A371" s="33"/>
      <c r="B371" s="34"/>
      <c r="C371">
        <v>1</v>
      </c>
      <c r="G371">
        <v>1</v>
      </c>
      <c r="H371">
        <f t="shared" si="58"/>
        <v>136</v>
      </c>
      <c r="I371" t="str">
        <f t="shared" si="59"/>
        <v>88</v>
      </c>
      <c r="J371" s="35"/>
    </row>
    <row r="372" spans="1:10" ht="9.75" customHeight="1">
      <c r="A372" s="33"/>
      <c r="B372" s="34"/>
      <c r="C372">
        <v>1</v>
      </c>
      <c r="D372">
        <v>1</v>
      </c>
      <c r="G372">
        <v>1</v>
      </c>
      <c r="H372">
        <f t="shared" si="58"/>
        <v>200</v>
      </c>
      <c r="I372" t="str">
        <f t="shared" si="59"/>
        <v>C8</v>
      </c>
      <c r="J372" s="35"/>
    </row>
    <row r="373" spans="1:10" ht="9.75" customHeight="1">
      <c r="A373" s="33"/>
      <c r="B373" s="34"/>
      <c r="C373">
        <v>1</v>
      </c>
      <c r="E373">
        <v>1</v>
      </c>
      <c r="G373">
        <v>1</v>
      </c>
      <c r="H373">
        <f t="shared" si="58"/>
        <v>168</v>
      </c>
      <c r="I373" t="str">
        <f t="shared" si="59"/>
        <v>A8</v>
      </c>
      <c r="J373" s="35"/>
    </row>
    <row r="374" spans="1:10" ht="9.75" customHeight="1">
      <c r="A374" s="33"/>
      <c r="B374" s="34"/>
      <c r="C374">
        <v>1</v>
      </c>
      <c r="F374">
        <v>1</v>
      </c>
      <c r="G374">
        <v>1</v>
      </c>
      <c r="H374">
        <f t="shared" si="58"/>
        <v>152</v>
      </c>
      <c r="I374" t="str">
        <f t="shared" si="59"/>
        <v>98</v>
      </c>
      <c r="J374" s="35"/>
    </row>
    <row r="375" spans="1:10" ht="9.75" customHeight="1">
      <c r="A375" s="33"/>
      <c r="B375" s="34"/>
      <c r="C375">
        <v>1</v>
      </c>
      <c r="G375">
        <v>1</v>
      </c>
      <c r="H375">
        <f t="shared" si="58"/>
        <v>136</v>
      </c>
      <c r="I375" t="str">
        <f t="shared" si="59"/>
        <v>88</v>
      </c>
      <c r="J375" s="35"/>
    </row>
    <row r="376" spans="1:10" ht="9.75" customHeight="1">
      <c r="A376" s="33"/>
      <c r="B376" s="34"/>
      <c r="C376">
        <v>1</v>
      </c>
      <c r="G376">
        <v>1</v>
      </c>
      <c r="H376">
        <f t="shared" si="58"/>
        <v>136</v>
      </c>
      <c r="I376" t="str">
        <f t="shared" si="59"/>
        <v>88</v>
      </c>
      <c r="J376" s="35"/>
    </row>
    <row r="377" spans="1:10" ht="9.75" customHeight="1">
      <c r="A377" s="33"/>
      <c r="B377" s="27"/>
      <c r="J377" s="25"/>
    </row>
    <row r="378" spans="1:10" ht="9.75" customHeight="1">
      <c r="A378" s="33">
        <v>79</v>
      </c>
      <c r="B378" s="34" t="s">
        <v>132</v>
      </c>
      <c r="D378">
        <v>1</v>
      </c>
      <c r="E378">
        <v>1</v>
      </c>
      <c r="F378">
        <v>1</v>
      </c>
      <c r="H378">
        <f t="shared" si="35"/>
        <v>112</v>
      </c>
      <c r="I378" t="str">
        <f t="shared" si="31"/>
        <v>70</v>
      </c>
      <c r="J378" s="35" t="str">
        <f>CONCATENATE("0x",I378,",0x",I379,",0x",I380,",0x",I381,",0x",I382,",0x",I383,",0x",I384,", //",B378)</f>
        <v>0x70,0x88,0x88,0x88,0x88,0x88,0x70, //O</v>
      </c>
    </row>
    <row r="379" spans="1:10" ht="9.75" customHeight="1">
      <c r="A379" s="33"/>
      <c r="B379" s="34"/>
      <c r="C379">
        <v>1</v>
      </c>
      <c r="G379">
        <v>1</v>
      </c>
      <c r="H379">
        <f t="shared" si="35"/>
        <v>136</v>
      </c>
      <c r="I379" t="str">
        <f t="shared" si="31"/>
        <v>88</v>
      </c>
      <c r="J379" s="35"/>
    </row>
    <row r="380" spans="1:10" ht="9.75" customHeight="1">
      <c r="A380" s="33"/>
      <c r="B380" s="34"/>
      <c r="C380">
        <v>1</v>
      </c>
      <c r="G380">
        <v>1</v>
      </c>
      <c r="H380">
        <f t="shared" si="35"/>
        <v>136</v>
      </c>
      <c r="I380" t="str">
        <f t="shared" si="31"/>
        <v>88</v>
      </c>
      <c r="J380" s="35"/>
    </row>
    <row r="381" spans="1:10" ht="9.75" customHeight="1">
      <c r="A381" s="33"/>
      <c r="B381" s="34"/>
      <c r="C381">
        <v>1</v>
      </c>
      <c r="G381">
        <v>1</v>
      </c>
      <c r="H381">
        <f t="shared" si="35"/>
        <v>136</v>
      </c>
      <c r="I381" t="str">
        <f t="shared" si="31"/>
        <v>88</v>
      </c>
      <c r="J381" s="35"/>
    </row>
    <row r="382" spans="1:10" ht="9.75" customHeight="1">
      <c r="A382" s="33"/>
      <c r="B382" s="34"/>
      <c r="C382">
        <v>1</v>
      </c>
      <c r="G382">
        <v>1</v>
      </c>
      <c r="H382">
        <f t="shared" si="35"/>
        <v>136</v>
      </c>
      <c r="I382" t="str">
        <f t="shared" si="31"/>
        <v>88</v>
      </c>
      <c r="J382" s="35"/>
    </row>
    <row r="383" spans="1:10" ht="9.75" customHeight="1">
      <c r="A383" s="33"/>
      <c r="B383" s="34"/>
      <c r="C383">
        <v>1</v>
      </c>
      <c r="G383">
        <v>1</v>
      </c>
      <c r="H383">
        <f t="shared" si="35"/>
        <v>136</v>
      </c>
      <c r="I383" t="str">
        <f t="shared" si="31"/>
        <v>88</v>
      </c>
      <c r="J383" s="35"/>
    </row>
    <row r="384" spans="1:10" ht="9.75" customHeight="1">
      <c r="A384" s="33"/>
      <c r="B384" s="34"/>
      <c r="D384">
        <v>1</v>
      </c>
      <c r="E384">
        <v>1</v>
      </c>
      <c r="F384">
        <v>1</v>
      </c>
      <c r="H384">
        <f t="shared" si="35"/>
        <v>112</v>
      </c>
      <c r="I384" t="str">
        <f t="shared" si="31"/>
        <v>70</v>
      </c>
      <c r="J384" s="35"/>
    </row>
    <row r="385" spans="1:10" ht="9.75" customHeight="1">
      <c r="A385" s="33"/>
      <c r="B385" s="27"/>
      <c r="J385" s="25"/>
    </row>
    <row r="386" spans="1:10" ht="9.75" customHeight="1">
      <c r="A386" s="33">
        <v>80</v>
      </c>
      <c r="B386" s="34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60">C386*C$1+D386*D$1+E386*E$1+F386*F$1+G386*G$1</f>
        <v>240</v>
      </c>
      <c r="I386" t="str">
        <f t="shared" ref="I386:I392" si="61">DEC2HEX(H386,2)</f>
        <v>F0</v>
      </c>
      <c r="J386" s="35" t="str">
        <f>CONCATENATE("0x",I386,",0x",I387,",0x",I388,",0x",I389,",0x",I390,",0x",I391,",0x",I392,", //",B386)</f>
        <v>0xF0,0x88,0x88,0xF0,0x80,0x80,0x80, //P</v>
      </c>
    </row>
    <row r="387" spans="1:10" ht="9.75" customHeight="1">
      <c r="A387" s="33"/>
      <c r="B387" s="34"/>
      <c r="C387">
        <v>1</v>
      </c>
      <c r="G387">
        <v>1</v>
      </c>
      <c r="H387">
        <f t="shared" si="60"/>
        <v>136</v>
      </c>
      <c r="I387" t="str">
        <f t="shared" si="61"/>
        <v>88</v>
      </c>
      <c r="J387" s="35"/>
    </row>
    <row r="388" spans="1:10" ht="9.75" customHeight="1">
      <c r="A388" s="33"/>
      <c r="B388" s="34"/>
      <c r="C388">
        <v>1</v>
      </c>
      <c r="G388">
        <v>1</v>
      </c>
      <c r="H388">
        <f t="shared" si="60"/>
        <v>136</v>
      </c>
      <c r="I388" t="str">
        <f t="shared" si="61"/>
        <v>88</v>
      </c>
      <c r="J388" s="35"/>
    </row>
    <row r="389" spans="1:10" ht="9.75" customHeight="1">
      <c r="A389" s="33"/>
      <c r="B389" s="34"/>
      <c r="C389">
        <v>1</v>
      </c>
      <c r="D389">
        <v>1</v>
      </c>
      <c r="E389">
        <v>1</v>
      </c>
      <c r="F389">
        <v>1</v>
      </c>
      <c r="H389">
        <f t="shared" si="60"/>
        <v>240</v>
      </c>
      <c r="I389" t="str">
        <f t="shared" si="61"/>
        <v>F0</v>
      </c>
      <c r="J389" s="35"/>
    </row>
    <row r="390" spans="1:10" ht="9.75" customHeight="1">
      <c r="A390" s="33"/>
      <c r="B390" s="34"/>
      <c r="C390">
        <v>1</v>
      </c>
      <c r="H390">
        <f t="shared" si="60"/>
        <v>128</v>
      </c>
      <c r="I390" t="str">
        <f t="shared" si="61"/>
        <v>80</v>
      </c>
      <c r="J390" s="35"/>
    </row>
    <row r="391" spans="1:10" ht="9.75" customHeight="1">
      <c r="A391" s="33"/>
      <c r="B391" s="34"/>
      <c r="C391">
        <v>1</v>
      </c>
      <c r="H391">
        <f t="shared" si="60"/>
        <v>128</v>
      </c>
      <c r="I391" t="str">
        <f t="shared" si="61"/>
        <v>80</v>
      </c>
      <c r="J391" s="35"/>
    </row>
    <row r="392" spans="1:10" ht="9.75" customHeight="1">
      <c r="A392" s="33"/>
      <c r="B392" s="34"/>
      <c r="C392">
        <v>1</v>
      </c>
      <c r="H392">
        <f t="shared" si="60"/>
        <v>128</v>
      </c>
      <c r="I392" t="str">
        <f t="shared" si="61"/>
        <v>80</v>
      </c>
      <c r="J392" s="35"/>
    </row>
    <row r="393" spans="1:10" ht="9.75" customHeight="1">
      <c r="A393" s="33"/>
      <c r="B393" s="27"/>
      <c r="J393" s="25"/>
    </row>
    <row r="394" spans="1:10" ht="9.75" customHeight="1">
      <c r="A394" s="33">
        <v>81</v>
      </c>
      <c r="B394" s="34" t="s">
        <v>134</v>
      </c>
      <c r="D394">
        <v>1</v>
      </c>
      <c r="E394">
        <v>1</v>
      </c>
      <c r="F394">
        <v>1</v>
      </c>
      <c r="H394">
        <f t="shared" si="35"/>
        <v>112</v>
      </c>
      <c r="I394" t="str">
        <f t="shared" si="31"/>
        <v>70</v>
      </c>
      <c r="J394" s="35" t="str">
        <f>CONCATENATE("0x",I394,",0x",I395,",0x",I396,",0x",I397,",0x",I398,",0x",I399,",0x",I400,", //",B394)</f>
        <v>0x70,0x88,0x88,0x88,0x88,0x98,0x78, //Q</v>
      </c>
    </row>
    <row r="395" spans="1:10" ht="9.75" customHeight="1">
      <c r="A395" s="33"/>
      <c r="B395" s="34"/>
      <c r="C395">
        <v>1</v>
      </c>
      <c r="G395">
        <v>1</v>
      </c>
      <c r="H395">
        <f t="shared" si="35"/>
        <v>136</v>
      </c>
      <c r="I395" t="str">
        <f t="shared" si="31"/>
        <v>88</v>
      </c>
      <c r="J395" s="35"/>
    </row>
    <row r="396" spans="1:10" ht="9.75" customHeight="1">
      <c r="A396" s="33"/>
      <c r="B396" s="34"/>
      <c r="C396">
        <v>1</v>
      </c>
      <c r="G396">
        <v>1</v>
      </c>
      <c r="H396">
        <f t="shared" si="35"/>
        <v>136</v>
      </c>
      <c r="I396" t="str">
        <f t="shared" si="31"/>
        <v>88</v>
      </c>
      <c r="J396" s="35"/>
    </row>
    <row r="397" spans="1:10" ht="9.75" customHeight="1">
      <c r="A397" s="33"/>
      <c r="B397" s="34"/>
      <c r="C397">
        <v>1</v>
      </c>
      <c r="G397">
        <v>1</v>
      </c>
      <c r="H397">
        <f t="shared" si="35"/>
        <v>136</v>
      </c>
      <c r="I397" t="str">
        <f t="shared" si="31"/>
        <v>88</v>
      </c>
      <c r="J397" s="35"/>
    </row>
    <row r="398" spans="1:10" ht="9.75" customHeight="1">
      <c r="A398" s="33"/>
      <c r="B398" s="34"/>
      <c r="C398">
        <v>1</v>
      </c>
      <c r="G398">
        <v>1</v>
      </c>
      <c r="H398">
        <f t="shared" si="35"/>
        <v>136</v>
      </c>
      <c r="I398" t="str">
        <f t="shared" si="31"/>
        <v>88</v>
      </c>
      <c r="J398" s="35"/>
    </row>
    <row r="399" spans="1:10" ht="9.75" customHeight="1">
      <c r="A399" s="33"/>
      <c r="B399" s="34"/>
      <c r="C399">
        <v>1</v>
      </c>
      <c r="F399">
        <v>1</v>
      </c>
      <c r="G399">
        <v>1</v>
      </c>
      <c r="H399">
        <f t="shared" si="35"/>
        <v>152</v>
      </c>
      <c r="I399" t="str">
        <f t="shared" si="31"/>
        <v>98</v>
      </c>
      <c r="J399" s="35"/>
    </row>
    <row r="400" spans="1:10" ht="9.75" customHeight="1">
      <c r="A400" s="33"/>
      <c r="B400" s="34"/>
      <c r="D400">
        <v>1</v>
      </c>
      <c r="E400">
        <v>1</v>
      </c>
      <c r="F400">
        <v>1</v>
      </c>
      <c r="G400">
        <v>1</v>
      </c>
      <c r="H400">
        <f t="shared" si="35"/>
        <v>120</v>
      </c>
      <c r="I400" t="str">
        <f t="shared" si="31"/>
        <v>78</v>
      </c>
      <c r="J400" s="35"/>
    </row>
    <row r="401" spans="1:10" ht="9.75" customHeight="1">
      <c r="A401" s="33"/>
      <c r="B401" s="27"/>
      <c r="J401" s="25"/>
    </row>
    <row r="402" spans="1:10" ht="9.75" customHeight="1">
      <c r="A402" s="33">
        <v>82</v>
      </c>
      <c r="B402" s="34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62">C402*C$1+D402*D$1+E402*E$1+F402*F$1+G402*G$1</f>
        <v>240</v>
      </c>
      <c r="I402" t="str">
        <f t="shared" ref="I402:I408" si="63">DEC2HEX(H402,2)</f>
        <v>F0</v>
      </c>
      <c r="J402" s="35" t="str">
        <f>CONCATENATE("0x",I402,",0x",I403,",0x",I404,",0x",I405,",0x",I406,",0x",I407,",0x",I408,", //",B402)</f>
        <v>0xF0,0x88,0x88,0xF0,0x90,0x88,0x88, //R</v>
      </c>
    </row>
    <row r="403" spans="1:10" ht="9.75" customHeight="1">
      <c r="A403" s="33"/>
      <c r="B403" s="34"/>
      <c r="C403">
        <v>1</v>
      </c>
      <c r="G403">
        <v>1</v>
      </c>
      <c r="H403">
        <f t="shared" si="62"/>
        <v>136</v>
      </c>
      <c r="I403" t="str">
        <f t="shared" si="63"/>
        <v>88</v>
      </c>
      <c r="J403" s="35"/>
    </row>
    <row r="404" spans="1:10" ht="9.75" customHeight="1">
      <c r="A404" s="33"/>
      <c r="B404" s="34"/>
      <c r="C404">
        <v>1</v>
      </c>
      <c r="G404">
        <v>1</v>
      </c>
      <c r="H404">
        <f t="shared" si="62"/>
        <v>136</v>
      </c>
      <c r="I404" t="str">
        <f t="shared" si="63"/>
        <v>88</v>
      </c>
      <c r="J404" s="35"/>
    </row>
    <row r="405" spans="1:10" ht="9.75" customHeight="1">
      <c r="A405" s="33"/>
      <c r="B405" s="34"/>
      <c r="C405">
        <v>1</v>
      </c>
      <c r="D405">
        <v>1</v>
      </c>
      <c r="E405">
        <v>1</v>
      </c>
      <c r="F405">
        <v>1</v>
      </c>
      <c r="H405">
        <f t="shared" si="62"/>
        <v>240</v>
      </c>
      <c r="I405" t="str">
        <f t="shared" si="63"/>
        <v>F0</v>
      </c>
      <c r="J405" s="35"/>
    </row>
    <row r="406" spans="1:10" ht="9.75" customHeight="1">
      <c r="A406" s="33"/>
      <c r="B406" s="34"/>
      <c r="C406">
        <v>1</v>
      </c>
      <c r="F406">
        <v>1</v>
      </c>
      <c r="H406">
        <f t="shared" si="62"/>
        <v>144</v>
      </c>
      <c r="I406" t="str">
        <f t="shared" si="63"/>
        <v>90</v>
      </c>
      <c r="J406" s="35"/>
    </row>
    <row r="407" spans="1:10" ht="9.75" customHeight="1">
      <c r="A407" s="33"/>
      <c r="B407" s="34"/>
      <c r="C407">
        <v>1</v>
      </c>
      <c r="G407">
        <v>1</v>
      </c>
      <c r="H407">
        <f t="shared" si="62"/>
        <v>136</v>
      </c>
      <c r="I407" t="str">
        <f t="shared" si="63"/>
        <v>88</v>
      </c>
      <c r="J407" s="35"/>
    </row>
    <row r="408" spans="1:10" ht="9.75" customHeight="1">
      <c r="A408" s="33"/>
      <c r="B408" s="34"/>
      <c r="C408">
        <v>1</v>
      </c>
      <c r="G408">
        <v>1</v>
      </c>
      <c r="H408">
        <f t="shared" si="62"/>
        <v>136</v>
      </c>
      <c r="I408" t="str">
        <f t="shared" si="63"/>
        <v>88</v>
      </c>
      <c r="J408" s="35"/>
    </row>
    <row r="409" spans="1:10" ht="9.75" customHeight="1">
      <c r="A409" s="33"/>
      <c r="B409" s="27"/>
      <c r="J409" s="25"/>
    </row>
    <row r="410" spans="1:10" ht="9.75" customHeight="1">
      <c r="A410" s="33">
        <v>83</v>
      </c>
      <c r="B410" s="34" t="s">
        <v>136</v>
      </c>
      <c r="D410">
        <v>1</v>
      </c>
      <c r="E410">
        <v>1</v>
      </c>
      <c r="F410">
        <v>1</v>
      </c>
      <c r="H410">
        <f t="shared" si="35"/>
        <v>112</v>
      </c>
      <c r="I410" t="str">
        <f t="shared" si="31"/>
        <v>70</v>
      </c>
      <c r="J410" s="35" t="str">
        <f>CONCATENATE("0x",I410,",0x",I411,",0x",I412,",0x",I413,",0x",I414,",0x",I415,",0x",I416,", //",B410)</f>
        <v>0x70,0x88,0x80,0x70,0x08,0x88,0x70, //S</v>
      </c>
    </row>
    <row r="411" spans="1:10" ht="9.75" customHeight="1">
      <c r="A411" s="33"/>
      <c r="B411" s="34"/>
      <c r="C411">
        <v>1</v>
      </c>
      <c r="G411">
        <v>1</v>
      </c>
      <c r="H411">
        <f t="shared" si="35"/>
        <v>136</v>
      </c>
      <c r="I411" t="str">
        <f t="shared" si="31"/>
        <v>88</v>
      </c>
      <c r="J411" s="35"/>
    </row>
    <row r="412" spans="1:10" ht="9.75" customHeight="1">
      <c r="A412" s="33"/>
      <c r="B412" s="34"/>
      <c r="C412">
        <v>1</v>
      </c>
      <c r="H412">
        <f t="shared" si="35"/>
        <v>128</v>
      </c>
      <c r="I412" t="str">
        <f t="shared" si="31"/>
        <v>80</v>
      </c>
      <c r="J412" s="35"/>
    </row>
    <row r="413" spans="1:10" ht="9.75" customHeight="1">
      <c r="A413" s="33"/>
      <c r="B413" s="34"/>
      <c r="D413">
        <v>1</v>
      </c>
      <c r="E413">
        <v>1</v>
      </c>
      <c r="F413">
        <v>1</v>
      </c>
      <c r="H413">
        <f t="shared" si="35"/>
        <v>112</v>
      </c>
      <c r="I413" t="str">
        <f t="shared" si="31"/>
        <v>70</v>
      </c>
      <c r="J413" s="35"/>
    </row>
    <row r="414" spans="1:10" ht="9.75" customHeight="1">
      <c r="A414" s="33"/>
      <c r="B414" s="34"/>
      <c r="G414">
        <v>1</v>
      </c>
      <c r="H414">
        <f t="shared" si="35"/>
        <v>8</v>
      </c>
      <c r="I414" t="str">
        <f t="shared" si="31"/>
        <v>08</v>
      </c>
      <c r="J414" s="35"/>
    </row>
    <row r="415" spans="1:10" ht="9.75" customHeight="1">
      <c r="A415" s="33"/>
      <c r="B415" s="34"/>
      <c r="C415">
        <v>1</v>
      </c>
      <c r="G415">
        <v>1</v>
      </c>
      <c r="H415">
        <f t="shared" si="35"/>
        <v>136</v>
      </c>
      <c r="I415" t="str">
        <f t="shared" si="31"/>
        <v>88</v>
      </c>
      <c r="J415" s="35"/>
    </row>
    <row r="416" spans="1:10" ht="9.75" customHeight="1">
      <c r="A416" s="33"/>
      <c r="B416" s="34"/>
      <c r="D416">
        <v>1</v>
      </c>
      <c r="E416">
        <v>1</v>
      </c>
      <c r="F416">
        <v>1</v>
      </c>
      <c r="H416">
        <f t="shared" si="35"/>
        <v>112</v>
      </c>
      <c r="I416" t="str">
        <f t="shared" si="31"/>
        <v>70</v>
      </c>
      <c r="J416" s="35"/>
    </row>
    <row r="417" spans="1:10" ht="9.75" customHeight="1">
      <c r="A417" s="33"/>
      <c r="B417" s="27"/>
      <c r="J417" s="25"/>
    </row>
    <row r="418" spans="1:10" ht="9.75" customHeight="1">
      <c r="A418" s="33">
        <v>84</v>
      </c>
      <c r="B418" s="34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4">C418*C$1+D418*D$1+E418*E$1+F418*F$1+G418*G$1</f>
        <v>248</v>
      </c>
      <c r="I418" t="str">
        <f t="shared" ref="I418:I424" si="65">DEC2HEX(H418,2)</f>
        <v>F8</v>
      </c>
      <c r="J418" s="35" t="str">
        <f>CONCATENATE("0x",I418,",0x",I419,",0x",I420,",0x",I421,",0x",I422,",0x",I423,",0x",I424,", //",B418)</f>
        <v>0xF8,0x20,0x20,0x20,0x20,0x20,0x20, //T</v>
      </c>
    </row>
    <row r="419" spans="1:10" ht="9.75" customHeight="1">
      <c r="A419" s="33"/>
      <c r="B419" s="34"/>
      <c r="E419">
        <v>1</v>
      </c>
      <c r="H419">
        <f t="shared" si="64"/>
        <v>32</v>
      </c>
      <c r="I419" t="str">
        <f t="shared" si="65"/>
        <v>20</v>
      </c>
      <c r="J419" s="35"/>
    </row>
    <row r="420" spans="1:10" ht="9.75" customHeight="1">
      <c r="A420" s="33"/>
      <c r="B420" s="34"/>
      <c r="E420">
        <v>1</v>
      </c>
      <c r="H420">
        <f t="shared" si="64"/>
        <v>32</v>
      </c>
      <c r="I420" t="str">
        <f t="shared" si="65"/>
        <v>20</v>
      </c>
      <c r="J420" s="35"/>
    </row>
    <row r="421" spans="1:10" ht="9.75" customHeight="1">
      <c r="A421" s="33"/>
      <c r="B421" s="34"/>
      <c r="E421">
        <v>1</v>
      </c>
      <c r="H421">
        <f t="shared" si="64"/>
        <v>32</v>
      </c>
      <c r="I421" t="str">
        <f t="shared" si="65"/>
        <v>20</v>
      </c>
      <c r="J421" s="35"/>
    </row>
    <row r="422" spans="1:10" ht="9.75" customHeight="1">
      <c r="A422" s="33"/>
      <c r="B422" s="34"/>
      <c r="E422">
        <v>1</v>
      </c>
      <c r="H422">
        <f t="shared" si="64"/>
        <v>32</v>
      </c>
      <c r="I422" t="str">
        <f t="shared" si="65"/>
        <v>20</v>
      </c>
      <c r="J422" s="35"/>
    </row>
    <row r="423" spans="1:10" ht="9.75" customHeight="1">
      <c r="A423" s="33"/>
      <c r="B423" s="34"/>
      <c r="E423">
        <v>1</v>
      </c>
      <c r="H423">
        <f t="shared" si="64"/>
        <v>32</v>
      </c>
      <c r="I423" t="str">
        <f t="shared" si="65"/>
        <v>20</v>
      </c>
      <c r="J423" s="35"/>
    </row>
    <row r="424" spans="1:10" ht="9.75" customHeight="1">
      <c r="A424" s="33"/>
      <c r="B424" s="34"/>
      <c r="E424">
        <v>1</v>
      </c>
      <c r="H424">
        <f t="shared" si="64"/>
        <v>32</v>
      </c>
      <c r="I424" t="str">
        <f t="shared" si="65"/>
        <v>20</v>
      </c>
      <c r="J424" s="35"/>
    </row>
    <row r="425" spans="1:10" ht="9.75" customHeight="1">
      <c r="A425" s="33"/>
      <c r="B425" s="27"/>
      <c r="J425" s="25"/>
    </row>
    <row r="426" spans="1:10" ht="9.75" customHeight="1">
      <c r="A426" s="33">
        <v>85</v>
      </c>
      <c r="B426" s="34" t="s">
        <v>138</v>
      </c>
      <c r="C426">
        <v>1</v>
      </c>
      <c r="G426">
        <v>1</v>
      </c>
      <c r="H426">
        <f t="shared" si="35"/>
        <v>136</v>
      </c>
      <c r="I426" t="str">
        <f t="shared" si="31"/>
        <v>88</v>
      </c>
      <c r="J426" s="35" t="str">
        <f>CONCATENATE("0x",I426,",0x",I427,",0x",I428,",0x",I429,",0x",I430,",0x",I431,",0x",I432,", //",B426)</f>
        <v>0x88,0x88,0x88,0x88,0x88,0x88,0x70, //U</v>
      </c>
    </row>
    <row r="427" spans="1:10" ht="9.75" customHeight="1">
      <c r="A427" s="33"/>
      <c r="B427" s="34"/>
      <c r="C427">
        <v>1</v>
      </c>
      <c r="G427">
        <v>1</v>
      </c>
      <c r="H427">
        <f t="shared" si="35"/>
        <v>136</v>
      </c>
      <c r="I427" t="str">
        <f t="shared" si="31"/>
        <v>88</v>
      </c>
      <c r="J427" s="35"/>
    </row>
    <row r="428" spans="1:10" ht="9.75" customHeight="1">
      <c r="A428" s="33"/>
      <c r="B428" s="34"/>
      <c r="C428">
        <v>1</v>
      </c>
      <c r="G428">
        <v>1</v>
      </c>
      <c r="H428">
        <f t="shared" si="35"/>
        <v>136</v>
      </c>
      <c r="I428" t="str">
        <f t="shared" si="31"/>
        <v>88</v>
      </c>
      <c r="J428" s="35"/>
    </row>
    <row r="429" spans="1:10" ht="9.75" customHeight="1">
      <c r="A429" s="33"/>
      <c r="B429" s="34"/>
      <c r="C429">
        <v>1</v>
      </c>
      <c r="G429">
        <v>1</v>
      </c>
      <c r="H429">
        <f t="shared" si="35"/>
        <v>136</v>
      </c>
      <c r="I429" t="str">
        <f t="shared" si="31"/>
        <v>88</v>
      </c>
      <c r="J429" s="35"/>
    </row>
    <row r="430" spans="1:10" ht="9.75" customHeight="1">
      <c r="A430" s="33"/>
      <c r="B430" s="34"/>
      <c r="C430">
        <v>1</v>
      </c>
      <c r="G430">
        <v>1</v>
      </c>
      <c r="H430">
        <f t="shared" si="35"/>
        <v>136</v>
      </c>
      <c r="I430" t="str">
        <f t="shared" si="31"/>
        <v>88</v>
      </c>
      <c r="J430" s="35"/>
    </row>
    <row r="431" spans="1:10" ht="9.75" customHeight="1">
      <c r="A431" s="33"/>
      <c r="B431" s="34"/>
      <c r="C431">
        <v>1</v>
      </c>
      <c r="G431">
        <v>1</v>
      </c>
      <c r="H431">
        <f t="shared" si="35"/>
        <v>136</v>
      </c>
      <c r="I431" t="str">
        <f t="shared" si="31"/>
        <v>88</v>
      </c>
      <c r="J431" s="35"/>
    </row>
    <row r="432" spans="1:10" ht="9.75" customHeight="1">
      <c r="A432" s="33"/>
      <c r="B432" s="34"/>
      <c r="D432">
        <v>1</v>
      </c>
      <c r="E432">
        <v>1</v>
      </c>
      <c r="F432">
        <v>1</v>
      </c>
      <c r="H432">
        <f t="shared" si="35"/>
        <v>112</v>
      </c>
      <c r="I432" t="str">
        <f t="shared" si="31"/>
        <v>70</v>
      </c>
      <c r="J432" s="35"/>
    </row>
    <row r="433" spans="1:10" ht="9.75" customHeight="1">
      <c r="A433" s="33"/>
      <c r="B433" s="27"/>
      <c r="J433" s="25"/>
    </row>
    <row r="434" spans="1:10" ht="9.75" customHeight="1">
      <c r="A434" s="33">
        <v>86</v>
      </c>
      <c r="B434" s="34" t="s">
        <v>139</v>
      </c>
      <c r="C434">
        <v>1</v>
      </c>
      <c r="G434">
        <v>1</v>
      </c>
      <c r="H434">
        <f t="shared" ref="H434:H440" si="66">C434*C$1+D434*D$1+E434*E$1+F434*F$1+G434*G$1</f>
        <v>136</v>
      </c>
      <c r="I434" t="str">
        <f t="shared" ref="I434:I440" si="67">DEC2HEX(H434,2)</f>
        <v>88</v>
      </c>
      <c r="J434" s="35" t="str">
        <f>CONCATENATE("0x",I434,",0x",I435,",0x",I436,",0x",I437,",0x",I438,",0x",I439,",0x",I440,", //",B434)</f>
        <v>0x88,0x88,0x88,0x88,0x88,0x50,0x20, //V</v>
      </c>
    </row>
    <row r="435" spans="1:10" ht="9.75" customHeight="1">
      <c r="A435" s="33"/>
      <c r="B435" s="34"/>
      <c r="C435">
        <v>1</v>
      </c>
      <c r="G435">
        <v>1</v>
      </c>
      <c r="H435">
        <f t="shared" si="66"/>
        <v>136</v>
      </c>
      <c r="I435" t="str">
        <f t="shared" si="67"/>
        <v>88</v>
      </c>
      <c r="J435" s="35"/>
    </row>
    <row r="436" spans="1:10" ht="9.75" customHeight="1">
      <c r="A436" s="33"/>
      <c r="B436" s="34"/>
      <c r="C436">
        <v>1</v>
      </c>
      <c r="G436">
        <v>1</v>
      </c>
      <c r="H436">
        <f t="shared" si="66"/>
        <v>136</v>
      </c>
      <c r="I436" t="str">
        <f t="shared" si="67"/>
        <v>88</v>
      </c>
      <c r="J436" s="35"/>
    </row>
    <row r="437" spans="1:10" ht="9.75" customHeight="1">
      <c r="A437" s="33"/>
      <c r="B437" s="34"/>
      <c r="C437">
        <v>1</v>
      </c>
      <c r="G437">
        <v>1</v>
      </c>
      <c r="H437">
        <f t="shared" si="66"/>
        <v>136</v>
      </c>
      <c r="I437" t="str">
        <f t="shared" si="67"/>
        <v>88</v>
      </c>
      <c r="J437" s="35"/>
    </row>
    <row r="438" spans="1:10" ht="9.75" customHeight="1">
      <c r="A438" s="33"/>
      <c r="B438" s="34"/>
      <c r="C438">
        <v>1</v>
      </c>
      <c r="G438">
        <v>1</v>
      </c>
      <c r="H438">
        <f t="shared" si="66"/>
        <v>136</v>
      </c>
      <c r="I438" t="str">
        <f t="shared" si="67"/>
        <v>88</v>
      </c>
      <c r="J438" s="35"/>
    </row>
    <row r="439" spans="1:10" ht="9.75" customHeight="1">
      <c r="A439" s="33"/>
      <c r="B439" s="34"/>
      <c r="D439">
        <v>1</v>
      </c>
      <c r="F439">
        <v>1</v>
      </c>
      <c r="H439">
        <f t="shared" si="66"/>
        <v>80</v>
      </c>
      <c r="I439" t="str">
        <f t="shared" si="67"/>
        <v>50</v>
      </c>
      <c r="J439" s="35"/>
    </row>
    <row r="440" spans="1:10" ht="9.75" customHeight="1">
      <c r="A440" s="33"/>
      <c r="B440" s="34"/>
      <c r="E440">
        <v>1</v>
      </c>
      <c r="H440">
        <f t="shared" si="66"/>
        <v>32</v>
      </c>
      <c r="I440" t="str">
        <f t="shared" si="67"/>
        <v>20</v>
      </c>
      <c r="J440" s="35"/>
    </row>
    <row r="441" spans="1:10" ht="9.75" customHeight="1">
      <c r="A441" s="33"/>
      <c r="B441" s="27"/>
      <c r="J441" s="25"/>
    </row>
    <row r="442" spans="1:10" ht="9.75" customHeight="1">
      <c r="A442" s="33">
        <v>87</v>
      </c>
      <c r="B442" s="34" t="s">
        <v>140</v>
      </c>
      <c r="C442">
        <v>1</v>
      </c>
      <c r="E442">
        <v>1</v>
      </c>
      <c r="G442">
        <v>1</v>
      </c>
      <c r="H442">
        <f t="shared" si="35"/>
        <v>168</v>
      </c>
      <c r="I442" t="str">
        <f t="shared" si="31"/>
        <v>A8</v>
      </c>
      <c r="J442" s="35" t="str">
        <f>CONCATENATE("0x",I442,",0x",I443,",0x",I444,",0x",I445,",0x",I446,",0x",I447,",0x",I448,", //",B442)</f>
        <v>0xA8,0xA8,0xA8,0xA8,0xA8,0xA8,0x50, //W</v>
      </c>
    </row>
    <row r="443" spans="1:10" ht="9.75" customHeight="1">
      <c r="A443" s="33"/>
      <c r="B443" s="34"/>
      <c r="C443">
        <v>1</v>
      </c>
      <c r="E443">
        <v>1</v>
      </c>
      <c r="G443">
        <v>1</v>
      </c>
      <c r="H443">
        <f t="shared" si="35"/>
        <v>168</v>
      </c>
      <c r="I443" t="str">
        <f t="shared" si="31"/>
        <v>A8</v>
      </c>
      <c r="J443" s="35"/>
    </row>
    <row r="444" spans="1:10" ht="9.75" customHeight="1">
      <c r="A444" s="33"/>
      <c r="B444" s="34"/>
      <c r="C444">
        <v>1</v>
      </c>
      <c r="E444">
        <v>1</v>
      </c>
      <c r="G444">
        <v>1</v>
      </c>
      <c r="H444">
        <f t="shared" si="35"/>
        <v>168</v>
      </c>
      <c r="I444" t="str">
        <f t="shared" si="31"/>
        <v>A8</v>
      </c>
      <c r="J444" s="35"/>
    </row>
    <row r="445" spans="1:10" ht="9.75" customHeight="1">
      <c r="A445" s="33"/>
      <c r="B445" s="34"/>
      <c r="C445">
        <v>1</v>
      </c>
      <c r="E445">
        <v>1</v>
      </c>
      <c r="G445">
        <v>1</v>
      </c>
      <c r="H445">
        <f t="shared" si="35"/>
        <v>168</v>
      </c>
      <c r="I445" t="str">
        <f t="shared" si="31"/>
        <v>A8</v>
      </c>
      <c r="J445" s="35"/>
    </row>
    <row r="446" spans="1:10" ht="9.75" customHeight="1">
      <c r="A446" s="33"/>
      <c r="B446" s="34"/>
      <c r="C446">
        <v>1</v>
      </c>
      <c r="E446">
        <v>1</v>
      </c>
      <c r="G446">
        <v>1</v>
      </c>
      <c r="H446">
        <f t="shared" si="35"/>
        <v>168</v>
      </c>
      <c r="I446" t="str">
        <f t="shared" si="31"/>
        <v>A8</v>
      </c>
      <c r="J446" s="35"/>
    </row>
    <row r="447" spans="1:10" ht="9.75" customHeight="1">
      <c r="A447" s="33"/>
      <c r="B447" s="34"/>
      <c r="C447">
        <v>1</v>
      </c>
      <c r="E447">
        <v>1</v>
      </c>
      <c r="G447">
        <v>1</v>
      </c>
      <c r="H447">
        <f t="shared" si="35"/>
        <v>168</v>
      </c>
      <c r="I447" t="str">
        <f t="shared" si="31"/>
        <v>A8</v>
      </c>
      <c r="J447" s="35"/>
    </row>
    <row r="448" spans="1:10" ht="9.75" customHeight="1">
      <c r="A448" s="33"/>
      <c r="B448" s="34"/>
      <c r="D448">
        <v>1</v>
      </c>
      <c r="F448">
        <v>1</v>
      </c>
      <c r="H448">
        <f t="shared" si="35"/>
        <v>80</v>
      </c>
      <c r="I448" t="str">
        <f t="shared" si="31"/>
        <v>50</v>
      </c>
      <c r="J448" s="35"/>
    </row>
    <row r="449" spans="1:10" ht="9.75" customHeight="1">
      <c r="A449" s="33"/>
      <c r="B449" s="27"/>
      <c r="J449" s="25"/>
    </row>
    <row r="450" spans="1:10" ht="9.75" customHeight="1">
      <c r="A450" s="33">
        <v>88</v>
      </c>
      <c r="B450" s="34" t="s">
        <v>141</v>
      </c>
      <c r="C450">
        <v>1</v>
      </c>
      <c r="G450">
        <v>1</v>
      </c>
      <c r="H450">
        <f t="shared" ref="H450:H456" si="68">C450*C$1+D450*D$1+E450*E$1+F450*F$1+G450*G$1</f>
        <v>136</v>
      </c>
      <c r="I450" t="str">
        <f t="shared" ref="I450:I456" si="69">DEC2HEX(H450,2)</f>
        <v>88</v>
      </c>
      <c r="J450" s="35" t="str">
        <f>CONCATENATE("0x",I450,",0x",I451,",0x",I452,",0x",I453,",0x",I454,",0x",I455,",0x",I456,", //",B450)</f>
        <v>0x88,0x88,0x50,0x20,0x50,0x88,0x88, //X</v>
      </c>
    </row>
    <row r="451" spans="1:10" ht="9.75" customHeight="1">
      <c r="A451" s="33"/>
      <c r="B451" s="34"/>
      <c r="C451">
        <v>1</v>
      </c>
      <c r="G451">
        <v>1</v>
      </c>
      <c r="H451">
        <f t="shared" si="68"/>
        <v>136</v>
      </c>
      <c r="I451" t="str">
        <f t="shared" si="69"/>
        <v>88</v>
      </c>
      <c r="J451" s="35"/>
    </row>
    <row r="452" spans="1:10" ht="9.75" customHeight="1">
      <c r="A452" s="33"/>
      <c r="B452" s="34"/>
      <c r="D452">
        <v>1</v>
      </c>
      <c r="F452">
        <v>1</v>
      </c>
      <c r="H452">
        <f t="shared" si="68"/>
        <v>80</v>
      </c>
      <c r="I452" t="str">
        <f t="shared" si="69"/>
        <v>50</v>
      </c>
      <c r="J452" s="35"/>
    </row>
    <row r="453" spans="1:10" ht="9.75" customHeight="1">
      <c r="A453" s="33"/>
      <c r="B453" s="34"/>
      <c r="E453">
        <v>1</v>
      </c>
      <c r="H453">
        <f t="shared" si="68"/>
        <v>32</v>
      </c>
      <c r="I453" t="str">
        <f t="shared" si="69"/>
        <v>20</v>
      </c>
      <c r="J453" s="35"/>
    </row>
    <row r="454" spans="1:10" ht="9.75" customHeight="1">
      <c r="A454" s="33"/>
      <c r="B454" s="34"/>
      <c r="D454">
        <v>1</v>
      </c>
      <c r="F454">
        <v>1</v>
      </c>
      <c r="H454">
        <f t="shared" si="68"/>
        <v>80</v>
      </c>
      <c r="I454" t="str">
        <f t="shared" si="69"/>
        <v>50</v>
      </c>
      <c r="J454" s="35"/>
    </row>
    <row r="455" spans="1:10" ht="9.75" customHeight="1">
      <c r="A455" s="33"/>
      <c r="B455" s="34"/>
      <c r="C455">
        <v>1</v>
      </c>
      <c r="G455">
        <v>1</v>
      </c>
      <c r="H455">
        <f t="shared" si="68"/>
        <v>136</v>
      </c>
      <c r="I455" t="str">
        <f t="shared" si="69"/>
        <v>88</v>
      </c>
      <c r="J455" s="35"/>
    </row>
    <row r="456" spans="1:10" ht="9.75" customHeight="1">
      <c r="A456" s="33"/>
      <c r="B456" s="34"/>
      <c r="C456">
        <v>1</v>
      </c>
      <c r="G456">
        <v>1</v>
      </c>
      <c r="H456">
        <f t="shared" si="68"/>
        <v>136</v>
      </c>
      <c r="I456" t="str">
        <f t="shared" si="69"/>
        <v>88</v>
      </c>
      <c r="J456" s="35"/>
    </row>
    <row r="457" spans="1:10" ht="9.75" customHeight="1">
      <c r="A457" s="33"/>
      <c r="B457" s="27"/>
      <c r="J457" s="25"/>
    </row>
    <row r="458" spans="1:10" ht="9.75" customHeight="1">
      <c r="A458" s="33">
        <v>89</v>
      </c>
      <c r="B458" s="34" t="s">
        <v>142</v>
      </c>
      <c r="C458">
        <v>1</v>
      </c>
      <c r="G458">
        <v>1</v>
      </c>
      <c r="H458">
        <f t="shared" si="35"/>
        <v>136</v>
      </c>
      <c r="I458" t="str">
        <f t="shared" si="31"/>
        <v>88</v>
      </c>
      <c r="J458" s="35" t="str">
        <f>CONCATENATE("0x",I458,",0x",I459,",0x",I460,",0x",I461,",0x",I462,",0x",I463,",0x",I464,", //",B458)</f>
        <v>0x88,0x88,0x50,0x20,0x20,0x20,0x20, //Y</v>
      </c>
    </row>
    <row r="459" spans="1:10" ht="9.75" customHeight="1">
      <c r="A459" s="33"/>
      <c r="B459" s="34"/>
      <c r="C459">
        <v>1</v>
      </c>
      <c r="G459">
        <v>1</v>
      </c>
      <c r="H459">
        <f t="shared" si="35"/>
        <v>136</v>
      </c>
      <c r="I459" t="str">
        <f t="shared" si="31"/>
        <v>88</v>
      </c>
      <c r="J459" s="35"/>
    </row>
    <row r="460" spans="1:10" ht="9.75" customHeight="1">
      <c r="A460" s="33"/>
      <c r="B460" s="34"/>
      <c r="D460">
        <v>1</v>
      </c>
      <c r="F460">
        <v>1</v>
      </c>
      <c r="H460">
        <f t="shared" si="35"/>
        <v>80</v>
      </c>
      <c r="I460" t="str">
        <f t="shared" si="31"/>
        <v>50</v>
      </c>
      <c r="J460" s="35"/>
    </row>
    <row r="461" spans="1:10" ht="9.75" customHeight="1">
      <c r="A461" s="33"/>
      <c r="B461" s="34"/>
      <c r="E461">
        <v>1</v>
      </c>
      <c r="H461">
        <f t="shared" si="35"/>
        <v>32</v>
      </c>
      <c r="I461" t="str">
        <f t="shared" si="31"/>
        <v>20</v>
      </c>
      <c r="J461" s="35"/>
    </row>
    <row r="462" spans="1:10" ht="9.75" customHeight="1">
      <c r="A462" s="33"/>
      <c r="B462" s="34"/>
      <c r="E462">
        <v>1</v>
      </c>
      <c r="H462">
        <f t="shared" si="35"/>
        <v>32</v>
      </c>
      <c r="I462" t="str">
        <f t="shared" si="31"/>
        <v>20</v>
      </c>
      <c r="J462" s="35"/>
    </row>
    <row r="463" spans="1:10" ht="9.75" customHeight="1">
      <c r="A463" s="33"/>
      <c r="B463" s="34"/>
      <c r="E463">
        <v>1</v>
      </c>
      <c r="H463">
        <f t="shared" si="35"/>
        <v>32</v>
      </c>
      <c r="I463" t="str">
        <f t="shared" si="31"/>
        <v>20</v>
      </c>
      <c r="J463" s="35"/>
    </row>
    <row r="464" spans="1:10" ht="9.75" customHeight="1">
      <c r="A464" s="33"/>
      <c r="B464" s="34"/>
      <c r="E464">
        <v>1</v>
      </c>
      <c r="H464">
        <f t="shared" si="35"/>
        <v>32</v>
      </c>
      <c r="I464" t="str">
        <f t="shared" si="31"/>
        <v>20</v>
      </c>
      <c r="J464" s="35"/>
    </row>
    <row r="465" spans="1:10" ht="9.75" customHeight="1">
      <c r="A465" s="33"/>
      <c r="B465" s="27"/>
      <c r="J465" s="25"/>
    </row>
    <row r="466" spans="1:10" ht="9.75" customHeight="1">
      <c r="A466" s="33">
        <v>90</v>
      </c>
      <c r="B466" s="34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70">C466*C$1+D466*D$1+E466*E$1+F466*F$1+G466*G$1</f>
        <v>248</v>
      </c>
      <c r="I466" t="str">
        <f t="shared" ref="I466:I472" si="71">DEC2HEX(H466,2)</f>
        <v>F8</v>
      </c>
      <c r="J466" s="35" t="str">
        <f>CONCATENATE("0x",I466,",0x",I467,",0x",I468,",0x",I469,",0x",I470,",0x",I471,",0x",I472,", //",B466)</f>
        <v>0xF8,0x08,0x10,0x20,0x40,0x80,0xF8, //Z</v>
      </c>
    </row>
    <row r="467" spans="1:10" ht="9.75" customHeight="1">
      <c r="A467" s="33"/>
      <c r="B467" s="34"/>
      <c r="G467">
        <v>1</v>
      </c>
      <c r="H467">
        <f t="shared" si="70"/>
        <v>8</v>
      </c>
      <c r="I467" t="str">
        <f t="shared" si="71"/>
        <v>08</v>
      </c>
      <c r="J467" s="35"/>
    </row>
    <row r="468" spans="1:10" ht="9.75" customHeight="1">
      <c r="A468" s="33"/>
      <c r="B468" s="34"/>
      <c r="F468">
        <v>1</v>
      </c>
      <c r="H468">
        <f t="shared" si="70"/>
        <v>16</v>
      </c>
      <c r="I468" t="str">
        <f t="shared" si="71"/>
        <v>10</v>
      </c>
      <c r="J468" s="35"/>
    </row>
    <row r="469" spans="1:10" ht="9.75" customHeight="1">
      <c r="A469" s="33"/>
      <c r="B469" s="34"/>
      <c r="E469">
        <v>1</v>
      </c>
      <c r="H469">
        <f t="shared" si="70"/>
        <v>32</v>
      </c>
      <c r="I469" t="str">
        <f t="shared" si="71"/>
        <v>20</v>
      </c>
      <c r="J469" s="35"/>
    </row>
    <row r="470" spans="1:10" ht="9.75" customHeight="1">
      <c r="A470" s="33"/>
      <c r="B470" s="34"/>
      <c r="D470">
        <v>1</v>
      </c>
      <c r="H470">
        <f t="shared" si="70"/>
        <v>64</v>
      </c>
      <c r="I470" t="str">
        <f t="shared" si="71"/>
        <v>40</v>
      </c>
      <c r="J470" s="35"/>
    </row>
    <row r="471" spans="1:10" ht="9.75" customHeight="1">
      <c r="A471" s="33"/>
      <c r="B471" s="34"/>
      <c r="C471">
        <v>1</v>
      </c>
      <c r="H471">
        <f t="shared" si="70"/>
        <v>128</v>
      </c>
      <c r="I471" t="str">
        <f t="shared" si="71"/>
        <v>80</v>
      </c>
      <c r="J471" s="35"/>
    </row>
    <row r="472" spans="1:10" ht="9.75" customHeight="1">
      <c r="A472" s="33"/>
      <c r="B472" s="34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70"/>
        <v>248</v>
      </c>
      <c r="I472" t="str">
        <f t="shared" si="71"/>
        <v>F8</v>
      </c>
      <c r="J472" s="35"/>
    </row>
    <row r="473" spans="1:10" ht="9.75" customHeight="1">
      <c r="A473" s="33"/>
      <c r="B473" s="27"/>
      <c r="J473" s="25"/>
    </row>
    <row r="474" spans="1:10" ht="9.75" customHeight="1">
      <c r="B474" s="34" t="s">
        <v>217</v>
      </c>
      <c r="H474">
        <f t="shared" si="35"/>
        <v>0</v>
      </c>
      <c r="I474" t="str">
        <f t="shared" si="31"/>
        <v>00</v>
      </c>
      <c r="J474" s="35" t="str">
        <f>CONCATENATE("0x",I474,",0x",I475,",0x",I476,",0x",I477,",0x",I478,",0x",I479,",0x",I480,",")</f>
        <v>0x00,0x00,0x00,0x00,0x00,0x00,0x00,</v>
      </c>
    </row>
    <row r="475" spans="1:10" ht="9.75" customHeight="1">
      <c r="B475" s="34"/>
      <c r="H475">
        <f t="shared" si="35"/>
        <v>0</v>
      </c>
      <c r="I475" t="str">
        <f t="shared" si="31"/>
        <v>00</v>
      </c>
      <c r="J475" s="35"/>
    </row>
    <row r="476" spans="1:10" ht="9.75" customHeight="1">
      <c r="B476" s="34"/>
      <c r="H476">
        <f t="shared" si="35"/>
        <v>0</v>
      </c>
      <c r="I476" t="str">
        <f t="shared" si="31"/>
        <v>00</v>
      </c>
      <c r="J476" s="35"/>
    </row>
    <row r="477" spans="1:10" ht="9.75" customHeight="1">
      <c r="B477" s="34"/>
      <c r="H477">
        <f t="shared" si="35"/>
        <v>0</v>
      </c>
      <c r="I477" t="str">
        <f t="shared" si="31"/>
        <v>00</v>
      </c>
      <c r="J477" s="35"/>
    </row>
    <row r="478" spans="1:10" ht="9.75" customHeight="1">
      <c r="B478" s="34"/>
      <c r="H478">
        <f t="shared" si="35"/>
        <v>0</v>
      </c>
      <c r="I478" t="str">
        <f t="shared" si="31"/>
        <v>00</v>
      </c>
      <c r="J478" s="35"/>
    </row>
    <row r="479" spans="1:10" ht="9.75" customHeight="1">
      <c r="B479" s="34"/>
      <c r="H479">
        <f t="shared" si="35"/>
        <v>0</v>
      </c>
      <c r="I479" t="str">
        <f t="shared" si="31"/>
        <v>00</v>
      </c>
      <c r="J479" s="35"/>
    </row>
    <row r="480" spans="1:10" ht="9.75" customHeight="1">
      <c r="B480" s="34"/>
      <c r="H480">
        <f t="shared" si="35"/>
        <v>0</v>
      </c>
      <c r="I480" t="str">
        <f t="shared" si="31"/>
        <v>00</v>
      </c>
      <c r="J480" s="35"/>
    </row>
    <row r="481" spans="2:10" ht="9.75" customHeight="1">
      <c r="B481" s="27"/>
      <c r="J481" s="25"/>
    </row>
    <row r="482" spans="2:10" ht="9.75" customHeight="1">
      <c r="B482" s="34" t="s">
        <v>217</v>
      </c>
      <c r="H482">
        <f t="shared" ref="H482:H488" si="72">C482*C$1+D482*D$1+E482*E$1+F482*F$1+G482*G$1</f>
        <v>0</v>
      </c>
      <c r="I482" t="str">
        <f t="shared" ref="I482:I488" si="73">DEC2HEX(H482,2)</f>
        <v>00</v>
      </c>
      <c r="J482" s="35" t="str">
        <f>CONCATENATE("0x",I482,",0x",I483,",0x",I484,",0x",I485,",0x",I486,",0x",I487,",0x",I488,",")</f>
        <v>0x00,0x00,0x00,0x00,0x00,0x00,0x00,</v>
      </c>
    </row>
    <row r="483" spans="2:10" ht="9.75" customHeight="1">
      <c r="B483" s="34"/>
      <c r="H483">
        <f t="shared" si="72"/>
        <v>0</v>
      </c>
      <c r="I483" t="str">
        <f t="shared" si="73"/>
        <v>00</v>
      </c>
      <c r="J483" s="35"/>
    </row>
    <row r="484" spans="2:10" ht="9.75" customHeight="1">
      <c r="B484" s="34"/>
      <c r="H484">
        <f t="shared" si="72"/>
        <v>0</v>
      </c>
      <c r="I484" t="str">
        <f t="shared" si="73"/>
        <v>00</v>
      </c>
      <c r="J484" s="35"/>
    </row>
    <row r="485" spans="2:10" ht="9.75" customHeight="1">
      <c r="B485" s="34"/>
      <c r="H485">
        <f t="shared" si="72"/>
        <v>0</v>
      </c>
      <c r="I485" t="str">
        <f t="shared" si="73"/>
        <v>00</v>
      </c>
      <c r="J485" s="35"/>
    </row>
    <row r="486" spans="2:10" ht="9.75" customHeight="1">
      <c r="B486" s="34"/>
      <c r="H486">
        <f t="shared" si="72"/>
        <v>0</v>
      </c>
      <c r="I486" t="str">
        <f t="shared" si="73"/>
        <v>00</v>
      </c>
      <c r="J486" s="35"/>
    </row>
    <row r="487" spans="2:10" ht="9.75" customHeight="1">
      <c r="B487" s="34"/>
      <c r="H487">
        <f t="shared" si="72"/>
        <v>0</v>
      </c>
      <c r="I487" t="str">
        <f t="shared" si="73"/>
        <v>00</v>
      </c>
      <c r="J487" s="35"/>
    </row>
    <row r="488" spans="2:10" ht="9.75" customHeight="1">
      <c r="B488" s="34"/>
      <c r="H488">
        <f t="shared" si="72"/>
        <v>0</v>
      </c>
      <c r="I488" t="str">
        <f t="shared" si="73"/>
        <v>00</v>
      </c>
      <c r="J488" s="35"/>
    </row>
    <row r="489" spans="2:10" ht="9.75" customHeight="1">
      <c r="B489" s="27"/>
      <c r="J489" s="25"/>
    </row>
    <row r="490" spans="2:10" ht="9.75" customHeight="1">
      <c r="B490" s="34" t="s">
        <v>217</v>
      </c>
      <c r="H490">
        <f t="shared" si="35"/>
        <v>0</v>
      </c>
      <c r="I490" t="str">
        <f t="shared" si="31"/>
        <v>00</v>
      </c>
      <c r="J490" s="35" t="str">
        <f>CONCATENATE("0x",I490,",0x",I491,",0x",I492,",0x",I493,",0x",I494,",0x",I495,",0x",I496,",")</f>
        <v>0x00,0x00,0x00,0x00,0x00,0x00,0x00,</v>
      </c>
    </row>
    <row r="491" spans="2:10" ht="9.75" customHeight="1">
      <c r="B491" s="34"/>
      <c r="H491">
        <f t="shared" si="35"/>
        <v>0</v>
      </c>
      <c r="I491" t="str">
        <f t="shared" si="31"/>
        <v>00</v>
      </c>
      <c r="J491" s="35"/>
    </row>
    <row r="492" spans="2:10" ht="9.75" customHeight="1">
      <c r="B492" s="34"/>
      <c r="H492">
        <f t="shared" si="35"/>
        <v>0</v>
      </c>
      <c r="I492" t="str">
        <f t="shared" si="31"/>
        <v>00</v>
      </c>
      <c r="J492" s="35"/>
    </row>
    <row r="493" spans="2:10" ht="9.75" customHeight="1">
      <c r="B493" s="34"/>
      <c r="H493">
        <f t="shared" si="35"/>
        <v>0</v>
      </c>
      <c r="I493" t="str">
        <f t="shared" si="31"/>
        <v>00</v>
      </c>
      <c r="J493" s="35"/>
    </row>
    <row r="494" spans="2:10" ht="9.75" customHeight="1">
      <c r="B494" s="34"/>
      <c r="H494">
        <f t="shared" si="35"/>
        <v>0</v>
      </c>
      <c r="I494" t="str">
        <f t="shared" si="31"/>
        <v>00</v>
      </c>
      <c r="J494" s="35"/>
    </row>
    <row r="495" spans="2:10" ht="9.75" customHeight="1">
      <c r="B495" s="34"/>
      <c r="H495">
        <f t="shared" si="35"/>
        <v>0</v>
      </c>
      <c r="I495" t="str">
        <f t="shared" si="31"/>
        <v>00</v>
      </c>
      <c r="J495" s="35"/>
    </row>
    <row r="496" spans="2:10" ht="9.75" customHeight="1">
      <c r="B496" s="34"/>
      <c r="H496">
        <f t="shared" si="35"/>
        <v>0</v>
      </c>
      <c r="I496" t="str">
        <f t="shared" si="31"/>
        <v>00</v>
      </c>
      <c r="J496" s="35"/>
    </row>
    <row r="497" spans="2:10" ht="9.75" customHeight="1">
      <c r="B497" s="27"/>
      <c r="J497" s="25"/>
    </row>
    <row r="498" spans="2:10" ht="9.75" customHeight="1">
      <c r="B498" s="34" t="s">
        <v>217</v>
      </c>
      <c r="H498">
        <f t="shared" ref="H498:H504" si="74">C498*C$1+D498*D$1+E498*E$1+F498*F$1+G498*G$1</f>
        <v>0</v>
      </c>
      <c r="I498" t="str">
        <f t="shared" ref="I498:I504" si="75">DEC2HEX(H498,2)</f>
        <v>00</v>
      </c>
      <c r="J498" s="35" t="str">
        <f>CONCATENATE("0x",I498,",0x",I499,",0x",I500,",0x",I501,",0x",I502,",0x",I503,",0x",I504,",")</f>
        <v>0x00,0x00,0x00,0x00,0x00,0x00,0x00,</v>
      </c>
    </row>
    <row r="499" spans="2:10" ht="9.75" customHeight="1">
      <c r="B499" s="34"/>
      <c r="H499">
        <f t="shared" si="74"/>
        <v>0</v>
      </c>
      <c r="I499" t="str">
        <f t="shared" si="75"/>
        <v>00</v>
      </c>
      <c r="J499" s="35"/>
    </row>
    <row r="500" spans="2:10" ht="9.75" customHeight="1">
      <c r="B500" s="34"/>
      <c r="H500">
        <f t="shared" si="74"/>
        <v>0</v>
      </c>
      <c r="I500" t="str">
        <f t="shared" si="75"/>
        <v>00</v>
      </c>
      <c r="J500" s="35"/>
    </row>
    <row r="501" spans="2:10" ht="9.75" customHeight="1">
      <c r="B501" s="34"/>
      <c r="H501">
        <f t="shared" si="74"/>
        <v>0</v>
      </c>
      <c r="I501" t="str">
        <f t="shared" si="75"/>
        <v>00</v>
      </c>
      <c r="J501" s="35"/>
    </row>
    <row r="502" spans="2:10" ht="9.75" customHeight="1">
      <c r="B502" s="34"/>
      <c r="H502">
        <f t="shared" si="74"/>
        <v>0</v>
      </c>
      <c r="I502" t="str">
        <f t="shared" si="75"/>
        <v>00</v>
      </c>
      <c r="J502" s="35"/>
    </row>
    <row r="503" spans="2:10" ht="9.75" customHeight="1">
      <c r="B503" s="34"/>
      <c r="H503">
        <f t="shared" si="74"/>
        <v>0</v>
      </c>
      <c r="I503" t="str">
        <f t="shared" si="75"/>
        <v>00</v>
      </c>
      <c r="J503" s="35"/>
    </row>
    <row r="504" spans="2:10" ht="9.75" customHeight="1">
      <c r="B504" s="34"/>
      <c r="H504">
        <f t="shared" si="74"/>
        <v>0</v>
      </c>
      <c r="I504" t="str">
        <f t="shared" si="75"/>
        <v>00</v>
      </c>
      <c r="J504" s="35"/>
    </row>
    <row r="505" spans="2:10" ht="9.75" customHeight="1">
      <c r="B505" s="27"/>
      <c r="J505" s="25"/>
    </row>
    <row r="506" spans="2:10" ht="9.75" customHeight="1">
      <c r="B506" s="34" t="s">
        <v>217</v>
      </c>
      <c r="H506">
        <f t="shared" si="35"/>
        <v>0</v>
      </c>
      <c r="I506" t="str">
        <f t="shared" si="31"/>
        <v>00</v>
      </c>
      <c r="J506" s="35" t="str">
        <f>CONCATENATE("0x",I506,",0x",I507,",0x",I508,",0x",I509,",0x",I510,",0x",I511,",0x",I512,",")</f>
        <v>0x00,0x00,0x00,0x00,0x00,0x00,0x00,</v>
      </c>
    </row>
    <row r="507" spans="2:10" ht="9.75" customHeight="1">
      <c r="B507" s="34"/>
      <c r="H507">
        <f t="shared" si="35"/>
        <v>0</v>
      </c>
      <c r="I507" t="str">
        <f t="shared" si="31"/>
        <v>00</v>
      </c>
      <c r="J507" s="35"/>
    </row>
    <row r="508" spans="2:10" ht="9.75" customHeight="1">
      <c r="B508" s="34"/>
      <c r="H508">
        <f t="shared" si="35"/>
        <v>0</v>
      </c>
      <c r="I508" t="str">
        <f t="shared" si="31"/>
        <v>00</v>
      </c>
      <c r="J508" s="35"/>
    </row>
    <row r="509" spans="2:10" ht="9.75" customHeight="1">
      <c r="B509" s="34"/>
      <c r="H509">
        <f t="shared" si="35"/>
        <v>0</v>
      </c>
      <c r="I509" t="str">
        <f t="shared" si="31"/>
        <v>00</v>
      </c>
      <c r="J509" s="35"/>
    </row>
    <row r="510" spans="2:10" ht="9.75" customHeight="1">
      <c r="B510" s="34"/>
      <c r="H510">
        <f t="shared" si="35"/>
        <v>0</v>
      </c>
      <c r="I510" t="str">
        <f t="shared" si="31"/>
        <v>00</v>
      </c>
      <c r="J510" s="35"/>
    </row>
    <row r="511" spans="2:10" ht="9.75" customHeight="1">
      <c r="B511" s="34"/>
      <c r="H511">
        <f t="shared" si="35"/>
        <v>0</v>
      </c>
      <c r="I511" t="str">
        <f t="shared" si="31"/>
        <v>00</v>
      </c>
      <c r="J511" s="35"/>
    </row>
    <row r="512" spans="2:10" ht="9.75" customHeight="1">
      <c r="B512" s="34"/>
      <c r="H512">
        <f t="shared" si="35"/>
        <v>0</v>
      </c>
      <c r="I512" t="str">
        <f t="shared" si="31"/>
        <v>00</v>
      </c>
      <c r="J512" s="35"/>
    </row>
    <row r="513" spans="2:10" ht="9.75" customHeight="1">
      <c r="B513" s="27"/>
      <c r="J513" s="25"/>
    </row>
  </sheetData>
  <mergeCells count="187"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</mergeCells>
  <phoneticPr fontId="6" type="noConversion"/>
  <conditionalFormatting sqref="C138:G152 C154:G160 C162:G168 C129:G129 C2:G9">
    <cfRule type="expression" dxfId="318" priority="93">
      <formula>C2=1</formula>
    </cfRule>
  </conditionalFormatting>
  <conditionalFormatting sqref="C169:G176">
    <cfRule type="expression" dxfId="317" priority="90">
      <formula>C169=1</formula>
    </cfRule>
  </conditionalFormatting>
  <conditionalFormatting sqref="C177:G184">
    <cfRule type="expression" dxfId="316" priority="89">
      <formula>C177=1</formula>
    </cfRule>
  </conditionalFormatting>
  <conditionalFormatting sqref="C186:G192">
    <cfRule type="expression" dxfId="315" priority="88">
      <formula>C186=1</formula>
    </cfRule>
  </conditionalFormatting>
  <conditionalFormatting sqref="C194:G200">
    <cfRule type="expression" dxfId="314" priority="87">
      <formula>C194=1</formula>
    </cfRule>
  </conditionalFormatting>
  <conditionalFormatting sqref="C202:G209">
    <cfRule type="expression" dxfId="313" priority="86">
      <formula>C202=1</formula>
    </cfRule>
  </conditionalFormatting>
  <conditionalFormatting sqref="C130:G137">
    <cfRule type="expression" dxfId="312" priority="85">
      <formula>C130=1</formula>
    </cfRule>
  </conditionalFormatting>
  <conditionalFormatting sqref="C10:G16 C25:G25">
    <cfRule type="expression" dxfId="311" priority="83">
      <formula>C10=1</formula>
    </cfRule>
  </conditionalFormatting>
  <conditionalFormatting sqref="C17:G17">
    <cfRule type="expression" dxfId="310" priority="82">
      <formula>C17=1</formula>
    </cfRule>
  </conditionalFormatting>
  <conditionalFormatting sqref="C18:G24">
    <cfRule type="expression" dxfId="309" priority="81">
      <formula>C18=1</formula>
    </cfRule>
  </conditionalFormatting>
  <conditionalFormatting sqref="C26:G33">
    <cfRule type="expression" dxfId="308" priority="80">
      <formula>C26=1</formula>
    </cfRule>
  </conditionalFormatting>
  <conditionalFormatting sqref="C34:G41">
    <cfRule type="expression" dxfId="307" priority="79">
      <formula>C34=1</formula>
    </cfRule>
  </conditionalFormatting>
  <conditionalFormatting sqref="C42:G48 C57:G57">
    <cfRule type="expression" dxfId="306" priority="78">
      <formula>C42=1</formula>
    </cfRule>
  </conditionalFormatting>
  <conditionalFormatting sqref="C58:G58 C65:G65">
    <cfRule type="expression" dxfId="305" priority="77">
      <formula>C58=1</formula>
    </cfRule>
  </conditionalFormatting>
  <conditionalFormatting sqref="C122:G128">
    <cfRule type="expression" dxfId="304" priority="75">
      <formula>C122=1</formula>
    </cfRule>
  </conditionalFormatting>
  <conditionalFormatting sqref="C114:G121">
    <cfRule type="expression" dxfId="303" priority="74">
      <formula>C114=1</formula>
    </cfRule>
  </conditionalFormatting>
  <conditionalFormatting sqref="C113:G113">
    <cfRule type="expression" dxfId="302" priority="73">
      <formula>C113=1</formula>
    </cfRule>
  </conditionalFormatting>
  <conditionalFormatting sqref="C90:G96">
    <cfRule type="expression" dxfId="301" priority="72">
      <formula>C90=1</formula>
    </cfRule>
  </conditionalFormatting>
  <conditionalFormatting sqref="C89:G89">
    <cfRule type="expression" dxfId="300" priority="71">
      <formula>C89=1</formula>
    </cfRule>
  </conditionalFormatting>
  <conditionalFormatting sqref="C74:G81">
    <cfRule type="expression" dxfId="299" priority="70">
      <formula>C74=1</formula>
    </cfRule>
  </conditionalFormatting>
  <conditionalFormatting sqref="C66:G73">
    <cfRule type="expression" dxfId="298" priority="69">
      <formula>C66=1</formula>
    </cfRule>
  </conditionalFormatting>
  <conditionalFormatting sqref="C506:G513">
    <cfRule type="expression" dxfId="297" priority="68">
      <formula>C506=1</formula>
    </cfRule>
  </conditionalFormatting>
  <conditionalFormatting sqref="C498:G505">
    <cfRule type="expression" dxfId="296" priority="67">
      <formula>C498=1</formula>
    </cfRule>
  </conditionalFormatting>
  <conditionalFormatting sqref="C490:G497">
    <cfRule type="expression" dxfId="295" priority="66">
      <formula>C490=1</formula>
    </cfRule>
  </conditionalFormatting>
  <conditionalFormatting sqref="C482:G489">
    <cfRule type="expression" dxfId="294" priority="65">
      <formula>C482=1</formula>
    </cfRule>
  </conditionalFormatting>
  <conditionalFormatting sqref="C474:G481">
    <cfRule type="expression" dxfId="293" priority="64">
      <formula>C474=1</formula>
    </cfRule>
  </conditionalFormatting>
  <conditionalFormatting sqref="C466:G473">
    <cfRule type="expression" dxfId="292" priority="63">
      <formula>C466=1</formula>
    </cfRule>
  </conditionalFormatting>
  <conditionalFormatting sqref="C462:G465">
    <cfRule type="expression" dxfId="291" priority="62">
      <formula>C462=1</formula>
    </cfRule>
  </conditionalFormatting>
  <conditionalFormatting sqref="C450:G457">
    <cfRule type="expression" dxfId="290" priority="61">
      <formula>C450=1</formula>
    </cfRule>
  </conditionalFormatting>
  <conditionalFormatting sqref="C449:G449">
    <cfRule type="expression" dxfId="289" priority="60">
      <formula>C449=1</formula>
    </cfRule>
  </conditionalFormatting>
  <conditionalFormatting sqref="C441:G441">
    <cfRule type="expression" dxfId="288" priority="59">
      <formula>C441=1</formula>
    </cfRule>
  </conditionalFormatting>
  <conditionalFormatting sqref="C433:G433">
    <cfRule type="expression" dxfId="287" priority="58">
      <formula>C433=1</formula>
    </cfRule>
  </conditionalFormatting>
  <conditionalFormatting sqref="C424:G425">
    <cfRule type="expression" dxfId="286" priority="57">
      <formula>C424=1</formula>
    </cfRule>
  </conditionalFormatting>
  <conditionalFormatting sqref="C417:G417">
    <cfRule type="expression" dxfId="285" priority="56">
      <formula>C417=1</formula>
    </cfRule>
  </conditionalFormatting>
  <conditionalFormatting sqref="C409:G409">
    <cfRule type="expression" dxfId="284" priority="55">
      <formula>C409=1</formula>
    </cfRule>
  </conditionalFormatting>
  <conditionalFormatting sqref="C401:G401">
    <cfRule type="expression" dxfId="283" priority="54">
      <formula>C401=1</formula>
    </cfRule>
  </conditionalFormatting>
  <conditionalFormatting sqref="C393:G393">
    <cfRule type="expression" dxfId="282" priority="53">
      <formula>C393=1</formula>
    </cfRule>
  </conditionalFormatting>
  <conditionalFormatting sqref="C385:G385">
    <cfRule type="expression" dxfId="281" priority="52">
      <formula>C385=1</formula>
    </cfRule>
  </conditionalFormatting>
  <conditionalFormatting sqref="C377:G377">
    <cfRule type="expression" dxfId="280" priority="51">
      <formula>C377=1</formula>
    </cfRule>
  </conditionalFormatting>
  <conditionalFormatting sqref="C369:G369">
    <cfRule type="expression" dxfId="279" priority="50">
      <formula>C369=1</formula>
    </cfRule>
  </conditionalFormatting>
  <conditionalFormatting sqref="C361:G361">
    <cfRule type="expression" dxfId="278" priority="49">
      <formula>C361=1</formula>
    </cfRule>
  </conditionalFormatting>
  <conditionalFormatting sqref="C353:G353">
    <cfRule type="expression" dxfId="277" priority="48">
      <formula>C353=1</formula>
    </cfRule>
  </conditionalFormatting>
  <conditionalFormatting sqref="C345:G345">
    <cfRule type="expression" dxfId="276" priority="47">
      <formula>C345=1</formula>
    </cfRule>
  </conditionalFormatting>
  <conditionalFormatting sqref="C330:G337">
    <cfRule type="expression" dxfId="275" priority="46">
      <formula>C330=1</formula>
    </cfRule>
  </conditionalFormatting>
  <conditionalFormatting sqref="C329:G329">
    <cfRule type="expression" dxfId="274" priority="45">
      <formula>C329=1</formula>
    </cfRule>
  </conditionalFormatting>
  <conditionalFormatting sqref="C321:G321">
    <cfRule type="expression" dxfId="273" priority="44">
      <formula>C321=1</formula>
    </cfRule>
  </conditionalFormatting>
  <conditionalFormatting sqref="C313:G313">
    <cfRule type="expression" dxfId="272" priority="43">
      <formula>C313=1</formula>
    </cfRule>
  </conditionalFormatting>
  <conditionalFormatting sqref="C298:G305">
    <cfRule type="expression" dxfId="271" priority="42">
      <formula>C298=1</formula>
    </cfRule>
  </conditionalFormatting>
  <conditionalFormatting sqref="C297:G297">
    <cfRule type="expression" dxfId="270" priority="41">
      <formula>C297=1</formula>
    </cfRule>
  </conditionalFormatting>
  <conditionalFormatting sqref="C282:G289">
    <cfRule type="expression" dxfId="269" priority="40">
      <formula>C282=1</formula>
    </cfRule>
  </conditionalFormatting>
  <conditionalFormatting sqref="C281:G281">
    <cfRule type="expression" dxfId="268" priority="39">
      <formula>C281=1</formula>
    </cfRule>
  </conditionalFormatting>
  <conditionalFormatting sqref="C266:G273">
    <cfRule type="expression" dxfId="267" priority="38">
      <formula>C266=1</formula>
    </cfRule>
  </conditionalFormatting>
  <conditionalFormatting sqref="C258:G265">
    <cfRule type="expression" dxfId="266" priority="37">
      <formula>C258=1</formula>
    </cfRule>
  </conditionalFormatting>
  <conditionalFormatting sqref="C250:G257">
    <cfRule type="expression" dxfId="265" priority="36">
      <formula>C250=1</formula>
    </cfRule>
  </conditionalFormatting>
  <conditionalFormatting sqref="C226:G233">
    <cfRule type="expression" dxfId="264" priority="35">
      <formula>C226=1</formula>
    </cfRule>
  </conditionalFormatting>
  <conditionalFormatting sqref="C218:G225">
    <cfRule type="expression" dxfId="263" priority="34">
      <formula>C218=1</formula>
    </cfRule>
  </conditionalFormatting>
  <conditionalFormatting sqref="C210:G217">
    <cfRule type="expression" dxfId="262" priority="33">
      <formula>C210=1</formula>
    </cfRule>
  </conditionalFormatting>
  <conditionalFormatting sqref="C274:G280">
    <cfRule type="expression" dxfId="261" priority="32">
      <formula>C274=1</formula>
    </cfRule>
  </conditionalFormatting>
  <conditionalFormatting sqref="C290:G296">
    <cfRule type="expression" dxfId="260" priority="31">
      <formula>C290=1</formula>
    </cfRule>
  </conditionalFormatting>
  <conditionalFormatting sqref="C306:G312">
    <cfRule type="expression" dxfId="259" priority="30">
      <formula>C306=1</formula>
    </cfRule>
  </conditionalFormatting>
  <conditionalFormatting sqref="C314:G320">
    <cfRule type="expression" dxfId="258" priority="29">
      <formula>C314=1</formula>
    </cfRule>
  </conditionalFormatting>
  <conditionalFormatting sqref="C322:G328">
    <cfRule type="expression" dxfId="257" priority="28">
      <formula>C322=1</formula>
    </cfRule>
  </conditionalFormatting>
  <conditionalFormatting sqref="C338:G344">
    <cfRule type="expression" dxfId="256" priority="27">
      <formula>C338=1</formula>
    </cfRule>
  </conditionalFormatting>
  <conditionalFormatting sqref="C346:G352">
    <cfRule type="expression" dxfId="255" priority="26">
      <formula>C346=1</formula>
    </cfRule>
  </conditionalFormatting>
  <conditionalFormatting sqref="C354:G360">
    <cfRule type="expression" dxfId="254" priority="25">
      <formula>C354=1</formula>
    </cfRule>
  </conditionalFormatting>
  <conditionalFormatting sqref="C362:G368">
    <cfRule type="expression" dxfId="253" priority="24">
      <formula>C362=1</formula>
    </cfRule>
  </conditionalFormatting>
  <conditionalFormatting sqref="C370:G376">
    <cfRule type="expression" dxfId="252" priority="23">
      <formula>C370=1</formula>
    </cfRule>
  </conditionalFormatting>
  <conditionalFormatting sqref="C378:G384">
    <cfRule type="expression" dxfId="251" priority="22">
      <formula>C378=1</formula>
    </cfRule>
  </conditionalFormatting>
  <conditionalFormatting sqref="C386:G392">
    <cfRule type="expression" dxfId="250" priority="21">
      <formula>C386=1</formula>
    </cfRule>
  </conditionalFormatting>
  <conditionalFormatting sqref="C394:G400">
    <cfRule type="expression" dxfId="249" priority="20">
      <formula>C394=1</formula>
    </cfRule>
  </conditionalFormatting>
  <conditionalFormatting sqref="C402:G408">
    <cfRule type="expression" dxfId="248" priority="19">
      <formula>C402=1</formula>
    </cfRule>
  </conditionalFormatting>
  <conditionalFormatting sqref="C410:G416">
    <cfRule type="expression" dxfId="247" priority="18">
      <formula>C410=1</formula>
    </cfRule>
  </conditionalFormatting>
  <conditionalFormatting sqref="C418:G423">
    <cfRule type="expression" dxfId="246" priority="17">
      <formula>C418=1</formula>
    </cfRule>
  </conditionalFormatting>
  <conditionalFormatting sqref="C426:G432">
    <cfRule type="expression" dxfId="245" priority="16">
      <formula>C426=1</formula>
    </cfRule>
  </conditionalFormatting>
  <conditionalFormatting sqref="C434:G440">
    <cfRule type="expression" dxfId="244" priority="15">
      <formula>C434=1</formula>
    </cfRule>
  </conditionalFormatting>
  <conditionalFormatting sqref="C442:G448">
    <cfRule type="expression" dxfId="243" priority="14">
      <formula>C442=1</formula>
    </cfRule>
  </conditionalFormatting>
  <conditionalFormatting sqref="C458:G461">
    <cfRule type="expression" dxfId="242" priority="13">
      <formula>C458=1</formula>
    </cfRule>
  </conditionalFormatting>
  <conditionalFormatting sqref="C49:G49">
    <cfRule type="expression" dxfId="241" priority="12">
      <formula>C49=1</formula>
    </cfRule>
  </conditionalFormatting>
  <conditionalFormatting sqref="C50:G56">
    <cfRule type="expression" dxfId="240" priority="11">
      <formula>C50=1</formula>
    </cfRule>
  </conditionalFormatting>
  <conditionalFormatting sqref="C59:G64">
    <cfRule type="expression" dxfId="239" priority="10">
      <formula>C59=1</formula>
    </cfRule>
  </conditionalFormatting>
  <conditionalFormatting sqref="C97:G97">
    <cfRule type="expression" dxfId="238" priority="8">
      <formula>C97=1</formula>
    </cfRule>
  </conditionalFormatting>
  <conditionalFormatting sqref="C105:G105">
    <cfRule type="expression" dxfId="237" priority="9">
      <formula>C105=1</formula>
    </cfRule>
  </conditionalFormatting>
  <conditionalFormatting sqref="C242:G249">
    <cfRule type="expression" dxfId="236" priority="7">
      <formula>C242=1</formula>
    </cfRule>
  </conditionalFormatting>
  <conditionalFormatting sqref="C234:G241">
    <cfRule type="expression" dxfId="235" priority="6">
      <formula>C234=1</formula>
    </cfRule>
  </conditionalFormatting>
  <conditionalFormatting sqref="C98:G104">
    <cfRule type="expression" dxfId="234" priority="5">
      <formula>C98=1</formula>
    </cfRule>
  </conditionalFormatting>
  <conditionalFormatting sqref="C106:G106">
    <cfRule type="expression" dxfId="233" priority="4">
      <formula>C106=1</formula>
    </cfRule>
  </conditionalFormatting>
  <conditionalFormatting sqref="C106:G112">
    <cfRule type="expression" dxfId="232" priority="3">
      <formula>C106=1</formula>
    </cfRule>
  </conditionalFormatting>
  <conditionalFormatting sqref="C82:G82">
    <cfRule type="expression" dxfId="231" priority="2">
      <formula>C82=1</formula>
    </cfRule>
  </conditionalFormatting>
  <conditionalFormatting sqref="C82:G88">
    <cfRule type="expression" dxfId="230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>
      <c r="A2" s="30">
        <v>1</v>
      </c>
      <c r="B2" s="33">
        <v>65</v>
      </c>
      <c r="C2" s="34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35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>
      <c r="A3" s="30">
        <v>2</v>
      </c>
      <c r="B3" s="35"/>
      <c r="C3" s="35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35"/>
    </row>
    <row r="4" spans="1:17" ht="9.75" customHeight="1">
      <c r="A4" s="30">
        <v>3</v>
      </c>
      <c r="B4" s="35"/>
      <c r="C4" s="35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35"/>
    </row>
    <row r="5" spans="1:17" ht="9.75" customHeight="1">
      <c r="A5" s="30">
        <v>4</v>
      </c>
      <c r="B5" s="35"/>
      <c r="C5" s="35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35"/>
    </row>
    <row r="6" spans="1:17" ht="9.75" customHeight="1">
      <c r="A6" s="30">
        <v>5</v>
      </c>
      <c r="B6" s="35"/>
      <c r="C6" s="35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35"/>
    </row>
    <row r="7" spans="1:17" ht="9.75" customHeight="1">
      <c r="A7" s="30">
        <v>6</v>
      </c>
      <c r="B7" s="35"/>
      <c r="C7" s="35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35"/>
    </row>
    <row r="8" spans="1:17" ht="9.75" customHeight="1">
      <c r="A8" s="30">
        <v>7</v>
      </c>
      <c r="B8" s="35"/>
      <c r="C8" s="35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35"/>
    </row>
    <row r="9" spans="1:17" ht="9.75" customHeight="1">
      <c r="A9" s="30">
        <v>8</v>
      </c>
      <c r="B9" s="35"/>
      <c r="C9" s="35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35"/>
    </row>
    <row r="10" spans="1:17" ht="9.75" customHeight="1">
      <c r="A10" s="30">
        <v>9</v>
      </c>
      <c r="B10" s="35"/>
      <c r="C10" s="35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35"/>
    </row>
    <row r="11" spans="1:17" ht="9.75" customHeight="1">
      <c r="A11" s="30">
        <v>10</v>
      </c>
      <c r="B11" s="35"/>
      <c r="C11" s="35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35"/>
    </row>
    <row r="12" spans="1:17" ht="9.75" customHeight="1">
      <c r="A12" s="30">
        <v>11</v>
      </c>
      <c r="B12" s="35"/>
      <c r="C12" s="35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35"/>
    </row>
    <row r="13" spans="1:17" ht="9.75" customHeight="1">
      <c r="A13" s="30">
        <v>12</v>
      </c>
      <c r="B13" s="35"/>
      <c r="C13" s="35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35"/>
    </row>
    <row r="14" spans="1:17" ht="9.75" customHeight="1">
      <c r="A14" s="30">
        <v>13</v>
      </c>
      <c r="B14" s="35"/>
      <c r="C14" s="35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35"/>
    </row>
    <row r="15" spans="1:17" ht="9.75" customHeight="1">
      <c r="A15" s="30">
        <v>14</v>
      </c>
      <c r="B15" s="35"/>
      <c r="C15" s="35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35"/>
    </row>
    <row r="16" spans="1:17" ht="9.75" customHeight="1">
      <c r="A16" s="30">
        <v>15</v>
      </c>
      <c r="B16" s="35"/>
      <c r="C16" s="35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>
      <c r="A17" s="30">
        <v>16</v>
      </c>
      <c r="B17" s="35"/>
      <c r="C17" s="35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>
      <c r="A18" s="30">
        <v>17</v>
      </c>
      <c r="B18" s="35"/>
      <c r="C18" s="35"/>
      <c r="O18" s="30">
        <f t="shared" si="3"/>
        <v>0</v>
      </c>
      <c r="P18" s="30" t="str">
        <f t="shared" si="2"/>
        <v>0000</v>
      </c>
    </row>
    <row r="19" spans="1:17" ht="9.75" customHeight="1">
      <c r="A19" s="30">
        <v>18</v>
      </c>
      <c r="B19" s="35"/>
      <c r="C19" s="35"/>
      <c r="O19" s="30">
        <f t="shared" si="3"/>
        <v>0</v>
      </c>
      <c r="P19" s="30" t="str">
        <f t="shared" si="2"/>
        <v>0000</v>
      </c>
    </row>
    <row r="21" spans="1:17" ht="9.75" customHeight="1">
      <c r="A21" s="30">
        <v>1</v>
      </c>
      <c r="B21" s="33">
        <v>67</v>
      </c>
      <c r="C21" s="34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35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>
      <c r="A22" s="30">
        <v>2</v>
      </c>
      <c r="B22" s="35"/>
      <c r="C22" s="35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35"/>
    </row>
    <row r="23" spans="1:17" ht="9.75" customHeight="1">
      <c r="A23" s="30">
        <v>3</v>
      </c>
      <c r="B23" s="35"/>
      <c r="C23" s="35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35"/>
    </row>
    <row r="24" spans="1:17" ht="9.75" customHeight="1">
      <c r="A24" s="30">
        <v>4</v>
      </c>
      <c r="B24" s="35"/>
      <c r="C24" s="35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35"/>
    </row>
    <row r="25" spans="1:17" ht="9.75" customHeight="1">
      <c r="A25" s="30">
        <v>5</v>
      </c>
      <c r="B25" s="35"/>
      <c r="C25" s="35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35"/>
    </row>
    <row r="26" spans="1:17" ht="9.75" customHeight="1">
      <c r="A26" s="30">
        <v>6</v>
      </c>
      <c r="B26" s="35"/>
      <c r="C26" s="35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35"/>
    </row>
    <row r="27" spans="1:17" ht="9.75" customHeight="1">
      <c r="A27" s="30">
        <v>7</v>
      </c>
      <c r="B27" s="35"/>
      <c r="C27" s="35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35"/>
    </row>
    <row r="28" spans="1:17" ht="9.75" customHeight="1">
      <c r="A28" s="30">
        <v>8</v>
      </c>
      <c r="B28" s="35"/>
      <c r="C28" s="35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35"/>
    </row>
    <row r="29" spans="1:17" ht="9.75" customHeight="1">
      <c r="A29" s="30">
        <v>9</v>
      </c>
      <c r="B29" s="35"/>
      <c r="C29" s="35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35"/>
    </row>
    <row r="30" spans="1:17" ht="9.75" customHeight="1">
      <c r="A30" s="30">
        <v>10</v>
      </c>
      <c r="B30" s="35"/>
      <c r="C30" s="35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35"/>
    </row>
    <row r="31" spans="1:17" ht="9.75" customHeight="1">
      <c r="A31" s="30">
        <v>11</v>
      </c>
      <c r="B31" s="35"/>
      <c r="C31" s="35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35"/>
    </row>
    <row r="32" spans="1:17" ht="9.75" customHeight="1">
      <c r="A32" s="30">
        <v>12</v>
      </c>
      <c r="B32" s="35"/>
      <c r="C32" s="35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35"/>
    </row>
    <row r="33" spans="1:17" ht="9.75" customHeight="1">
      <c r="A33" s="30">
        <v>13</v>
      </c>
      <c r="B33" s="35"/>
      <c r="C33" s="35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35"/>
    </row>
    <row r="34" spans="1:17" ht="9.75" customHeight="1">
      <c r="A34" s="30">
        <v>14</v>
      </c>
      <c r="B34" s="35"/>
      <c r="C34" s="35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35"/>
    </row>
    <row r="35" spans="1:17" ht="9.75" customHeight="1">
      <c r="A35" s="30">
        <v>15</v>
      </c>
      <c r="B35" s="35"/>
      <c r="C35" s="35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>
      <c r="A36" s="30">
        <v>16</v>
      </c>
      <c r="B36" s="35"/>
      <c r="C36" s="35"/>
      <c r="O36" s="30">
        <f t="shared" si="4"/>
        <v>0</v>
      </c>
      <c r="P36" s="30" t="str">
        <f t="shared" si="5"/>
        <v>0000</v>
      </c>
    </row>
    <row r="37" spans="1:17" ht="9.75" customHeight="1">
      <c r="A37" s="30">
        <v>17</v>
      </c>
      <c r="B37" s="35"/>
      <c r="C37" s="35"/>
      <c r="O37" s="30">
        <f t="shared" si="4"/>
        <v>0</v>
      </c>
      <c r="P37" s="30" t="str">
        <f t="shared" si="5"/>
        <v>0000</v>
      </c>
    </row>
    <row r="38" spans="1:17" ht="9.75" customHeight="1">
      <c r="A38" s="30">
        <v>18</v>
      </c>
      <c r="B38" s="35"/>
      <c r="C38" s="35"/>
      <c r="O38" s="30">
        <f t="shared" si="4"/>
        <v>0</v>
      </c>
      <c r="P38" s="30" t="str">
        <f t="shared" si="5"/>
        <v>0000</v>
      </c>
    </row>
    <row r="40" spans="1:17" ht="9.75" customHeight="1">
      <c r="A40" s="30">
        <v>1</v>
      </c>
      <c r="B40" s="33"/>
      <c r="C40" s="34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35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>
      <c r="A41" s="30">
        <v>2</v>
      </c>
      <c r="B41" s="35"/>
      <c r="C41" s="35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35"/>
    </row>
    <row r="42" spans="1:17" ht="9.75" customHeight="1">
      <c r="A42" s="30">
        <v>3</v>
      </c>
      <c r="B42" s="35"/>
      <c r="C42" s="35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35"/>
    </row>
    <row r="43" spans="1:17" ht="9.75" customHeight="1">
      <c r="A43" s="30">
        <v>4</v>
      </c>
      <c r="B43" s="35"/>
      <c r="C43" s="35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35"/>
    </row>
    <row r="44" spans="1:17" ht="9.75" customHeight="1">
      <c r="A44" s="30">
        <v>5</v>
      </c>
      <c r="B44" s="35"/>
      <c r="C44" s="35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35"/>
    </row>
    <row r="45" spans="1:17" ht="9.75" customHeight="1">
      <c r="A45" s="30">
        <v>6</v>
      </c>
      <c r="B45" s="35"/>
      <c r="C45" s="35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35"/>
    </row>
    <row r="46" spans="1:17" ht="9.75" customHeight="1">
      <c r="A46" s="30">
        <v>7</v>
      </c>
      <c r="B46" s="35"/>
      <c r="C46" s="35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35"/>
    </row>
    <row r="47" spans="1:17" ht="9.75" customHeight="1">
      <c r="A47" s="30">
        <v>8</v>
      </c>
      <c r="B47" s="35"/>
      <c r="C47" s="35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35"/>
    </row>
    <row r="48" spans="1:17" ht="9.75" customHeight="1">
      <c r="A48" s="30">
        <v>9</v>
      </c>
      <c r="B48" s="35"/>
      <c r="C48" s="35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35"/>
    </row>
    <row r="49" spans="1:17" ht="9.75" customHeight="1">
      <c r="A49" s="30">
        <v>10</v>
      </c>
      <c r="B49" s="35"/>
      <c r="C49" s="35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35"/>
    </row>
    <row r="50" spans="1:17" ht="9.75" customHeight="1">
      <c r="A50" s="30">
        <v>11</v>
      </c>
      <c r="B50" s="35"/>
      <c r="C50" s="35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35"/>
    </row>
    <row r="51" spans="1:17" ht="9.75" customHeight="1">
      <c r="A51" s="30">
        <v>12</v>
      </c>
      <c r="B51" s="35"/>
      <c r="C51" s="35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35"/>
    </row>
    <row r="52" spans="1:17" ht="9.75" customHeight="1">
      <c r="A52" s="30">
        <v>13</v>
      </c>
      <c r="B52" s="35"/>
      <c r="C52" s="35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35"/>
    </row>
    <row r="53" spans="1:17" ht="9.75" customHeight="1">
      <c r="A53" s="30">
        <v>14</v>
      </c>
      <c r="B53" s="35"/>
      <c r="C53" s="35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35"/>
    </row>
    <row r="54" spans="1:17" ht="9.75" customHeight="1">
      <c r="A54" s="30">
        <v>15</v>
      </c>
      <c r="B54" s="35"/>
      <c r="C54" s="35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>
      <c r="A55" s="30">
        <v>16</v>
      </c>
      <c r="B55" s="35"/>
      <c r="C55" s="35"/>
      <c r="O55" s="30">
        <f t="shared" si="6"/>
        <v>0</v>
      </c>
      <c r="P55" s="30" t="str">
        <f t="shared" si="7"/>
        <v>0000</v>
      </c>
    </row>
    <row r="56" spans="1:17" ht="9.75" customHeight="1">
      <c r="A56" s="30">
        <v>17</v>
      </c>
      <c r="B56" s="35"/>
      <c r="C56" s="35"/>
      <c r="O56" s="30">
        <f t="shared" si="6"/>
        <v>0</v>
      </c>
      <c r="P56" s="30" t="str">
        <f t="shared" si="7"/>
        <v>0000</v>
      </c>
    </row>
    <row r="57" spans="1:17" ht="9.75" customHeight="1">
      <c r="A57" s="30">
        <v>18</v>
      </c>
      <c r="B57" s="35"/>
      <c r="C57" s="35"/>
      <c r="O57" s="30">
        <f t="shared" si="6"/>
        <v>0</v>
      </c>
      <c r="P57" s="30" t="str">
        <f t="shared" si="7"/>
        <v>0000</v>
      </c>
    </row>
    <row r="59" spans="1:17" ht="9.75" customHeight="1">
      <c r="A59" s="30">
        <v>1</v>
      </c>
      <c r="B59" s="33"/>
      <c r="C59" s="34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35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>
      <c r="A60" s="30">
        <v>2</v>
      </c>
      <c r="B60" s="35"/>
      <c r="C60" s="35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35"/>
    </row>
    <row r="61" spans="1:17" ht="9.75" customHeight="1">
      <c r="A61" s="30">
        <v>3</v>
      </c>
      <c r="B61" s="35"/>
      <c r="C61" s="35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35"/>
    </row>
    <row r="62" spans="1:17" ht="9.75" customHeight="1">
      <c r="A62" s="30">
        <v>4</v>
      </c>
      <c r="B62" s="35"/>
      <c r="C62" s="35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35"/>
    </row>
    <row r="63" spans="1:17" ht="9.75" customHeight="1">
      <c r="A63" s="30">
        <v>5</v>
      </c>
      <c r="B63" s="35"/>
      <c r="C63" s="35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35"/>
    </row>
    <row r="64" spans="1:17" ht="9.75" customHeight="1">
      <c r="A64" s="30">
        <v>6</v>
      </c>
      <c r="B64" s="35"/>
      <c r="C64" s="35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35"/>
    </row>
    <row r="65" spans="1:17" ht="9.75" customHeight="1">
      <c r="A65" s="30">
        <v>7</v>
      </c>
      <c r="B65" s="35"/>
      <c r="C65" s="35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35"/>
    </row>
    <row r="66" spans="1:17" ht="9.75" customHeight="1">
      <c r="A66" s="30">
        <v>8</v>
      </c>
      <c r="B66" s="35"/>
      <c r="C66" s="35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35"/>
    </row>
    <row r="67" spans="1:17" ht="9.75" customHeight="1">
      <c r="A67" s="30">
        <v>9</v>
      </c>
      <c r="B67" s="35"/>
      <c r="C67" s="35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35"/>
    </row>
    <row r="68" spans="1:17" ht="9.75" customHeight="1">
      <c r="A68" s="30">
        <v>10</v>
      </c>
      <c r="B68" s="35"/>
      <c r="C68" s="35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35"/>
    </row>
    <row r="69" spans="1:17" ht="9.75" customHeight="1">
      <c r="A69" s="30">
        <v>11</v>
      </c>
      <c r="B69" s="35"/>
      <c r="C69" s="35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35"/>
    </row>
    <row r="70" spans="1:17" ht="9.75" customHeight="1">
      <c r="A70" s="30">
        <v>12</v>
      </c>
      <c r="B70" s="35"/>
      <c r="C70" s="35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35"/>
    </row>
    <row r="71" spans="1:17" ht="9.75" customHeight="1">
      <c r="A71" s="30">
        <v>13</v>
      </c>
      <c r="B71" s="35"/>
      <c r="C71" s="35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35"/>
    </row>
    <row r="72" spans="1:17" ht="9.75" customHeight="1">
      <c r="A72" s="30">
        <v>14</v>
      </c>
      <c r="B72" s="35"/>
      <c r="C72" s="35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35"/>
    </row>
    <row r="73" spans="1:17" ht="9.75" customHeight="1">
      <c r="A73" s="30">
        <v>15</v>
      </c>
      <c r="B73" s="35"/>
      <c r="C73" s="35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>
      <c r="A74" s="30">
        <v>16</v>
      </c>
      <c r="B74" s="35"/>
      <c r="C74" s="35"/>
      <c r="O74" s="30">
        <f t="shared" si="8"/>
        <v>0</v>
      </c>
      <c r="P74" s="30" t="str">
        <f t="shared" si="9"/>
        <v>0000</v>
      </c>
    </row>
    <row r="75" spans="1:17" ht="9.75" customHeight="1">
      <c r="A75" s="30">
        <v>17</v>
      </c>
      <c r="B75" s="35"/>
      <c r="C75" s="35"/>
      <c r="O75" s="30">
        <f t="shared" si="8"/>
        <v>0</v>
      </c>
      <c r="P75" s="30" t="str">
        <f t="shared" si="9"/>
        <v>0000</v>
      </c>
    </row>
    <row r="76" spans="1:17" ht="9.75" customHeight="1">
      <c r="A76" s="30">
        <v>18</v>
      </c>
      <c r="B76" s="35"/>
      <c r="C76" s="35"/>
      <c r="O76" s="30">
        <f t="shared" si="8"/>
        <v>0</v>
      </c>
      <c r="P76" s="30" t="str">
        <f t="shared" si="9"/>
        <v>0000</v>
      </c>
    </row>
    <row r="78" spans="1:17" ht="9.75" customHeight="1">
      <c r="A78" s="30">
        <v>1</v>
      </c>
      <c r="B78" s="33"/>
      <c r="C78" s="34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35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>
      <c r="A79" s="30">
        <v>2</v>
      </c>
      <c r="B79" s="35"/>
      <c r="C79" s="35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35"/>
    </row>
    <row r="80" spans="1:17" ht="9.75" customHeight="1">
      <c r="A80" s="30">
        <v>3</v>
      </c>
      <c r="B80" s="35"/>
      <c r="C80" s="35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35"/>
    </row>
    <row r="81" spans="1:17" ht="9.75" customHeight="1">
      <c r="A81" s="30">
        <v>4</v>
      </c>
      <c r="B81" s="35"/>
      <c r="C81" s="35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35"/>
    </row>
    <row r="82" spans="1:17" ht="9.75" customHeight="1">
      <c r="A82" s="30">
        <v>5</v>
      </c>
      <c r="B82" s="35"/>
      <c r="C82" s="35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35"/>
    </row>
    <row r="83" spans="1:17" ht="9.75" customHeight="1">
      <c r="A83" s="30">
        <v>6</v>
      </c>
      <c r="B83" s="35"/>
      <c r="C83" s="35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35"/>
    </row>
    <row r="84" spans="1:17" ht="9.75" customHeight="1">
      <c r="A84" s="30">
        <v>7</v>
      </c>
      <c r="B84" s="35"/>
      <c r="C84" s="35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35"/>
    </row>
    <row r="85" spans="1:17" ht="9.75" customHeight="1">
      <c r="A85" s="30">
        <v>8</v>
      </c>
      <c r="B85" s="35"/>
      <c r="C85" s="35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35"/>
    </row>
    <row r="86" spans="1:17" ht="9.75" customHeight="1">
      <c r="A86" s="30">
        <v>9</v>
      </c>
      <c r="B86" s="35"/>
      <c r="C86" s="35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35"/>
    </row>
    <row r="87" spans="1:17" ht="9.75" customHeight="1">
      <c r="A87" s="30">
        <v>10</v>
      </c>
      <c r="B87" s="35"/>
      <c r="C87" s="35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35"/>
    </row>
    <row r="88" spans="1:17" ht="9.75" customHeight="1">
      <c r="A88" s="30">
        <v>11</v>
      </c>
      <c r="B88" s="35"/>
      <c r="C88" s="35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35"/>
    </row>
    <row r="89" spans="1:17" ht="9.75" customHeight="1">
      <c r="A89" s="30">
        <v>12</v>
      </c>
      <c r="B89" s="35"/>
      <c r="C89" s="35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35"/>
    </row>
    <row r="90" spans="1:17" ht="9.75" customHeight="1">
      <c r="A90" s="30">
        <v>13</v>
      </c>
      <c r="B90" s="35"/>
      <c r="C90" s="35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35"/>
    </row>
    <row r="91" spans="1:17" ht="9.75" customHeight="1">
      <c r="A91" s="30">
        <v>14</v>
      </c>
      <c r="B91" s="35"/>
      <c r="C91" s="35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35"/>
    </row>
    <row r="92" spans="1:17" ht="9.75" customHeight="1">
      <c r="A92" s="30">
        <v>15</v>
      </c>
      <c r="B92" s="35"/>
      <c r="C92" s="35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>
      <c r="A93" s="30">
        <v>16</v>
      </c>
      <c r="B93" s="35"/>
      <c r="C93" s="35"/>
      <c r="O93" s="30">
        <f t="shared" si="10"/>
        <v>0</v>
      </c>
      <c r="P93" s="30" t="str">
        <f t="shared" si="11"/>
        <v>0000</v>
      </c>
    </row>
    <row r="94" spans="1:17" ht="9.75" customHeight="1">
      <c r="A94" s="30">
        <v>17</v>
      </c>
      <c r="B94" s="35"/>
      <c r="C94" s="35"/>
      <c r="O94" s="30">
        <f t="shared" si="10"/>
        <v>0</v>
      </c>
      <c r="P94" s="30" t="str">
        <f t="shared" si="11"/>
        <v>0000</v>
      </c>
    </row>
    <row r="95" spans="1:17" ht="9.75" customHeight="1">
      <c r="A95" s="30">
        <v>18</v>
      </c>
      <c r="B95" s="35"/>
      <c r="C95" s="35"/>
      <c r="O95" s="30">
        <f t="shared" si="10"/>
        <v>0</v>
      </c>
      <c r="P95" s="30" t="str">
        <f t="shared" si="11"/>
        <v>0000</v>
      </c>
    </row>
    <row r="97" spans="1:17" ht="9.75" customHeight="1">
      <c r="A97" s="30">
        <v>1</v>
      </c>
      <c r="B97" s="33"/>
      <c r="C97" s="34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35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>
      <c r="A98" s="30">
        <v>2</v>
      </c>
      <c r="B98" s="35"/>
      <c r="C98" s="35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35"/>
    </row>
    <row r="99" spans="1:17" ht="9.75" customHeight="1">
      <c r="A99" s="30">
        <v>3</v>
      </c>
      <c r="B99" s="35"/>
      <c r="C99" s="35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35"/>
    </row>
    <row r="100" spans="1:17" ht="9.75" customHeight="1">
      <c r="A100" s="30">
        <v>4</v>
      </c>
      <c r="B100" s="35"/>
      <c r="C100" s="35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35"/>
    </row>
    <row r="101" spans="1:17" ht="9.75" customHeight="1">
      <c r="A101" s="30">
        <v>5</v>
      </c>
      <c r="B101" s="35"/>
      <c r="C101" s="35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35"/>
    </row>
    <row r="102" spans="1:17" ht="9.75" customHeight="1">
      <c r="A102" s="30">
        <v>6</v>
      </c>
      <c r="B102" s="35"/>
      <c r="C102" s="35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35"/>
    </row>
    <row r="103" spans="1:17" ht="9.75" customHeight="1">
      <c r="A103" s="30">
        <v>7</v>
      </c>
      <c r="B103" s="35"/>
      <c r="C103" s="35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35"/>
    </row>
    <row r="104" spans="1:17" ht="9.75" customHeight="1">
      <c r="A104" s="30">
        <v>8</v>
      </c>
      <c r="B104" s="35"/>
      <c r="C104" s="35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35"/>
    </row>
    <row r="105" spans="1:17" ht="9.75" customHeight="1">
      <c r="A105" s="30">
        <v>9</v>
      </c>
      <c r="B105" s="35"/>
      <c r="C105" s="35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35"/>
    </row>
    <row r="106" spans="1:17" ht="9.75" customHeight="1">
      <c r="A106" s="30">
        <v>10</v>
      </c>
      <c r="B106" s="35"/>
      <c r="C106" s="35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35"/>
    </row>
    <row r="107" spans="1:17" ht="9.75" customHeight="1">
      <c r="A107" s="30">
        <v>11</v>
      </c>
      <c r="B107" s="35"/>
      <c r="C107" s="35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35"/>
    </row>
    <row r="108" spans="1:17" ht="9.75" customHeight="1">
      <c r="A108" s="30">
        <v>12</v>
      </c>
      <c r="B108" s="35"/>
      <c r="C108" s="35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35"/>
    </row>
    <row r="109" spans="1:17" ht="9.75" customHeight="1">
      <c r="A109" s="30">
        <v>13</v>
      </c>
      <c r="B109" s="35"/>
      <c r="C109" s="35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35"/>
    </row>
    <row r="110" spans="1:17" ht="9.75" customHeight="1">
      <c r="A110" s="30">
        <v>14</v>
      </c>
      <c r="B110" s="35"/>
      <c r="C110" s="35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35"/>
    </row>
    <row r="111" spans="1:17" ht="9.75" customHeight="1">
      <c r="A111" s="30">
        <v>15</v>
      </c>
      <c r="B111" s="35"/>
      <c r="C111" s="35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>
      <c r="A112" s="30">
        <v>16</v>
      </c>
      <c r="B112" s="35"/>
      <c r="C112" s="35"/>
      <c r="O112" s="30">
        <f t="shared" si="12"/>
        <v>0</v>
      </c>
      <c r="P112" s="30" t="str">
        <f t="shared" si="13"/>
        <v>0000</v>
      </c>
    </row>
    <row r="113" spans="1:17" ht="9.75" customHeight="1">
      <c r="A113" s="30">
        <v>17</v>
      </c>
      <c r="B113" s="35"/>
      <c r="C113" s="35"/>
      <c r="O113" s="30">
        <f t="shared" si="12"/>
        <v>0</v>
      </c>
      <c r="P113" s="30" t="str">
        <f t="shared" si="13"/>
        <v>0000</v>
      </c>
    </row>
    <row r="114" spans="1:17" ht="9.75" customHeight="1">
      <c r="A114" s="30">
        <v>18</v>
      </c>
      <c r="B114" s="35"/>
      <c r="C114" s="35"/>
      <c r="O114" s="30">
        <f t="shared" si="12"/>
        <v>0</v>
      </c>
      <c r="P114" s="30" t="str">
        <f t="shared" si="13"/>
        <v>0000</v>
      </c>
    </row>
    <row r="116" spans="1:17" ht="9.75" customHeight="1">
      <c r="A116" s="30">
        <v>1</v>
      </c>
      <c r="B116" s="33"/>
      <c r="C116" s="34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35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>
      <c r="A117" s="30">
        <v>2</v>
      </c>
      <c r="B117" s="35"/>
      <c r="C117" s="35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35"/>
    </row>
    <row r="118" spans="1:17" ht="9.75" customHeight="1">
      <c r="A118" s="30">
        <v>3</v>
      </c>
      <c r="B118" s="35"/>
      <c r="C118" s="35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35"/>
    </row>
    <row r="119" spans="1:17" ht="9.75" customHeight="1">
      <c r="A119" s="30">
        <v>4</v>
      </c>
      <c r="B119" s="35"/>
      <c r="C119" s="35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35"/>
    </row>
    <row r="120" spans="1:17" ht="9.75" customHeight="1">
      <c r="A120" s="30">
        <v>5</v>
      </c>
      <c r="B120" s="35"/>
      <c r="C120" s="35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35"/>
    </row>
    <row r="121" spans="1:17" ht="9.75" customHeight="1">
      <c r="A121" s="30">
        <v>6</v>
      </c>
      <c r="B121" s="35"/>
      <c r="C121" s="35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35"/>
    </row>
    <row r="122" spans="1:17" ht="9.75" customHeight="1">
      <c r="A122" s="30">
        <v>7</v>
      </c>
      <c r="B122" s="35"/>
      <c r="C122" s="35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35"/>
    </row>
    <row r="123" spans="1:17" ht="9.75" customHeight="1">
      <c r="A123" s="30">
        <v>8</v>
      </c>
      <c r="B123" s="35"/>
      <c r="C123" s="35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35"/>
    </row>
    <row r="124" spans="1:17" ht="9.75" customHeight="1">
      <c r="A124" s="30">
        <v>9</v>
      </c>
      <c r="B124" s="35"/>
      <c r="C124" s="35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35"/>
    </row>
    <row r="125" spans="1:17" ht="9.75" customHeight="1">
      <c r="A125" s="30">
        <v>10</v>
      </c>
      <c r="B125" s="35"/>
      <c r="C125" s="35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35"/>
    </row>
    <row r="126" spans="1:17" ht="9.75" customHeight="1">
      <c r="A126" s="30">
        <v>11</v>
      </c>
      <c r="B126" s="35"/>
      <c r="C126" s="35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35"/>
    </row>
    <row r="127" spans="1:17" ht="9.75" customHeight="1">
      <c r="A127" s="30">
        <v>12</v>
      </c>
      <c r="B127" s="35"/>
      <c r="C127" s="35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35"/>
    </row>
    <row r="128" spans="1:17" ht="9.75" customHeight="1">
      <c r="A128" s="30">
        <v>13</v>
      </c>
      <c r="B128" s="35"/>
      <c r="C128" s="35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35"/>
    </row>
    <row r="129" spans="1:17" ht="9.75" customHeight="1">
      <c r="A129" s="30">
        <v>14</v>
      </c>
      <c r="B129" s="35"/>
      <c r="C129" s="35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35"/>
    </row>
    <row r="130" spans="1:17" ht="9.75" customHeight="1">
      <c r="A130" s="30">
        <v>15</v>
      </c>
      <c r="B130" s="35"/>
      <c r="C130" s="35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>
      <c r="A131" s="30">
        <v>16</v>
      </c>
      <c r="B131" s="35"/>
      <c r="C131" s="35"/>
      <c r="O131" s="30">
        <f t="shared" si="14"/>
        <v>0</v>
      </c>
      <c r="P131" s="30" t="str">
        <f t="shared" si="15"/>
        <v>0000</v>
      </c>
    </row>
    <row r="132" spans="1:17" ht="9.75" customHeight="1">
      <c r="A132" s="30">
        <v>17</v>
      </c>
      <c r="B132" s="35"/>
      <c r="C132" s="35"/>
      <c r="O132" s="30">
        <f t="shared" si="14"/>
        <v>0</v>
      </c>
      <c r="P132" s="30" t="str">
        <f t="shared" si="15"/>
        <v>0000</v>
      </c>
    </row>
    <row r="133" spans="1:17" ht="9.75" customHeight="1">
      <c r="A133" s="30">
        <v>18</v>
      </c>
      <c r="B133" s="35"/>
      <c r="C133" s="35"/>
      <c r="O133" s="30">
        <f t="shared" si="14"/>
        <v>0</v>
      </c>
      <c r="P133" s="30" t="str">
        <f t="shared" si="15"/>
        <v>0000</v>
      </c>
    </row>
    <row r="135" spans="1:17" ht="9.75" customHeight="1">
      <c r="A135" s="30">
        <v>1</v>
      </c>
      <c r="B135" s="33"/>
      <c r="C135" s="34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35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>
      <c r="A136" s="30">
        <v>2</v>
      </c>
      <c r="B136" s="35"/>
      <c r="C136" s="35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35"/>
    </row>
    <row r="137" spans="1:17" ht="9.75" customHeight="1">
      <c r="A137" s="30">
        <v>3</v>
      </c>
      <c r="B137" s="35"/>
      <c r="C137" s="35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35"/>
    </row>
    <row r="138" spans="1:17" ht="9.75" customHeight="1">
      <c r="A138" s="30">
        <v>4</v>
      </c>
      <c r="B138" s="35"/>
      <c r="C138" s="35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35"/>
    </row>
    <row r="139" spans="1:17" ht="9.75" customHeight="1">
      <c r="A139" s="30">
        <v>5</v>
      </c>
      <c r="B139" s="35"/>
      <c r="C139" s="35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35"/>
    </row>
    <row r="140" spans="1:17" ht="9.75" customHeight="1">
      <c r="A140" s="30">
        <v>6</v>
      </c>
      <c r="B140" s="35"/>
      <c r="C140" s="35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35"/>
    </row>
    <row r="141" spans="1:17" ht="9.75" customHeight="1">
      <c r="A141" s="30">
        <v>7</v>
      </c>
      <c r="B141" s="35"/>
      <c r="C141" s="35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35"/>
    </row>
    <row r="142" spans="1:17" ht="9.75" customHeight="1">
      <c r="A142" s="30">
        <v>8</v>
      </c>
      <c r="B142" s="35"/>
      <c r="C142" s="35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35"/>
    </row>
    <row r="143" spans="1:17" ht="9.75" customHeight="1">
      <c r="A143" s="30">
        <v>9</v>
      </c>
      <c r="B143" s="35"/>
      <c r="C143" s="35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35"/>
    </row>
    <row r="144" spans="1:17" ht="9.75" customHeight="1">
      <c r="A144" s="30">
        <v>10</v>
      </c>
      <c r="B144" s="35"/>
      <c r="C144" s="35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35"/>
    </row>
    <row r="145" spans="1:17" ht="9.75" customHeight="1">
      <c r="A145" s="30">
        <v>11</v>
      </c>
      <c r="B145" s="35"/>
      <c r="C145" s="35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35"/>
    </row>
    <row r="146" spans="1:17" ht="9.75" customHeight="1">
      <c r="A146" s="30">
        <v>12</v>
      </c>
      <c r="B146" s="35"/>
      <c r="C146" s="35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35"/>
    </row>
    <row r="147" spans="1:17" ht="9.75" customHeight="1">
      <c r="A147" s="30">
        <v>13</v>
      </c>
      <c r="B147" s="35"/>
      <c r="C147" s="35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35"/>
    </row>
    <row r="148" spans="1:17" ht="9.75" customHeight="1">
      <c r="A148" s="30">
        <v>14</v>
      </c>
      <c r="B148" s="35"/>
      <c r="C148" s="35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35"/>
    </row>
    <row r="149" spans="1:17" ht="9.75" customHeight="1">
      <c r="A149" s="30">
        <v>15</v>
      </c>
      <c r="B149" s="35"/>
      <c r="C149" s="35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>
      <c r="A150" s="30">
        <v>16</v>
      </c>
      <c r="B150" s="35"/>
      <c r="C150" s="35"/>
      <c r="O150" s="30">
        <f t="shared" si="16"/>
        <v>0</v>
      </c>
      <c r="P150" s="30" t="str">
        <f t="shared" si="17"/>
        <v>0000</v>
      </c>
    </row>
    <row r="151" spans="1:17" ht="9.75" customHeight="1">
      <c r="A151" s="30">
        <v>17</v>
      </c>
      <c r="B151" s="35"/>
      <c r="C151" s="35"/>
      <c r="O151" s="30">
        <f t="shared" si="16"/>
        <v>0</v>
      </c>
      <c r="P151" s="30" t="str">
        <f t="shared" si="17"/>
        <v>0000</v>
      </c>
    </row>
    <row r="152" spans="1:17" ht="9.75" customHeight="1">
      <c r="A152" s="30">
        <v>18</v>
      </c>
      <c r="B152" s="35"/>
      <c r="C152" s="35"/>
      <c r="O152" s="30">
        <f t="shared" si="16"/>
        <v>0</v>
      </c>
      <c r="P152" s="30" t="str">
        <f t="shared" si="17"/>
        <v>0000</v>
      </c>
    </row>
  </sheetData>
  <mergeCells count="32"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</mergeCells>
  <conditionalFormatting sqref="D17:H17">
    <cfRule type="expression" dxfId="229" priority="206">
      <formula>D17=1</formula>
    </cfRule>
  </conditionalFormatting>
  <conditionalFormatting sqref="D9:H16">
    <cfRule type="expression" dxfId="228" priority="199">
      <formula>D9=1</formula>
    </cfRule>
  </conditionalFormatting>
  <conditionalFormatting sqref="I17:J17 N17">
    <cfRule type="expression" dxfId="227" priority="118">
      <formula>I17=1</formula>
    </cfRule>
  </conditionalFormatting>
  <conditionalFormatting sqref="I9:J16 N9:N16">
    <cfRule type="expression" dxfId="226" priority="117">
      <formula>I9=1</formula>
    </cfRule>
  </conditionalFormatting>
  <conditionalFormatting sqref="D2:H8">
    <cfRule type="expression" dxfId="225" priority="116">
      <formula>D2=1</formula>
    </cfRule>
  </conditionalFormatting>
  <conditionalFormatting sqref="I2:J8 N2:N8">
    <cfRule type="expression" dxfId="224" priority="115">
      <formula>I2=1</formula>
    </cfRule>
  </conditionalFormatting>
  <conditionalFormatting sqref="M17">
    <cfRule type="expression" dxfId="223" priority="114">
      <formula>M17=1</formula>
    </cfRule>
  </conditionalFormatting>
  <conditionalFormatting sqref="M9:M16">
    <cfRule type="expression" dxfId="222" priority="113">
      <formula>M9=1</formula>
    </cfRule>
  </conditionalFormatting>
  <conditionalFormatting sqref="M2:M8">
    <cfRule type="expression" dxfId="221" priority="112">
      <formula>M2=1</formula>
    </cfRule>
  </conditionalFormatting>
  <conditionalFormatting sqref="L17">
    <cfRule type="expression" dxfId="220" priority="111">
      <formula>L17=1</formula>
    </cfRule>
  </conditionalFormatting>
  <conditionalFormatting sqref="L9:L16">
    <cfRule type="expression" dxfId="219" priority="110">
      <formula>L9=1</formula>
    </cfRule>
  </conditionalFormatting>
  <conditionalFormatting sqref="L2:L8">
    <cfRule type="expression" dxfId="218" priority="109">
      <formula>L2=1</formula>
    </cfRule>
  </conditionalFormatting>
  <conditionalFormatting sqref="K17">
    <cfRule type="expression" dxfId="217" priority="108">
      <formula>K17=1</formula>
    </cfRule>
  </conditionalFormatting>
  <conditionalFormatting sqref="K9:K16">
    <cfRule type="expression" dxfId="216" priority="107">
      <formula>K9=1</formula>
    </cfRule>
  </conditionalFormatting>
  <conditionalFormatting sqref="K2:K8">
    <cfRule type="expression" dxfId="215" priority="106">
      <formula>K2=1</formula>
    </cfRule>
  </conditionalFormatting>
  <conditionalFormatting sqref="D55:H55">
    <cfRule type="expression" dxfId="214" priority="105">
      <formula>D55=1</formula>
    </cfRule>
  </conditionalFormatting>
  <conditionalFormatting sqref="D47:H54">
    <cfRule type="expression" dxfId="213" priority="104">
      <formula>D47=1</formula>
    </cfRule>
  </conditionalFormatting>
  <conditionalFormatting sqref="I55:J55 N55">
    <cfRule type="expression" dxfId="212" priority="103">
      <formula>I55=1</formula>
    </cfRule>
  </conditionalFormatting>
  <conditionalFormatting sqref="I47:J54 N47:N54">
    <cfRule type="expression" dxfId="211" priority="102">
      <formula>I47=1</formula>
    </cfRule>
  </conditionalFormatting>
  <conditionalFormatting sqref="D40:H46">
    <cfRule type="expression" dxfId="210" priority="101">
      <formula>D40=1</formula>
    </cfRule>
  </conditionalFormatting>
  <conditionalFormatting sqref="I40:J46 N40:N46">
    <cfRule type="expression" dxfId="209" priority="100">
      <formula>I40=1</formula>
    </cfRule>
  </conditionalFormatting>
  <conditionalFormatting sqref="M55">
    <cfRule type="expression" dxfId="208" priority="99">
      <formula>M55=1</formula>
    </cfRule>
  </conditionalFormatting>
  <conditionalFormatting sqref="M47:M54">
    <cfRule type="expression" dxfId="207" priority="98">
      <formula>M47=1</formula>
    </cfRule>
  </conditionalFormatting>
  <conditionalFormatting sqref="M40:M46">
    <cfRule type="expression" dxfId="206" priority="97">
      <formula>M40=1</formula>
    </cfRule>
  </conditionalFormatting>
  <conditionalFormatting sqref="L55">
    <cfRule type="expression" dxfId="205" priority="96">
      <formula>L55=1</formula>
    </cfRule>
  </conditionalFormatting>
  <conditionalFormatting sqref="L47:L54">
    <cfRule type="expression" dxfId="204" priority="95">
      <formula>L47=1</formula>
    </cfRule>
  </conditionalFormatting>
  <conditionalFormatting sqref="L40:L46">
    <cfRule type="expression" dxfId="203" priority="94">
      <formula>L40=1</formula>
    </cfRule>
  </conditionalFormatting>
  <conditionalFormatting sqref="K55">
    <cfRule type="expression" dxfId="202" priority="93">
      <formula>K55=1</formula>
    </cfRule>
  </conditionalFormatting>
  <conditionalFormatting sqref="K47:K54">
    <cfRule type="expression" dxfId="201" priority="92">
      <formula>K47=1</formula>
    </cfRule>
  </conditionalFormatting>
  <conditionalFormatting sqref="K40:K46">
    <cfRule type="expression" dxfId="200" priority="91">
      <formula>K40=1</formula>
    </cfRule>
  </conditionalFormatting>
  <conditionalFormatting sqref="D131:H131">
    <cfRule type="expression" dxfId="199" priority="90">
      <formula>D131=1</formula>
    </cfRule>
  </conditionalFormatting>
  <conditionalFormatting sqref="D123:H130">
    <cfRule type="expression" dxfId="198" priority="89">
      <formula>D123=1</formula>
    </cfRule>
  </conditionalFormatting>
  <conditionalFormatting sqref="I131:J131 N131">
    <cfRule type="expression" dxfId="197" priority="88">
      <formula>I131=1</formula>
    </cfRule>
  </conditionalFormatting>
  <conditionalFormatting sqref="I123:J130 N123:N130">
    <cfRule type="expression" dxfId="196" priority="87">
      <formula>I123=1</formula>
    </cfRule>
  </conditionalFormatting>
  <conditionalFormatting sqref="D116:H122">
    <cfRule type="expression" dxfId="195" priority="86">
      <formula>D116=1</formula>
    </cfRule>
  </conditionalFormatting>
  <conditionalFormatting sqref="I116:J122 N116:N122">
    <cfRule type="expression" dxfId="194" priority="85">
      <formula>I116=1</formula>
    </cfRule>
  </conditionalFormatting>
  <conditionalFormatting sqref="M131">
    <cfRule type="expression" dxfId="193" priority="84">
      <formula>M131=1</formula>
    </cfRule>
  </conditionalFormatting>
  <conditionalFormatting sqref="M123:M130">
    <cfRule type="expression" dxfId="192" priority="83">
      <formula>M123=1</formula>
    </cfRule>
  </conditionalFormatting>
  <conditionalFormatting sqref="M116:M122">
    <cfRule type="expression" dxfId="191" priority="82">
      <formula>M116=1</formula>
    </cfRule>
  </conditionalFormatting>
  <conditionalFormatting sqref="L131">
    <cfRule type="expression" dxfId="190" priority="81">
      <formula>L131=1</formula>
    </cfRule>
  </conditionalFormatting>
  <conditionalFormatting sqref="L123:L130">
    <cfRule type="expression" dxfId="189" priority="80">
      <formula>L123=1</formula>
    </cfRule>
  </conditionalFormatting>
  <conditionalFormatting sqref="L116:L122">
    <cfRule type="expression" dxfId="188" priority="79">
      <formula>L116=1</formula>
    </cfRule>
  </conditionalFormatting>
  <conditionalFormatting sqref="K131">
    <cfRule type="expression" dxfId="187" priority="78">
      <formula>K131=1</formula>
    </cfRule>
  </conditionalFormatting>
  <conditionalFormatting sqref="K123:K130">
    <cfRule type="expression" dxfId="186" priority="77">
      <formula>K123=1</formula>
    </cfRule>
  </conditionalFormatting>
  <conditionalFormatting sqref="K116:K122">
    <cfRule type="expression" dxfId="185" priority="76">
      <formula>K116=1</formula>
    </cfRule>
  </conditionalFormatting>
  <conditionalFormatting sqref="D36:H36">
    <cfRule type="expression" dxfId="184" priority="75">
      <formula>D36=1</formula>
    </cfRule>
  </conditionalFormatting>
  <conditionalFormatting sqref="D28:H35">
    <cfRule type="expression" dxfId="183" priority="74">
      <formula>D28=1</formula>
    </cfRule>
  </conditionalFormatting>
  <conditionalFormatting sqref="I36:J36 N36">
    <cfRule type="expression" dxfId="182" priority="73">
      <formula>I36=1</formula>
    </cfRule>
  </conditionalFormatting>
  <conditionalFormatting sqref="I28:J35 N28:N35">
    <cfRule type="expression" dxfId="181" priority="72">
      <formula>I28=1</formula>
    </cfRule>
  </conditionalFormatting>
  <conditionalFormatting sqref="D21:H27">
    <cfRule type="expression" dxfId="180" priority="71">
      <formula>D21=1</formula>
    </cfRule>
  </conditionalFormatting>
  <conditionalFormatting sqref="I21:J27 N21:N27">
    <cfRule type="expression" dxfId="179" priority="70">
      <formula>I21=1</formula>
    </cfRule>
  </conditionalFormatting>
  <conditionalFormatting sqref="M36">
    <cfRule type="expression" dxfId="178" priority="69">
      <formula>M36=1</formula>
    </cfRule>
  </conditionalFormatting>
  <conditionalFormatting sqref="M28:M35">
    <cfRule type="expression" dxfId="177" priority="68">
      <formula>M28=1</formula>
    </cfRule>
  </conditionalFormatting>
  <conditionalFormatting sqref="M21:M27">
    <cfRule type="expression" dxfId="176" priority="67">
      <formula>M21=1</formula>
    </cfRule>
  </conditionalFormatting>
  <conditionalFormatting sqref="L36">
    <cfRule type="expression" dxfId="175" priority="66">
      <formula>L36=1</formula>
    </cfRule>
  </conditionalFormatting>
  <conditionalFormatting sqref="L28:L35">
    <cfRule type="expression" dxfId="174" priority="65">
      <formula>L28=1</formula>
    </cfRule>
  </conditionalFormatting>
  <conditionalFormatting sqref="L21:L27">
    <cfRule type="expression" dxfId="173" priority="64">
      <formula>L21=1</formula>
    </cfRule>
  </conditionalFormatting>
  <conditionalFormatting sqref="K36">
    <cfRule type="expression" dxfId="172" priority="63">
      <formula>K36=1</formula>
    </cfRule>
  </conditionalFormatting>
  <conditionalFormatting sqref="K28:K35">
    <cfRule type="expression" dxfId="171" priority="62">
      <formula>K28=1</formula>
    </cfRule>
  </conditionalFormatting>
  <conditionalFormatting sqref="K21:K27">
    <cfRule type="expression" dxfId="170" priority="61">
      <formula>K21=1</formula>
    </cfRule>
  </conditionalFormatting>
  <conditionalFormatting sqref="D93:H93">
    <cfRule type="expression" dxfId="169" priority="60">
      <formula>D93=1</formula>
    </cfRule>
  </conditionalFormatting>
  <conditionalFormatting sqref="D85:H92">
    <cfRule type="expression" dxfId="168" priority="59">
      <formula>D85=1</formula>
    </cfRule>
  </conditionalFormatting>
  <conditionalFormatting sqref="I93:J93 N93">
    <cfRule type="expression" dxfId="167" priority="58">
      <formula>I93=1</formula>
    </cfRule>
  </conditionalFormatting>
  <conditionalFormatting sqref="I85:J92 N85:N92">
    <cfRule type="expression" dxfId="166" priority="57">
      <formula>I85=1</formula>
    </cfRule>
  </conditionalFormatting>
  <conditionalFormatting sqref="D78:H84">
    <cfRule type="expression" dxfId="165" priority="56">
      <formula>D78=1</formula>
    </cfRule>
  </conditionalFormatting>
  <conditionalFormatting sqref="I78:J84 N78:N84">
    <cfRule type="expression" dxfId="164" priority="55">
      <formula>I78=1</formula>
    </cfRule>
  </conditionalFormatting>
  <conditionalFormatting sqref="M93">
    <cfRule type="expression" dxfId="163" priority="54">
      <formula>M93=1</formula>
    </cfRule>
  </conditionalFormatting>
  <conditionalFormatting sqref="M85:M92">
    <cfRule type="expression" dxfId="162" priority="53">
      <formula>M85=1</formula>
    </cfRule>
  </conditionalFormatting>
  <conditionalFormatting sqref="M78:M84">
    <cfRule type="expression" dxfId="161" priority="52">
      <formula>M78=1</formula>
    </cfRule>
  </conditionalFormatting>
  <conditionalFormatting sqref="L93">
    <cfRule type="expression" dxfId="160" priority="51">
      <formula>L93=1</formula>
    </cfRule>
  </conditionalFormatting>
  <conditionalFormatting sqref="L85:L92">
    <cfRule type="expression" dxfId="159" priority="50">
      <formula>L85=1</formula>
    </cfRule>
  </conditionalFormatting>
  <conditionalFormatting sqref="L78:L84">
    <cfRule type="expression" dxfId="158" priority="49">
      <formula>L78=1</formula>
    </cfRule>
  </conditionalFormatting>
  <conditionalFormatting sqref="K93">
    <cfRule type="expression" dxfId="157" priority="48">
      <formula>K93=1</formula>
    </cfRule>
  </conditionalFormatting>
  <conditionalFormatting sqref="K85:K92">
    <cfRule type="expression" dxfId="156" priority="47">
      <formula>K85=1</formula>
    </cfRule>
  </conditionalFormatting>
  <conditionalFormatting sqref="K78:K84">
    <cfRule type="expression" dxfId="155" priority="46">
      <formula>K78=1</formula>
    </cfRule>
  </conditionalFormatting>
  <conditionalFormatting sqref="D112:H112">
    <cfRule type="expression" dxfId="154" priority="45">
      <formula>D112=1</formula>
    </cfRule>
  </conditionalFormatting>
  <conditionalFormatting sqref="D104:H111">
    <cfRule type="expression" dxfId="153" priority="44">
      <formula>D104=1</formula>
    </cfRule>
  </conditionalFormatting>
  <conditionalFormatting sqref="I112:J112 N112">
    <cfRule type="expression" dxfId="152" priority="43">
      <formula>I112=1</formula>
    </cfRule>
  </conditionalFormatting>
  <conditionalFormatting sqref="I104:J111 N104:N111">
    <cfRule type="expression" dxfId="151" priority="42">
      <formula>I104=1</formula>
    </cfRule>
  </conditionalFormatting>
  <conditionalFormatting sqref="D97:H103">
    <cfRule type="expression" dxfId="150" priority="41">
      <formula>D97=1</formula>
    </cfRule>
  </conditionalFormatting>
  <conditionalFormatting sqref="I97:J103 N97:N103">
    <cfRule type="expression" dxfId="149" priority="40">
      <formula>I97=1</formula>
    </cfRule>
  </conditionalFormatting>
  <conditionalFormatting sqref="M112">
    <cfRule type="expression" dxfId="148" priority="39">
      <formula>M112=1</formula>
    </cfRule>
  </conditionalFormatting>
  <conditionalFormatting sqref="M104:M111">
    <cfRule type="expression" dxfId="147" priority="38">
      <formula>M104=1</formula>
    </cfRule>
  </conditionalFormatting>
  <conditionalFormatting sqref="M97:M103">
    <cfRule type="expression" dxfId="146" priority="37">
      <formula>M97=1</formula>
    </cfRule>
  </conditionalFormatting>
  <conditionalFormatting sqref="L112">
    <cfRule type="expression" dxfId="145" priority="36">
      <formula>L112=1</formula>
    </cfRule>
  </conditionalFormatting>
  <conditionalFormatting sqref="L104:L111">
    <cfRule type="expression" dxfId="144" priority="35">
      <formula>L104=1</formula>
    </cfRule>
  </conditionalFormatting>
  <conditionalFormatting sqref="L97:L103">
    <cfRule type="expression" dxfId="143" priority="34">
      <formula>L97=1</formula>
    </cfRule>
  </conditionalFormatting>
  <conditionalFormatting sqref="K112">
    <cfRule type="expression" dxfId="142" priority="33">
      <formula>K112=1</formula>
    </cfRule>
  </conditionalFormatting>
  <conditionalFormatting sqref="K104:K111">
    <cfRule type="expression" dxfId="141" priority="32">
      <formula>K104=1</formula>
    </cfRule>
  </conditionalFormatting>
  <conditionalFormatting sqref="K97:K103">
    <cfRule type="expression" dxfId="140" priority="31">
      <formula>K97=1</formula>
    </cfRule>
  </conditionalFormatting>
  <conditionalFormatting sqref="D74:H74">
    <cfRule type="expression" dxfId="139" priority="30">
      <formula>D74=1</formula>
    </cfRule>
  </conditionalFormatting>
  <conditionalFormatting sqref="D66:H73">
    <cfRule type="expression" dxfId="138" priority="29">
      <formula>D66=1</formula>
    </cfRule>
  </conditionalFormatting>
  <conditionalFormatting sqref="I74:J74 N74">
    <cfRule type="expression" dxfId="137" priority="28">
      <formula>I74=1</formula>
    </cfRule>
  </conditionalFormatting>
  <conditionalFormatting sqref="I66:J73 N66:N73">
    <cfRule type="expression" dxfId="136" priority="27">
      <formula>I66=1</formula>
    </cfRule>
  </conditionalFormatting>
  <conditionalFormatting sqref="D59:H65">
    <cfRule type="expression" dxfId="135" priority="26">
      <formula>D59=1</formula>
    </cfRule>
  </conditionalFormatting>
  <conditionalFormatting sqref="I59:J65 N59:N65">
    <cfRule type="expression" dxfId="134" priority="25">
      <formula>I59=1</formula>
    </cfRule>
  </conditionalFormatting>
  <conditionalFormatting sqref="M74">
    <cfRule type="expression" dxfId="133" priority="24">
      <formula>M74=1</formula>
    </cfRule>
  </conditionalFormatting>
  <conditionalFormatting sqref="M66:M73">
    <cfRule type="expression" dxfId="132" priority="23">
      <formula>M66=1</formula>
    </cfRule>
  </conditionalFormatting>
  <conditionalFormatting sqref="M59:M65">
    <cfRule type="expression" dxfId="131" priority="22">
      <formula>M59=1</formula>
    </cfRule>
  </conditionalFormatting>
  <conditionalFormatting sqref="L74">
    <cfRule type="expression" dxfId="130" priority="21">
      <formula>L74=1</formula>
    </cfRule>
  </conditionalFormatting>
  <conditionalFormatting sqref="L66:L73">
    <cfRule type="expression" dxfId="129" priority="20">
      <formula>L66=1</formula>
    </cfRule>
  </conditionalFormatting>
  <conditionalFormatting sqref="L59:L65">
    <cfRule type="expression" dxfId="128" priority="19">
      <formula>L59=1</formula>
    </cfRule>
  </conditionalFormatting>
  <conditionalFormatting sqref="K74">
    <cfRule type="expression" dxfId="127" priority="18">
      <formula>K74=1</formula>
    </cfRule>
  </conditionalFormatting>
  <conditionalFormatting sqref="K66:K73">
    <cfRule type="expression" dxfId="126" priority="17">
      <formula>K66=1</formula>
    </cfRule>
  </conditionalFormatting>
  <conditionalFormatting sqref="K59:K65">
    <cfRule type="expression" dxfId="125" priority="16">
      <formula>K59=1</formula>
    </cfRule>
  </conditionalFormatting>
  <conditionalFormatting sqref="D150:H150">
    <cfRule type="expression" dxfId="124" priority="15">
      <formula>D150=1</formula>
    </cfRule>
  </conditionalFormatting>
  <conditionalFormatting sqref="D142:H149">
    <cfRule type="expression" dxfId="123" priority="14">
      <formula>D142=1</formula>
    </cfRule>
  </conditionalFormatting>
  <conditionalFormatting sqref="I150:J150 N150">
    <cfRule type="expression" dxfId="122" priority="13">
      <formula>I150=1</formula>
    </cfRule>
  </conditionalFormatting>
  <conditionalFormatting sqref="I142:J149 N142:N149">
    <cfRule type="expression" dxfId="121" priority="12">
      <formula>I142=1</formula>
    </cfRule>
  </conditionalFormatting>
  <conditionalFormatting sqref="D135:H141">
    <cfRule type="expression" dxfId="120" priority="11">
      <formula>D135=1</formula>
    </cfRule>
  </conditionalFormatting>
  <conditionalFormatting sqref="I135:J141 N135:N141">
    <cfRule type="expression" dxfId="119" priority="10">
      <formula>I135=1</formula>
    </cfRule>
  </conditionalFormatting>
  <conditionalFormatting sqref="M150">
    <cfRule type="expression" dxfId="118" priority="9">
      <formula>M150=1</formula>
    </cfRule>
  </conditionalFormatting>
  <conditionalFormatting sqref="M142:M149">
    <cfRule type="expression" dxfId="117" priority="8">
      <formula>M142=1</formula>
    </cfRule>
  </conditionalFormatting>
  <conditionalFormatting sqref="M135:M141">
    <cfRule type="expression" dxfId="116" priority="7">
      <formula>M135=1</formula>
    </cfRule>
  </conditionalFormatting>
  <conditionalFormatting sqref="L150">
    <cfRule type="expression" dxfId="115" priority="6">
      <formula>L150=1</formula>
    </cfRule>
  </conditionalFormatting>
  <conditionalFormatting sqref="L142:L149">
    <cfRule type="expression" dxfId="114" priority="5">
      <formula>L142=1</formula>
    </cfRule>
  </conditionalFormatting>
  <conditionalFormatting sqref="L135:L141">
    <cfRule type="expression" dxfId="113" priority="4">
      <formula>L135=1</formula>
    </cfRule>
  </conditionalFormatting>
  <conditionalFormatting sqref="K150">
    <cfRule type="expression" dxfId="112" priority="3">
      <formula>K150=1</formula>
    </cfRule>
  </conditionalFormatting>
  <conditionalFormatting sqref="K142:K149">
    <cfRule type="expression" dxfId="111" priority="2">
      <formula>K142=1</formula>
    </cfRule>
  </conditionalFormatting>
  <conditionalFormatting sqref="K135:K141">
    <cfRule type="expression" dxfId="110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BE12" sqref="BE12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109" priority="36">
      <formula>BE63=""</formula>
    </cfRule>
    <cfRule type="expression" dxfId="108" priority="37">
      <formula>BE63&lt;&gt;""</formula>
    </cfRule>
  </conditionalFormatting>
  <conditionalFormatting sqref="AN59:AV64 AN56:AN61">
    <cfRule type="expression" dxfId="107" priority="34">
      <formula>AN56=""</formula>
    </cfRule>
    <cfRule type="expression" dxfId="106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105" priority="32">
      <formula>AF26=""</formula>
    </cfRule>
    <cfRule type="expression" dxfId="104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103" priority="30">
      <formula>AE26=""</formula>
    </cfRule>
    <cfRule type="expression" dxfId="102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101" priority="28">
      <formula>AE26=""</formula>
    </cfRule>
    <cfRule type="expression" dxfId="100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99" priority="26">
      <formula>AE26=""</formula>
    </cfRule>
    <cfRule type="expression" dxfId="98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97" priority="24">
      <formula>AE26=""</formula>
    </cfRule>
    <cfRule type="expression" dxfId="96" priority="25">
      <formula>AE26&lt;&gt;""</formula>
    </cfRule>
  </conditionalFormatting>
  <conditionalFormatting sqref="CD63:CL66 BW3:CL62">
    <cfRule type="expression" dxfId="95" priority="22">
      <formula>BW3=""</formula>
    </cfRule>
    <cfRule type="expression" dxfId="94" priority="23">
      <formula>BW3&lt;&gt;""</formula>
    </cfRule>
  </conditionalFormatting>
  <conditionalFormatting sqref="BW63:CC68">
    <cfRule type="expression" dxfId="93" priority="20">
      <formula>BW63=""</formula>
    </cfRule>
    <cfRule type="expression" dxfId="92" priority="21">
      <formula>BW63&lt;&gt;""</formula>
    </cfRule>
  </conditionalFormatting>
  <conditionalFormatting sqref="K3:CL66">
    <cfRule type="expression" dxfId="91" priority="19">
      <formula>AND(K3&lt;&gt;1,K3&lt;&gt;"")</formula>
    </cfRule>
    <cfRule type="expression" dxfId="90" priority="38">
      <formula>K3=""</formula>
    </cfRule>
    <cfRule type="expression" dxfId="89" priority="39">
      <formula>K3=1</formula>
    </cfRule>
  </conditionalFormatting>
  <conditionalFormatting sqref="AI35:AI43">
    <cfRule type="expression" dxfId="88" priority="17">
      <formula>AI35=""</formula>
    </cfRule>
    <cfRule type="expression" dxfId="87" priority="18">
      <formula>AI35&lt;&gt;""</formula>
    </cfRule>
  </conditionalFormatting>
  <conditionalFormatting sqref="AI35:AI43">
    <cfRule type="expression" dxfId="86" priority="15">
      <formula>AI35=""</formula>
    </cfRule>
    <cfRule type="expression" dxfId="85" priority="16">
      <formula>AI35&lt;&gt;""</formula>
    </cfRule>
  </conditionalFormatting>
  <conditionalFormatting sqref="AI35:AI43">
    <cfRule type="expression" dxfId="84" priority="13">
      <formula>AI35=""</formula>
    </cfRule>
    <cfRule type="expression" dxfId="83" priority="14">
      <formula>AI35&lt;&gt;""</formula>
    </cfRule>
  </conditionalFormatting>
  <conditionalFormatting sqref="AJ35:AJ43">
    <cfRule type="expression" dxfId="82" priority="11">
      <formula>AJ35=""</formula>
    </cfRule>
    <cfRule type="expression" dxfId="81" priority="12">
      <formula>AJ35&lt;&gt;""</formula>
    </cfRule>
  </conditionalFormatting>
  <conditionalFormatting sqref="AJ35:AJ43">
    <cfRule type="expression" dxfId="80" priority="9">
      <formula>AJ35=""</formula>
    </cfRule>
    <cfRule type="expression" dxfId="79" priority="10">
      <formula>AJ35&lt;&gt;""</formula>
    </cfRule>
  </conditionalFormatting>
  <conditionalFormatting sqref="AJ35:AJ43">
    <cfRule type="expression" dxfId="78" priority="7">
      <formula>AJ35=""</formula>
    </cfRule>
    <cfRule type="expression" dxfId="77" priority="8">
      <formula>AJ35&lt;&gt;""</formula>
    </cfRule>
  </conditionalFormatting>
  <conditionalFormatting sqref="AI35:AI43">
    <cfRule type="expression" dxfId="76" priority="5">
      <formula>AI35=""</formula>
    </cfRule>
    <cfRule type="expression" dxfId="75" priority="6">
      <formula>AI35&lt;&gt;""</formula>
    </cfRule>
  </conditionalFormatting>
  <conditionalFormatting sqref="AI35:AI43">
    <cfRule type="expression" dxfId="74" priority="3">
      <formula>AI35=""</formula>
    </cfRule>
    <cfRule type="expression" dxfId="73" priority="4">
      <formula>AI35&lt;&gt;""</formula>
    </cfRule>
  </conditionalFormatting>
  <conditionalFormatting sqref="AI35:AI43">
    <cfRule type="expression" dxfId="72" priority="1">
      <formula>AI35=""</formula>
    </cfRule>
    <cfRule type="expression" dxfId="71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2"/>
  <sheetViews>
    <sheetView zoomScaleNormal="100" workbookViewId="0">
      <selection activeCell="AO50" sqref="AO50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CM3" t="str">
        <f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L4">
        <v>1</v>
      </c>
      <c r="AE4">
        <v>1</v>
      </c>
      <c r="CM4" t="str">
        <f t="shared" ref="CM4:CM62" si="5">CONCATENATE("0x",DEC2HEX(Z4*Z$1+Y4*Y$1+X4*X$1+W4*W$1+V4*V$1+U4*U$1+T4*T$1+S4*S$1+R4*R$1+Q4*Q$1+P4*P$1+O4*O$1+N4*N$1+M4*M$1+L4*L$1+K4*K$1,4))</f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2" si="6">CONCATENATE("0x",DEC2HEX(AP4*AP$1+AO4*AO$1+AN4*AN$1+AM4*AM$1+AL4*AL$1+AK4*AK$1+AJ4*AJ$1+AI4*AI$1+AH4*AH$1+AG4*AG$1+AF4*AF$1+AE4*AE$1+AD4*AD$1+AC4*AC$1+AB4*AB$1+AA4*AA$1,4))</f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L5">
        <v>1</v>
      </c>
      <c r="AE5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5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>
        <v>1</v>
      </c>
      <c r="L6">
        <v>1</v>
      </c>
      <c r="AE6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6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>
        <v>1</v>
      </c>
      <c r="L7">
        <v>1</v>
      </c>
      <c r="AE7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7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>
        <v>1</v>
      </c>
      <c r="L8">
        <v>1</v>
      </c>
      <c r="AE8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8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>
        <v>1</v>
      </c>
      <c r="L9">
        <v>1</v>
      </c>
      <c r="AE9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9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L10">
        <v>1</v>
      </c>
      <c r="AE10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10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L11">
        <v>1</v>
      </c>
      <c r="AE1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11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13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14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L14">
        <v>1</v>
      </c>
      <c r="AE14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>CONCATENATE("0x",DEC2HEX(AP14*AP$1+AO14*AO$1+AN14*AN$1+AM14*AM$1+AL14*AL$1+AK14*AK$1+AJ14*AJ$1+AI14*AI$1+AH14*AH$1+AG14*AG$1+AF14*AF$1+AE14*AE$1+AD14*AD$1+AC14*AC$1+AB14*AB$1+AA14*AA$1,4))</f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15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L15">
        <v>1</v>
      </c>
      <c r="AA15">
        <v>1</v>
      </c>
      <c r="AB15">
        <v>1</v>
      </c>
      <c r="AE15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16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AA16">
        <v>1</v>
      </c>
      <c r="AB16">
        <v>1</v>
      </c>
      <c r="AE16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17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AA17">
        <v>1</v>
      </c>
      <c r="AB17">
        <v>1</v>
      </c>
      <c r="AE17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18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AA18">
        <v>1</v>
      </c>
      <c r="AB18">
        <v>1</v>
      </c>
      <c r="AE18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19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AA19">
        <v>1</v>
      </c>
      <c r="AB19">
        <v>1</v>
      </c>
      <c r="AE19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21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L20">
        <v>1</v>
      </c>
      <c r="AA20">
        <v>1</v>
      </c>
      <c r="AB20">
        <v>1</v>
      </c>
      <c r="AE20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22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L21">
        <v>1</v>
      </c>
      <c r="AE2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23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24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CM23" t="str">
        <f t="shared" si="5"/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25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L24">
        <v>1</v>
      </c>
      <c r="AE24">
        <v>1</v>
      </c>
      <c r="CM24" t="str">
        <f t="shared" si="5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26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L25">
        <v>1</v>
      </c>
      <c r="W25">
        <v>1</v>
      </c>
      <c r="X25">
        <v>1</v>
      </c>
      <c r="AA25">
        <v>1</v>
      </c>
      <c r="AB25">
        <v>1</v>
      </c>
      <c r="AE25">
        <v>1</v>
      </c>
      <c r="CM25" t="str">
        <f t="shared" si="5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27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W26">
        <v>1</v>
      </c>
      <c r="X26">
        <v>1</v>
      </c>
      <c r="AA26">
        <v>1</v>
      </c>
      <c r="AB26">
        <v>1</v>
      </c>
      <c r="AE26">
        <v>1</v>
      </c>
      <c r="CM26" t="str">
        <f t="shared" si="5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28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W27">
        <v>1</v>
      </c>
      <c r="X27">
        <v>1</v>
      </c>
      <c r="AA27">
        <v>1</v>
      </c>
      <c r="AB27">
        <v>1</v>
      </c>
      <c r="AE27">
        <v>1</v>
      </c>
      <c r="CM27" t="str">
        <f t="shared" si="5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30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W28">
        <v>1</v>
      </c>
      <c r="X28">
        <v>1</v>
      </c>
      <c r="AA28">
        <v>1</v>
      </c>
      <c r="AB28">
        <v>1</v>
      </c>
      <c r="AE28">
        <v>1</v>
      </c>
      <c r="CM28" t="str">
        <f t="shared" si="5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31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W29">
        <v>1</v>
      </c>
      <c r="X29">
        <v>1</v>
      </c>
      <c r="AA29">
        <v>1</v>
      </c>
      <c r="AB29">
        <v>1</v>
      </c>
      <c r="AE29">
        <v>1</v>
      </c>
      <c r="CM29" t="str">
        <f t="shared" si="5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32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L30">
        <v>1</v>
      </c>
      <c r="W30">
        <v>1</v>
      </c>
      <c r="X30">
        <v>1</v>
      </c>
      <c r="AA30">
        <v>1</v>
      </c>
      <c r="AB30">
        <v>1</v>
      </c>
      <c r="AE30">
        <v>1</v>
      </c>
      <c r="CM30" t="str">
        <f t="shared" si="5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33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L31">
        <v>1</v>
      </c>
      <c r="AE31">
        <v>1</v>
      </c>
      <c r="CM31" t="str">
        <f t="shared" si="5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34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CM32" t="str">
        <f t="shared" si="5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35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7"/>
      <c r="L33" s="37">
        <v>1</v>
      </c>
      <c r="M33" s="37">
        <v>1</v>
      </c>
      <c r="N33" s="37">
        <v>1</v>
      </c>
      <c r="O33" s="37">
        <v>1</v>
      </c>
      <c r="P33" s="37">
        <v>1</v>
      </c>
      <c r="Q33" s="37">
        <v>1</v>
      </c>
      <c r="R33" s="37">
        <v>1</v>
      </c>
      <c r="S33" s="37">
        <v>1</v>
      </c>
      <c r="T33" s="37">
        <v>1</v>
      </c>
      <c r="U33" s="37">
        <v>1</v>
      </c>
      <c r="V33" s="37">
        <v>1</v>
      </c>
      <c r="W33" s="37">
        <v>1</v>
      </c>
      <c r="X33" s="37">
        <v>1</v>
      </c>
      <c r="Y33" s="37">
        <v>1</v>
      </c>
      <c r="Z33" s="37">
        <v>1</v>
      </c>
      <c r="AA33" s="37">
        <v>1</v>
      </c>
      <c r="AB33" s="37">
        <v>1</v>
      </c>
      <c r="AC33" s="37">
        <v>1</v>
      </c>
      <c r="AD33" s="37">
        <v>1</v>
      </c>
      <c r="AE33" s="37">
        <v>1</v>
      </c>
      <c r="CM33" t="str">
        <f t="shared" si="5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36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37"/>
      <c r="L34" s="37">
        <v>1</v>
      </c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>
        <v>1</v>
      </c>
      <c r="CM34" t="str">
        <f t="shared" si="5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37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37"/>
      <c r="L35" s="37">
        <v>1</v>
      </c>
      <c r="M35" s="37"/>
      <c r="N35" s="37"/>
      <c r="O35" s="37"/>
      <c r="P35" s="37"/>
      <c r="Q35" s="37"/>
      <c r="R35" s="37"/>
      <c r="S35" s="37">
        <v>1</v>
      </c>
      <c r="T35" s="37">
        <v>1</v>
      </c>
      <c r="U35" s="37"/>
      <c r="V35" s="37"/>
      <c r="W35" s="37">
        <v>1</v>
      </c>
      <c r="X35" s="37">
        <v>1</v>
      </c>
      <c r="Y35" s="37"/>
      <c r="Z35" s="37"/>
      <c r="AA35" s="37">
        <v>1</v>
      </c>
      <c r="AB35" s="37">
        <v>1</v>
      </c>
      <c r="AC35" s="37"/>
      <c r="AD35" s="37"/>
      <c r="AE35" s="37">
        <v>1</v>
      </c>
      <c r="CM35" t="str">
        <f t="shared" si="5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38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37">
        <v>1</v>
      </c>
      <c r="L36" s="37">
        <v>1</v>
      </c>
      <c r="M36" s="37"/>
      <c r="N36" s="37"/>
      <c r="O36" s="37"/>
      <c r="P36" s="37"/>
      <c r="Q36" s="37"/>
      <c r="R36" s="37"/>
      <c r="S36" s="37">
        <v>1</v>
      </c>
      <c r="T36" s="37">
        <v>1</v>
      </c>
      <c r="U36" s="37"/>
      <c r="V36" s="37"/>
      <c r="W36" s="37">
        <v>1</v>
      </c>
      <c r="X36" s="37">
        <v>1</v>
      </c>
      <c r="Y36" s="37"/>
      <c r="Z36" s="37"/>
      <c r="AA36" s="37">
        <v>1</v>
      </c>
      <c r="AB36" s="37">
        <v>1</v>
      </c>
      <c r="AC36" s="37"/>
      <c r="AD36" s="37"/>
      <c r="AE36" s="37">
        <v>1</v>
      </c>
      <c r="CM36" t="str">
        <f t="shared" si="5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39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37">
        <v>1</v>
      </c>
      <c r="L37" s="37">
        <v>1</v>
      </c>
      <c r="M37" s="37"/>
      <c r="N37" s="37"/>
      <c r="O37" s="37"/>
      <c r="P37" s="37"/>
      <c r="Q37" s="37"/>
      <c r="R37" s="37"/>
      <c r="S37" s="37">
        <v>1</v>
      </c>
      <c r="T37" s="37">
        <v>1</v>
      </c>
      <c r="U37" s="37"/>
      <c r="V37" s="37"/>
      <c r="W37" s="37">
        <v>1</v>
      </c>
      <c r="X37" s="37">
        <v>1</v>
      </c>
      <c r="Y37" s="37"/>
      <c r="Z37" s="37"/>
      <c r="AA37" s="37">
        <v>1</v>
      </c>
      <c r="AB37" s="37">
        <v>1</v>
      </c>
      <c r="AC37" s="37"/>
      <c r="AD37" s="37"/>
      <c r="AE37" s="37">
        <v>1</v>
      </c>
      <c r="CM37" t="str">
        <f t="shared" si="5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40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37">
        <v>1</v>
      </c>
      <c r="L38" s="37">
        <v>1</v>
      </c>
      <c r="M38" s="37"/>
      <c r="N38" s="37"/>
      <c r="O38" s="37"/>
      <c r="P38" s="37"/>
      <c r="Q38" s="37"/>
      <c r="R38" s="37"/>
      <c r="S38" s="37">
        <v>1</v>
      </c>
      <c r="T38" s="37">
        <v>1</v>
      </c>
      <c r="U38" s="37"/>
      <c r="V38" s="37"/>
      <c r="W38" s="37">
        <v>1</v>
      </c>
      <c r="X38" s="37">
        <v>1</v>
      </c>
      <c r="Y38" s="37"/>
      <c r="Z38" s="37"/>
      <c r="AA38" s="37">
        <v>1</v>
      </c>
      <c r="AB38" s="37">
        <v>1</v>
      </c>
      <c r="AC38" s="37"/>
      <c r="AD38" s="37"/>
      <c r="AE38" s="37">
        <v>1</v>
      </c>
      <c r="CM38" t="str">
        <f t="shared" si="5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41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37">
        <v>1</v>
      </c>
      <c r="L39" s="37">
        <v>1</v>
      </c>
      <c r="M39" s="37"/>
      <c r="N39" s="37"/>
      <c r="O39" s="37"/>
      <c r="P39" s="37"/>
      <c r="Q39" s="37"/>
      <c r="R39" s="37"/>
      <c r="S39" s="37">
        <v>1</v>
      </c>
      <c r="T39" s="37">
        <v>1</v>
      </c>
      <c r="U39" s="37"/>
      <c r="V39" s="37"/>
      <c r="W39" s="37">
        <v>1</v>
      </c>
      <c r="X39" s="37">
        <v>1</v>
      </c>
      <c r="Y39" s="37"/>
      <c r="Z39" s="37"/>
      <c r="AA39" s="37">
        <v>1</v>
      </c>
      <c r="AB39" s="37">
        <v>1</v>
      </c>
      <c r="AC39" s="37"/>
      <c r="AD39" s="37"/>
      <c r="AE39" s="37">
        <v>1</v>
      </c>
      <c r="CM39" t="str">
        <f t="shared" si="5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42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37"/>
      <c r="L40" s="37">
        <v>1</v>
      </c>
      <c r="M40" s="37"/>
      <c r="N40" s="37"/>
      <c r="O40" s="37"/>
      <c r="P40" s="37"/>
      <c r="Q40" s="37"/>
      <c r="R40" s="37"/>
      <c r="S40" s="37">
        <v>1</v>
      </c>
      <c r="T40" s="37">
        <v>1</v>
      </c>
      <c r="U40" s="37"/>
      <c r="V40" s="37"/>
      <c r="W40" s="37">
        <v>1</v>
      </c>
      <c r="X40" s="37">
        <v>1</v>
      </c>
      <c r="Y40" s="37"/>
      <c r="Z40" s="37"/>
      <c r="AA40" s="37">
        <v>1</v>
      </c>
      <c r="AB40" s="37">
        <v>1</v>
      </c>
      <c r="AC40" s="37"/>
      <c r="AD40" s="37"/>
      <c r="AE40" s="37">
        <v>1</v>
      </c>
      <c r="CM40" t="str">
        <f t="shared" si="5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43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37"/>
      <c r="L41" s="37">
        <v>1</v>
      </c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>
        <v>1</v>
      </c>
      <c r="CM41" t="str">
        <f t="shared" si="5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44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37"/>
      <c r="L42" s="37">
        <v>1</v>
      </c>
      <c r="M42" s="37">
        <v>1</v>
      </c>
      <c r="N42" s="37">
        <v>1</v>
      </c>
      <c r="O42" s="37">
        <v>1</v>
      </c>
      <c r="P42" s="37">
        <v>1</v>
      </c>
      <c r="Q42" s="37">
        <v>1</v>
      </c>
      <c r="R42" s="37">
        <v>1</v>
      </c>
      <c r="S42" s="37">
        <v>1</v>
      </c>
      <c r="T42" s="37">
        <v>1</v>
      </c>
      <c r="U42" s="37">
        <v>1</v>
      </c>
      <c r="V42" s="37">
        <v>1</v>
      </c>
      <c r="W42" s="37">
        <v>1</v>
      </c>
      <c r="X42" s="37">
        <v>1</v>
      </c>
      <c r="Y42" s="37">
        <v>1</v>
      </c>
      <c r="Z42" s="37">
        <v>1</v>
      </c>
      <c r="AA42" s="37">
        <v>1</v>
      </c>
      <c r="AB42" s="37">
        <v>1</v>
      </c>
      <c r="AC42" s="37">
        <v>1</v>
      </c>
      <c r="AD42" s="37">
        <v>1</v>
      </c>
      <c r="AE42" s="37">
        <v>1</v>
      </c>
      <c r="CM42" t="str">
        <f t="shared" si="5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45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CM43" t="str">
        <f t="shared" si="5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46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L44">
        <v>1</v>
      </c>
      <c r="AE44">
        <v>1</v>
      </c>
      <c r="CM44" t="str">
        <f t="shared" si="5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47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L45">
        <v>1</v>
      </c>
      <c r="O45">
        <v>1</v>
      </c>
      <c r="P45">
        <v>1</v>
      </c>
      <c r="S45">
        <v>1</v>
      </c>
      <c r="T45">
        <v>1</v>
      </c>
      <c r="W45">
        <v>1</v>
      </c>
      <c r="X45">
        <v>1</v>
      </c>
      <c r="AA45">
        <v>1</v>
      </c>
      <c r="AB45">
        <v>1</v>
      </c>
      <c r="AE45">
        <v>1</v>
      </c>
      <c r="CM45" t="str">
        <f t="shared" si="5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48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O46">
        <v>1</v>
      </c>
      <c r="P46">
        <v>1</v>
      </c>
      <c r="S46">
        <v>1</v>
      </c>
      <c r="T46">
        <v>1</v>
      </c>
      <c r="W46">
        <v>1</v>
      </c>
      <c r="X46">
        <v>1</v>
      </c>
      <c r="AA46">
        <v>1</v>
      </c>
      <c r="AB46">
        <v>1</v>
      </c>
      <c r="AE46">
        <v>1</v>
      </c>
      <c r="CM46" t="str">
        <f t="shared" si="5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49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O47">
        <v>1</v>
      </c>
      <c r="P47">
        <v>1</v>
      </c>
      <c r="S47">
        <v>1</v>
      </c>
      <c r="T47">
        <v>1</v>
      </c>
      <c r="W47">
        <v>1</v>
      </c>
      <c r="X47">
        <v>1</v>
      </c>
      <c r="AA47">
        <v>1</v>
      </c>
      <c r="AB47">
        <v>1</v>
      </c>
      <c r="AE47">
        <v>1</v>
      </c>
      <c r="CM47" t="str">
        <f t="shared" si="5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50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O48">
        <v>1</v>
      </c>
      <c r="P48">
        <v>1</v>
      </c>
      <c r="S48">
        <v>1</v>
      </c>
      <c r="T48">
        <v>1</v>
      </c>
      <c r="W48">
        <v>1</v>
      </c>
      <c r="X48">
        <v>1</v>
      </c>
      <c r="AA48">
        <v>1</v>
      </c>
      <c r="AB48">
        <v>1</v>
      </c>
      <c r="AE48">
        <v>1</v>
      </c>
      <c r="CM48" t="str">
        <f t="shared" si="5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51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O49">
        <v>1</v>
      </c>
      <c r="P49">
        <v>1</v>
      </c>
      <c r="S49">
        <v>1</v>
      </c>
      <c r="T49">
        <v>1</v>
      </c>
      <c r="W49">
        <v>1</v>
      </c>
      <c r="X49">
        <v>1</v>
      </c>
      <c r="AA49">
        <v>1</v>
      </c>
      <c r="AB49">
        <v>1</v>
      </c>
      <c r="AE49">
        <v>1</v>
      </c>
      <c r="CM49" t="str">
        <f t="shared" si="5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52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L50">
        <v>1</v>
      </c>
      <c r="O50">
        <v>1</v>
      </c>
      <c r="P50">
        <v>1</v>
      </c>
      <c r="S50">
        <v>1</v>
      </c>
      <c r="T50">
        <v>1</v>
      </c>
      <c r="W50">
        <v>1</v>
      </c>
      <c r="X50">
        <v>1</v>
      </c>
      <c r="AA50">
        <v>1</v>
      </c>
      <c r="AB50">
        <v>1</v>
      </c>
      <c r="AE50">
        <v>1</v>
      </c>
      <c r="CM50" t="str">
        <f t="shared" si="5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53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L51">
        <v>1</v>
      </c>
      <c r="AE51">
        <v>1</v>
      </c>
      <c r="CM51" t="str">
        <f t="shared" si="5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54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CM52" t="str">
        <f t="shared" si="5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55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CM53" t="str">
        <f t="shared" si="5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56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L54">
        <v>1</v>
      </c>
      <c r="AE54">
        <v>1</v>
      </c>
      <c r="CM54" t="str">
        <f t="shared" si="5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57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L55">
        <v>1</v>
      </c>
      <c r="Q55">
        <v>1</v>
      </c>
      <c r="R55">
        <v>1</v>
      </c>
      <c r="Y55">
        <v>1</v>
      </c>
      <c r="Z55">
        <v>1</v>
      </c>
      <c r="AE55">
        <v>1</v>
      </c>
      <c r="CM55" t="str">
        <f t="shared" si="5"/>
        <v>0x4303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58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S56">
        <v>1</v>
      </c>
      <c r="T56">
        <v>1</v>
      </c>
      <c r="W56">
        <v>1</v>
      </c>
      <c r="X56">
        <v>1</v>
      </c>
      <c r="AE56">
        <v>1</v>
      </c>
      <c r="CM56" t="str">
        <f t="shared" si="5"/>
        <v>0xC0CC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59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U57">
        <v>1</v>
      </c>
      <c r="V57">
        <v>1</v>
      </c>
      <c r="AE57">
        <v>1</v>
      </c>
      <c r="CM57" t="str">
        <f t="shared" si="5"/>
        <v>0xC030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60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U58">
        <v>1</v>
      </c>
      <c r="V58">
        <v>1</v>
      </c>
      <c r="AE58">
        <v>1</v>
      </c>
      <c r="CM58" t="str">
        <f t="shared" si="5"/>
        <v>0xC030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61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>
        <v>1</v>
      </c>
      <c r="L59">
        <v>1</v>
      </c>
      <c r="S59">
        <v>1</v>
      </c>
      <c r="T59">
        <v>1</v>
      </c>
      <c r="W59">
        <v>1</v>
      </c>
      <c r="X59">
        <v>1</v>
      </c>
      <c r="AE59">
        <v>1</v>
      </c>
      <c r="CM59" t="str">
        <f t="shared" si="5"/>
        <v>0xC0CC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62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L60">
        <v>1</v>
      </c>
      <c r="Q60">
        <v>1</v>
      </c>
      <c r="R60">
        <v>1</v>
      </c>
      <c r="Y60">
        <v>1</v>
      </c>
      <c r="Z60">
        <v>1</v>
      </c>
      <c r="AE60">
        <v>1</v>
      </c>
      <c r="CM60" t="str">
        <f t="shared" si="5"/>
        <v>0x4303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63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L61">
        <v>1</v>
      </c>
      <c r="AE61">
        <v>1</v>
      </c>
      <c r="CM61" t="str">
        <f t="shared" si="5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64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CM62" t="str">
        <f t="shared" si="5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</sheetData>
  <conditionalFormatting sqref="BN59:BV62 BE55:BV58 BC55:BD62 K61:BB62 AW55:BB60 K43:AM60 AW37:BV54 K3:BV25 K26:AP30 AV26:BV36 K20:W30 X31:AP32 AF33:AP42">
    <cfRule type="expression" dxfId="70" priority="5">
      <formula>AND(K3&lt;&gt;1,K3&lt;&gt;"")</formula>
    </cfRule>
    <cfRule type="expression" dxfId="69" priority="24">
      <formula>K3=""</formula>
    </cfRule>
    <cfRule type="expression" dxfId="68" priority="25">
      <formula>K3=1</formula>
    </cfRule>
  </conditionalFormatting>
  <conditionalFormatting sqref="BE59:BM64 BW3:CL58 AQ26:AU30">
    <cfRule type="expression" dxfId="67" priority="22">
      <formula>AQ3=""</formula>
    </cfRule>
    <cfRule type="expression" dxfId="66" priority="23">
      <formula>AQ3&lt;&gt;""</formula>
    </cfRule>
  </conditionalFormatting>
  <conditionalFormatting sqref="AN55:AV60 AN52:AN54">
    <cfRule type="expression" dxfId="65" priority="20">
      <formula>AN52=""</formula>
    </cfRule>
    <cfRule type="expression" dxfId="64" priority="21">
      <formula>AN52&lt;&gt;""</formula>
    </cfRule>
  </conditionalFormatting>
  <conditionalFormatting sqref="AN49:AV54 AQ55:AT57 AN46:AN48">
    <cfRule type="expression" dxfId="63" priority="18">
      <formula>AN46=""</formula>
    </cfRule>
    <cfRule type="expression" dxfId="62" priority="19">
      <formula>AN46&lt;&gt;""</formula>
    </cfRule>
  </conditionalFormatting>
  <conditionalFormatting sqref="AQ43:AT51 AN43:AP48 AU43:AV48">
    <cfRule type="expression" dxfId="61" priority="16">
      <formula>AN43=""</formula>
    </cfRule>
    <cfRule type="expression" dxfId="60" priority="17">
      <formula>AN43&lt;&gt;""</formula>
    </cfRule>
  </conditionalFormatting>
  <conditionalFormatting sqref="AQ37:AV42 AQ43:AT45">
    <cfRule type="expression" dxfId="59" priority="14">
      <formula>AQ37=""</formula>
    </cfRule>
    <cfRule type="expression" dxfId="58" priority="15">
      <formula>AQ37&lt;&gt;""</formula>
    </cfRule>
  </conditionalFormatting>
  <conditionalFormatting sqref="AQ31:AU36 AQ37:AT39">
    <cfRule type="expression" dxfId="57" priority="12">
      <formula>AQ31=""</formula>
    </cfRule>
    <cfRule type="expression" dxfId="56" priority="13">
      <formula>AQ31&lt;&gt;""</formula>
    </cfRule>
  </conditionalFormatting>
  <conditionalFormatting sqref="AQ31:AT33">
    <cfRule type="expression" dxfId="55" priority="10">
      <formula>AQ31=""</formula>
    </cfRule>
    <cfRule type="expression" dxfId="54" priority="11">
      <formula>AQ31&lt;&gt;""</formula>
    </cfRule>
  </conditionalFormatting>
  <conditionalFormatting sqref="CD59:CL62">
    <cfRule type="expression" dxfId="53" priority="8">
      <formula>CD59=""</formula>
    </cfRule>
    <cfRule type="expression" dxfId="52" priority="9">
      <formula>CD59&lt;&gt;""</formula>
    </cfRule>
  </conditionalFormatting>
  <conditionalFormatting sqref="BW59:CC64">
    <cfRule type="expression" dxfId="51" priority="6">
      <formula>BW59=""</formula>
    </cfRule>
    <cfRule type="expression" dxfId="50" priority="7">
      <formula>BW59&lt;&gt;""</formula>
    </cfRule>
  </conditionalFormatting>
  <conditionalFormatting sqref="K31:W32">
    <cfRule type="expression" dxfId="49" priority="2">
      <formula>AND(K31&lt;&gt;1,K31&lt;&gt;"")</formula>
    </cfRule>
    <cfRule type="expression" dxfId="48" priority="3">
      <formula>K31=""</formula>
    </cfRule>
    <cfRule type="expression" dxfId="47" priority="4">
      <formula>K31=1</formula>
    </cfRule>
  </conditionalFormatting>
  <conditionalFormatting sqref="K33:AE42">
    <cfRule type="cellIs" dxfId="46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>
      <c r="A97" s="8"/>
    </row>
    <row r="98" spans="1:1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9.25">
      <c r="G68" s="22" t="s">
        <v>212</v>
      </c>
      <c r="H68" s="21"/>
    </row>
  </sheetData>
  <conditionalFormatting sqref="B2:EO11">
    <cfRule type="expression" dxfId="45" priority="1">
      <formula>B2=""</formula>
    </cfRule>
    <cfRule type="expression" dxfId="44" priority="2">
      <formula>B2=1</formula>
    </cfRule>
  </conditionalFormatting>
  <conditionalFormatting sqref="B12:EO65">
    <cfRule type="expression" dxfId="43" priority="3">
      <formula>AND(B12&lt;&gt;1,B12&lt;&gt;"")</formula>
    </cfRule>
    <cfRule type="expression" dxfId="42" priority="4">
      <formula>B12=""</formula>
    </cfRule>
    <cfRule type="expression" dxfId="41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40" priority="1">
      <formula>B2=""</formula>
    </cfRule>
    <cfRule type="expression" dxfId="39" priority="2">
      <formula>B2=1</formula>
    </cfRule>
  </conditionalFormatting>
  <conditionalFormatting sqref="B12:EO65">
    <cfRule type="expression" dxfId="38" priority="3">
      <formula>AND(B12&lt;&gt;1,B12&lt;&gt;"")</formula>
    </cfRule>
    <cfRule type="expression" dxfId="37" priority="4">
      <formula>B12=""</formula>
    </cfRule>
    <cfRule type="expression" dxfId="36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/>
  <cols>
    <col min="1" max="18" width="2.125" customWidth="1"/>
  </cols>
  <sheetData>
    <row r="1" spans="1:18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C0B1-90AF-4BC9-ACA7-100A02C17881}">
  <dimension ref="A1:M753"/>
  <sheetViews>
    <sheetView topLeftCell="A661" workbookViewId="0">
      <selection activeCell="AL12" sqref="AL12"/>
    </sheetView>
  </sheetViews>
  <sheetFormatPr defaultColWidth="2.125" defaultRowHeight="61.5"/>
  <cols>
    <col min="1" max="1" width="2.125" style="38"/>
    <col min="2" max="3" width="15.625" style="39" customWidth="1"/>
    <col min="4" max="8" width="2.125" style="38"/>
    <col min="9" max="9" width="3.625" style="38" customWidth="1"/>
    <col min="10" max="11" width="6.625" style="38" customWidth="1"/>
    <col min="12" max="12" width="3.625" style="38" customWidth="1"/>
    <col min="13" max="13" width="75.625" style="38" customWidth="1"/>
    <col min="14" max="16384" width="2.125" style="38"/>
  </cols>
  <sheetData>
    <row r="1" spans="1:13" ht="12" customHeight="1"/>
    <row r="2" spans="1:13" ht="24" customHeight="1">
      <c r="D2" s="40">
        <v>128</v>
      </c>
      <c r="E2" s="40">
        <v>64</v>
      </c>
      <c r="F2" s="40">
        <v>32</v>
      </c>
      <c r="G2" s="40">
        <v>16</v>
      </c>
      <c r="H2" s="40">
        <v>8</v>
      </c>
    </row>
    <row r="3" spans="1:13" ht="12" customHeight="1">
      <c r="D3" s="38">
        <v>1</v>
      </c>
      <c r="E3" s="38">
        <v>2</v>
      </c>
      <c r="F3" s="38">
        <v>3</v>
      </c>
      <c r="G3" s="38">
        <v>4</v>
      </c>
      <c r="H3" s="38">
        <v>5</v>
      </c>
    </row>
    <row r="4" spans="1:13" ht="12" customHeight="1">
      <c r="A4" s="38">
        <v>1</v>
      </c>
      <c r="B4" s="41">
        <v>65</v>
      </c>
      <c r="C4" s="41" t="s">
        <v>121</v>
      </c>
      <c r="E4" s="38">
        <v>1</v>
      </c>
      <c r="F4" s="38">
        <v>1</v>
      </c>
      <c r="G4" s="38">
        <v>1</v>
      </c>
      <c r="J4" s="38">
        <f>D4*D$2+E4*E$2+F4*F$2+G4*G$2+H4*H$2</f>
        <v>112</v>
      </c>
      <c r="K4" s="38" t="str">
        <f>DEC2HEX(J4,2)</f>
        <v>70</v>
      </c>
      <c r="M4" s="42" t="str">
        <f>CONCATENATE("0x",K4,",0x",K5,",0x",K6,",0x",K7,",0x",K8,",0x",K9,",0x",K10,",0x",K11,",0x",K12,",0x",K13,", //",C4)</f>
        <v>0x70,0x88,0x88,0xF8,0x88,0x88,0x88,0x88,0x00,0x00, //A</v>
      </c>
    </row>
    <row r="5" spans="1:13" ht="12" customHeight="1">
      <c r="A5" s="38">
        <v>2</v>
      </c>
      <c r="B5" s="41"/>
      <c r="C5" s="41"/>
      <c r="D5" s="38">
        <v>1</v>
      </c>
      <c r="H5" s="38">
        <v>1</v>
      </c>
      <c r="J5" s="38">
        <f t="shared" ref="J5:J68" si="0">D5*D$2+E5*E$2+F5*F$2+G5*G$2+H5*H$2</f>
        <v>136</v>
      </c>
      <c r="K5" s="38" t="str">
        <f t="shared" ref="K5:K68" si="1">DEC2HEX(J5,2)</f>
        <v>88</v>
      </c>
      <c r="M5" s="42"/>
    </row>
    <row r="6" spans="1:13" ht="12" customHeight="1">
      <c r="A6" s="38">
        <v>3</v>
      </c>
      <c r="B6" s="41"/>
      <c r="C6" s="41"/>
      <c r="D6" s="38">
        <v>1</v>
      </c>
      <c r="H6" s="38">
        <v>1</v>
      </c>
      <c r="J6" s="38">
        <f t="shared" si="0"/>
        <v>136</v>
      </c>
      <c r="K6" s="38" t="str">
        <f t="shared" si="1"/>
        <v>88</v>
      </c>
      <c r="M6" s="42"/>
    </row>
    <row r="7" spans="1:13" ht="12" customHeight="1">
      <c r="A7" s="38">
        <v>4</v>
      </c>
      <c r="B7" s="41"/>
      <c r="C7" s="41"/>
      <c r="D7" s="38">
        <v>1</v>
      </c>
      <c r="E7" s="38">
        <v>1</v>
      </c>
      <c r="F7" s="38">
        <v>1</v>
      </c>
      <c r="G7" s="38">
        <v>1</v>
      </c>
      <c r="H7" s="38">
        <v>1</v>
      </c>
      <c r="J7" s="38">
        <f t="shared" si="0"/>
        <v>248</v>
      </c>
      <c r="K7" s="38" t="str">
        <f t="shared" si="1"/>
        <v>F8</v>
      </c>
      <c r="M7" s="42"/>
    </row>
    <row r="8" spans="1:13" ht="12" customHeight="1">
      <c r="A8" s="38">
        <v>5</v>
      </c>
      <c r="B8" s="41"/>
      <c r="C8" s="41"/>
      <c r="D8" s="38">
        <v>1</v>
      </c>
      <c r="H8" s="38">
        <v>1</v>
      </c>
      <c r="J8" s="38">
        <f t="shared" si="0"/>
        <v>136</v>
      </c>
      <c r="K8" s="38" t="str">
        <f t="shared" si="1"/>
        <v>88</v>
      </c>
      <c r="M8" s="42"/>
    </row>
    <row r="9" spans="1:13" ht="12" customHeight="1">
      <c r="A9" s="38">
        <v>6</v>
      </c>
      <c r="B9" s="41"/>
      <c r="C9" s="41"/>
      <c r="D9" s="38">
        <v>1</v>
      </c>
      <c r="H9" s="38">
        <v>1</v>
      </c>
      <c r="J9" s="38">
        <f t="shared" si="0"/>
        <v>136</v>
      </c>
      <c r="K9" s="38" t="str">
        <f t="shared" si="1"/>
        <v>88</v>
      </c>
      <c r="M9" s="42"/>
    </row>
    <row r="10" spans="1:13" ht="12" customHeight="1">
      <c r="A10" s="38">
        <v>7</v>
      </c>
      <c r="B10" s="41"/>
      <c r="C10" s="41"/>
      <c r="D10" s="38">
        <v>1</v>
      </c>
      <c r="H10" s="38">
        <v>1</v>
      </c>
      <c r="J10" s="38">
        <f t="shared" si="0"/>
        <v>136</v>
      </c>
      <c r="K10" s="38" t="str">
        <f t="shared" si="1"/>
        <v>88</v>
      </c>
      <c r="M10" s="42"/>
    </row>
    <row r="11" spans="1:13" ht="12" customHeight="1">
      <c r="A11" s="38">
        <v>8</v>
      </c>
      <c r="B11" s="41"/>
      <c r="C11" s="41"/>
      <c r="D11" s="38">
        <v>1</v>
      </c>
      <c r="H11" s="38">
        <v>1</v>
      </c>
      <c r="J11" s="38">
        <f t="shared" si="0"/>
        <v>136</v>
      </c>
      <c r="K11" s="38" t="str">
        <f t="shared" si="1"/>
        <v>88</v>
      </c>
      <c r="M11" s="42"/>
    </row>
    <row r="12" spans="1:13" ht="12" customHeight="1">
      <c r="A12" s="38">
        <v>9</v>
      </c>
      <c r="B12" s="41"/>
      <c r="C12" s="41"/>
      <c r="J12" s="38">
        <f t="shared" si="0"/>
        <v>0</v>
      </c>
      <c r="K12" s="38" t="str">
        <f t="shared" si="1"/>
        <v>00</v>
      </c>
      <c r="M12" s="42"/>
    </row>
    <row r="13" spans="1:13" ht="12" customHeight="1">
      <c r="A13" s="38">
        <v>10</v>
      </c>
      <c r="B13" s="41"/>
      <c r="C13" s="41"/>
      <c r="J13" s="38">
        <f t="shared" si="0"/>
        <v>0</v>
      </c>
      <c r="K13" s="38" t="str">
        <f t="shared" si="1"/>
        <v>00</v>
      </c>
      <c r="M13" s="42"/>
    </row>
    <row r="14" spans="1:13" ht="12" customHeight="1">
      <c r="A14" s="38">
        <v>1</v>
      </c>
      <c r="B14" s="41">
        <v>97</v>
      </c>
      <c r="C14" s="41" t="s">
        <v>150</v>
      </c>
      <c r="J14" s="38">
        <f t="shared" si="0"/>
        <v>0</v>
      </c>
      <c r="K14" s="38" t="str">
        <f t="shared" si="1"/>
        <v>00</v>
      </c>
      <c r="M14" s="42" t="str">
        <f t="shared" ref="M14" si="2">CONCATENATE("0x",K14,",0x",K15,",0x",K16,",0x",K17,",0x",K18,",0x",K19,",0x",K20,",0x",K21,",0x",K22,",0x",K23,", //",C14)</f>
        <v>0x00,0x00,0x00,0x70,0x90,0x90,0x90,0x78,0x00,0x00, //a</v>
      </c>
    </row>
    <row r="15" spans="1:13" ht="12" customHeight="1">
      <c r="A15" s="38">
        <v>2</v>
      </c>
      <c r="B15" s="41"/>
      <c r="C15" s="41"/>
      <c r="J15" s="38">
        <f t="shared" si="0"/>
        <v>0</v>
      </c>
      <c r="K15" s="38" t="str">
        <f t="shared" si="1"/>
        <v>00</v>
      </c>
      <c r="M15" s="42"/>
    </row>
    <row r="16" spans="1:13" ht="12" customHeight="1">
      <c r="A16" s="38">
        <v>3</v>
      </c>
      <c r="B16" s="41"/>
      <c r="C16" s="41"/>
      <c r="J16" s="38">
        <f t="shared" si="0"/>
        <v>0</v>
      </c>
      <c r="K16" s="38" t="str">
        <f t="shared" si="1"/>
        <v>00</v>
      </c>
      <c r="M16" s="42"/>
    </row>
    <row r="17" spans="1:13" ht="12" customHeight="1">
      <c r="A17" s="38">
        <v>4</v>
      </c>
      <c r="B17" s="41"/>
      <c r="C17" s="41"/>
      <c r="E17" s="38">
        <v>1</v>
      </c>
      <c r="F17" s="38">
        <v>1</v>
      </c>
      <c r="G17" s="38">
        <v>1</v>
      </c>
      <c r="J17" s="38">
        <f t="shared" si="0"/>
        <v>112</v>
      </c>
      <c r="K17" s="38" t="str">
        <f t="shared" si="1"/>
        <v>70</v>
      </c>
      <c r="M17" s="42"/>
    </row>
    <row r="18" spans="1:13" ht="12" customHeight="1">
      <c r="A18" s="38">
        <v>5</v>
      </c>
      <c r="B18" s="41"/>
      <c r="C18" s="41"/>
      <c r="D18" s="38">
        <v>1</v>
      </c>
      <c r="G18" s="38">
        <v>1</v>
      </c>
      <c r="J18" s="38">
        <f t="shared" si="0"/>
        <v>144</v>
      </c>
      <c r="K18" s="38" t="str">
        <f t="shared" si="1"/>
        <v>90</v>
      </c>
      <c r="M18" s="42"/>
    </row>
    <row r="19" spans="1:13" ht="12" customHeight="1">
      <c r="A19" s="38">
        <v>6</v>
      </c>
      <c r="B19" s="41"/>
      <c r="C19" s="41"/>
      <c r="D19" s="38">
        <v>1</v>
      </c>
      <c r="G19" s="38">
        <v>1</v>
      </c>
      <c r="J19" s="38">
        <f t="shared" si="0"/>
        <v>144</v>
      </c>
      <c r="K19" s="38" t="str">
        <f t="shared" si="1"/>
        <v>90</v>
      </c>
      <c r="M19" s="42"/>
    </row>
    <row r="20" spans="1:13" ht="12" customHeight="1">
      <c r="A20" s="38">
        <v>7</v>
      </c>
      <c r="B20" s="41"/>
      <c r="C20" s="41"/>
      <c r="D20" s="38">
        <v>1</v>
      </c>
      <c r="G20" s="38">
        <v>1</v>
      </c>
      <c r="J20" s="38">
        <f t="shared" si="0"/>
        <v>144</v>
      </c>
      <c r="K20" s="38" t="str">
        <f t="shared" si="1"/>
        <v>90</v>
      </c>
      <c r="M20" s="42"/>
    </row>
    <row r="21" spans="1:13" ht="12" customHeight="1">
      <c r="A21" s="38">
        <v>8</v>
      </c>
      <c r="B21" s="41"/>
      <c r="C21" s="41"/>
      <c r="E21" s="38">
        <v>1</v>
      </c>
      <c r="F21" s="38">
        <v>1</v>
      </c>
      <c r="G21" s="38">
        <v>1</v>
      </c>
      <c r="H21" s="38">
        <v>1</v>
      </c>
      <c r="J21" s="38">
        <f t="shared" si="0"/>
        <v>120</v>
      </c>
      <c r="K21" s="38" t="str">
        <f t="shared" si="1"/>
        <v>78</v>
      </c>
      <c r="M21" s="42"/>
    </row>
    <row r="22" spans="1:13" ht="12" customHeight="1">
      <c r="A22" s="38">
        <v>9</v>
      </c>
      <c r="B22" s="41"/>
      <c r="C22" s="41"/>
      <c r="J22" s="38">
        <f t="shared" si="0"/>
        <v>0</v>
      </c>
      <c r="K22" s="38" t="str">
        <f t="shared" si="1"/>
        <v>00</v>
      </c>
      <c r="M22" s="42"/>
    </row>
    <row r="23" spans="1:13" ht="12" customHeight="1">
      <c r="A23" s="38">
        <v>10</v>
      </c>
      <c r="B23" s="41"/>
      <c r="C23" s="41"/>
      <c r="J23" s="38">
        <f t="shared" si="0"/>
        <v>0</v>
      </c>
      <c r="K23" s="38" t="str">
        <f t="shared" si="1"/>
        <v>00</v>
      </c>
      <c r="M23" s="42"/>
    </row>
    <row r="24" spans="1:13" ht="12" customHeight="1">
      <c r="A24" s="38">
        <v>1</v>
      </c>
      <c r="B24" s="41">
        <v>66</v>
      </c>
      <c r="C24" s="41" t="s">
        <v>122</v>
      </c>
      <c r="E24" s="38">
        <v>1</v>
      </c>
      <c r="F24" s="38">
        <v>1</v>
      </c>
      <c r="G24" s="38">
        <v>1</v>
      </c>
      <c r="J24" s="38">
        <f t="shared" si="0"/>
        <v>112</v>
      </c>
      <c r="K24" s="38" t="str">
        <f t="shared" si="1"/>
        <v>70</v>
      </c>
      <c r="M24" s="42" t="str">
        <f t="shared" ref="M24" si="3">CONCATENATE("0x",K24,",0x",K25,",0x",K26,",0x",K27,",0x",K28,",0x",K29,",0x",K30,",0x",K31,",0x",K32,",0x",K33,", //",C24)</f>
        <v>0x70,0x88,0x88,0xF0,0x88,0x88,0x88,0xF0,0x00,0x00, //B</v>
      </c>
    </row>
    <row r="25" spans="1:13" ht="12" customHeight="1">
      <c r="A25" s="38">
        <v>2</v>
      </c>
      <c r="B25" s="41"/>
      <c r="C25" s="41"/>
      <c r="D25" s="38">
        <v>1</v>
      </c>
      <c r="H25" s="38">
        <v>1</v>
      </c>
      <c r="J25" s="38">
        <f t="shared" si="0"/>
        <v>136</v>
      </c>
      <c r="K25" s="38" t="str">
        <f t="shared" si="1"/>
        <v>88</v>
      </c>
      <c r="M25" s="42"/>
    </row>
    <row r="26" spans="1:13" ht="12" customHeight="1">
      <c r="A26" s="38">
        <v>3</v>
      </c>
      <c r="B26" s="41"/>
      <c r="C26" s="41"/>
      <c r="D26" s="38">
        <v>1</v>
      </c>
      <c r="H26" s="38">
        <v>1</v>
      </c>
      <c r="J26" s="38">
        <f t="shared" si="0"/>
        <v>136</v>
      </c>
      <c r="K26" s="38" t="str">
        <f t="shared" si="1"/>
        <v>88</v>
      </c>
      <c r="M26" s="42"/>
    </row>
    <row r="27" spans="1:13" ht="12" customHeight="1">
      <c r="A27" s="38">
        <v>4</v>
      </c>
      <c r="B27" s="41"/>
      <c r="C27" s="41"/>
      <c r="D27" s="38">
        <v>1</v>
      </c>
      <c r="E27" s="38">
        <v>1</v>
      </c>
      <c r="F27" s="38">
        <v>1</v>
      </c>
      <c r="G27" s="38">
        <v>1</v>
      </c>
      <c r="J27" s="38">
        <f t="shared" si="0"/>
        <v>240</v>
      </c>
      <c r="K27" s="38" t="str">
        <f t="shared" si="1"/>
        <v>F0</v>
      </c>
      <c r="M27" s="42"/>
    </row>
    <row r="28" spans="1:13" ht="12" customHeight="1">
      <c r="A28" s="38">
        <v>5</v>
      </c>
      <c r="B28" s="41"/>
      <c r="C28" s="41"/>
      <c r="D28" s="38">
        <v>1</v>
      </c>
      <c r="H28" s="38">
        <v>1</v>
      </c>
      <c r="J28" s="38">
        <f t="shared" si="0"/>
        <v>136</v>
      </c>
      <c r="K28" s="38" t="str">
        <f t="shared" si="1"/>
        <v>88</v>
      </c>
      <c r="M28" s="42"/>
    </row>
    <row r="29" spans="1:13" ht="12" customHeight="1">
      <c r="A29" s="38">
        <v>6</v>
      </c>
      <c r="B29" s="41"/>
      <c r="C29" s="41"/>
      <c r="D29" s="38">
        <v>1</v>
      </c>
      <c r="H29" s="38">
        <v>1</v>
      </c>
      <c r="J29" s="38">
        <f t="shared" si="0"/>
        <v>136</v>
      </c>
      <c r="K29" s="38" t="str">
        <f t="shared" si="1"/>
        <v>88</v>
      </c>
      <c r="M29" s="42"/>
    </row>
    <row r="30" spans="1:13" ht="12" customHeight="1">
      <c r="A30" s="38">
        <v>7</v>
      </c>
      <c r="B30" s="41"/>
      <c r="C30" s="41"/>
      <c r="D30" s="38">
        <v>1</v>
      </c>
      <c r="H30" s="38">
        <v>1</v>
      </c>
      <c r="J30" s="38">
        <f t="shared" si="0"/>
        <v>136</v>
      </c>
      <c r="K30" s="38" t="str">
        <f t="shared" si="1"/>
        <v>88</v>
      </c>
      <c r="M30" s="42"/>
    </row>
    <row r="31" spans="1:13" ht="12" customHeight="1">
      <c r="A31" s="38">
        <v>8</v>
      </c>
      <c r="B31" s="41"/>
      <c r="C31" s="41"/>
      <c r="D31" s="38">
        <v>1</v>
      </c>
      <c r="E31" s="38">
        <v>1</v>
      </c>
      <c r="F31" s="38">
        <v>1</v>
      </c>
      <c r="G31" s="38">
        <v>1</v>
      </c>
      <c r="J31" s="38">
        <f t="shared" si="0"/>
        <v>240</v>
      </c>
      <c r="K31" s="38" t="str">
        <f t="shared" si="1"/>
        <v>F0</v>
      </c>
      <c r="M31" s="42"/>
    </row>
    <row r="32" spans="1:13" ht="12" customHeight="1">
      <c r="A32" s="38">
        <v>9</v>
      </c>
      <c r="B32" s="41"/>
      <c r="C32" s="41"/>
      <c r="J32" s="38">
        <f t="shared" si="0"/>
        <v>0</v>
      </c>
      <c r="K32" s="38" t="str">
        <f t="shared" si="1"/>
        <v>00</v>
      </c>
      <c r="M32" s="42"/>
    </row>
    <row r="33" spans="1:13" ht="12" customHeight="1">
      <c r="A33" s="38">
        <v>10</v>
      </c>
      <c r="B33" s="41"/>
      <c r="C33" s="41"/>
      <c r="J33" s="38">
        <f t="shared" si="0"/>
        <v>0</v>
      </c>
      <c r="K33" s="38" t="str">
        <f t="shared" si="1"/>
        <v>00</v>
      </c>
      <c r="M33" s="42"/>
    </row>
    <row r="34" spans="1:13" ht="12" customHeight="1">
      <c r="A34" s="38">
        <v>1</v>
      </c>
      <c r="B34" s="41">
        <v>98</v>
      </c>
      <c r="C34" s="41" t="s">
        <v>151</v>
      </c>
      <c r="J34" s="38">
        <f t="shared" si="0"/>
        <v>0</v>
      </c>
      <c r="K34" s="38" t="str">
        <f t="shared" si="1"/>
        <v>00</v>
      </c>
      <c r="M34" s="42" t="str">
        <f t="shared" ref="M34" si="4">CONCATENATE("0x",K34,",0x",K35,",0x",K36,",0x",K37,",0x",K38,",0x",K39,",0x",K40,",0x",K41,",0x",K42,",0x",K43,", //",C34)</f>
        <v>0x00,0x40,0x40,0x70,0x48,0x48,0x48,0x70,0x00,0x00, //b</v>
      </c>
    </row>
    <row r="35" spans="1:13" ht="12" customHeight="1">
      <c r="A35" s="38">
        <v>2</v>
      </c>
      <c r="B35" s="41"/>
      <c r="C35" s="41"/>
      <c r="E35" s="38">
        <v>1</v>
      </c>
      <c r="J35" s="38">
        <f t="shared" si="0"/>
        <v>64</v>
      </c>
      <c r="K35" s="38" t="str">
        <f t="shared" si="1"/>
        <v>40</v>
      </c>
      <c r="M35" s="42"/>
    </row>
    <row r="36" spans="1:13" ht="12" customHeight="1">
      <c r="A36" s="38">
        <v>3</v>
      </c>
      <c r="B36" s="41"/>
      <c r="C36" s="41"/>
      <c r="E36" s="38">
        <v>1</v>
      </c>
      <c r="J36" s="38">
        <f t="shared" si="0"/>
        <v>64</v>
      </c>
      <c r="K36" s="38" t="str">
        <f t="shared" si="1"/>
        <v>40</v>
      </c>
      <c r="M36" s="42"/>
    </row>
    <row r="37" spans="1:13" ht="12" customHeight="1">
      <c r="A37" s="38">
        <v>4</v>
      </c>
      <c r="B37" s="41"/>
      <c r="C37" s="41"/>
      <c r="E37" s="38">
        <v>1</v>
      </c>
      <c r="F37" s="38">
        <v>1</v>
      </c>
      <c r="G37" s="38">
        <v>1</v>
      </c>
      <c r="J37" s="38">
        <f t="shared" si="0"/>
        <v>112</v>
      </c>
      <c r="K37" s="38" t="str">
        <f t="shared" si="1"/>
        <v>70</v>
      </c>
      <c r="M37" s="42"/>
    </row>
    <row r="38" spans="1:13" ht="12" customHeight="1">
      <c r="A38" s="38">
        <v>5</v>
      </c>
      <c r="B38" s="41"/>
      <c r="C38" s="41"/>
      <c r="E38" s="38">
        <v>1</v>
      </c>
      <c r="H38" s="38">
        <v>1</v>
      </c>
      <c r="J38" s="38">
        <f t="shared" si="0"/>
        <v>72</v>
      </c>
      <c r="K38" s="38" t="str">
        <f t="shared" si="1"/>
        <v>48</v>
      </c>
      <c r="M38" s="42"/>
    </row>
    <row r="39" spans="1:13" ht="12" customHeight="1">
      <c r="A39" s="38">
        <v>6</v>
      </c>
      <c r="B39" s="41"/>
      <c r="C39" s="41"/>
      <c r="E39" s="38">
        <v>1</v>
      </c>
      <c r="H39" s="38">
        <v>1</v>
      </c>
      <c r="J39" s="38">
        <f t="shared" si="0"/>
        <v>72</v>
      </c>
      <c r="K39" s="38" t="str">
        <f t="shared" si="1"/>
        <v>48</v>
      </c>
      <c r="M39" s="42"/>
    </row>
    <row r="40" spans="1:13" ht="12" customHeight="1">
      <c r="A40" s="38">
        <v>7</v>
      </c>
      <c r="B40" s="41"/>
      <c r="C40" s="41"/>
      <c r="E40" s="38">
        <v>1</v>
      </c>
      <c r="H40" s="38">
        <v>1</v>
      </c>
      <c r="J40" s="38">
        <f t="shared" si="0"/>
        <v>72</v>
      </c>
      <c r="K40" s="38" t="str">
        <f t="shared" si="1"/>
        <v>48</v>
      </c>
      <c r="M40" s="42"/>
    </row>
    <row r="41" spans="1:13" ht="12" customHeight="1">
      <c r="A41" s="38">
        <v>8</v>
      </c>
      <c r="B41" s="41"/>
      <c r="C41" s="41"/>
      <c r="E41" s="38">
        <v>1</v>
      </c>
      <c r="F41" s="38">
        <v>1</v>
      </c>
      <c r="G41" s="38">
        <v>1</v>
      </c>
      <c r="J41" s="38">
        <f t="shared" si="0"/>
        <v>112</v>
      </c>
      <c r="K41" s="38" t="str">
        <f t="shared" si="1"/>
        <v>70</v>
      </c>
      <c r="M41" s="42"/>
    </row>
    <row r="42" spans="1:13" ht="12" customHeight="1">
      <c r="A42" s="38">
        <v>9</v>
      </c>
      <c r="B42" s="41"/>
      <c r="C42" s="41"/>
      <c r="J42" s="38">
        <f t="shared" si="0"/>
        <v>0</v>
      </c>
      <c r="K42" s="38" t="str">
        <f t="shared" si="1"/>
        <v>00</v>
      </c>
      <c r="M42" s="42"/>
    </row>
    <row r="43" spans="1:13" ht="12" customHeight="1">
      <c r="A43" s="38">
        <v>10</v>
      </c>
      <c r="B43" s="41"/>
      <c r="C43" s="41"/>
      <c r="J43" s="38">
        <f t="shared" si="0"/>
        <v>0</v>
      </c>
      <c r="K43" s="38" t="str">
        <f t="shared" si="1"/>
        <v>00</v>
      </c>
      <c r="M43" s="42"/>
    </row>
    <row r="44" spans="1:13" ht="12" customHeight="1">
      <c r="A44" s="38">
        <v>1</v>
      </c>
      <c r="B44" s="41">
        <v>67</v>
      </c>
      <c r="C44" s="41" t="s">
        <v>2</v>
      </c>
      <c r="E44" s="38">
        <v>1</v>
      </c>
      <c r="F44" s="38">
        <v>1</v>
      </c>
      <c r="G44" s="38">
        <v>1</v>
      </c>
      <c r="J44" s="38">
        <f t="shared" si="0"/>
        <v>112</v>
      </c>
      <c r="K44" s="38" t="str">
        <f t="shared" si="1"/>
        <v>70</v>
      </c>
      <c r="M44" s="42" t="str">
        <f t="shared" ref="M44" si="5">CONCATENATE("0x",K44,",0x",K45,",0x",K46,",0x",K47,",0x",K48,",0x",K49,",0x",K50,",0x",K51,",0x",K52,",0x",K53,", //",C44)</f>
        <v>0x70,0x88,0x80,0x80,0x80,0x80,0x88,0x70,0x00,0x00, //C</v>
      </c>
    </row>
    <row r="45" spans="1:13" ht="12" customHeight="1">
      <c r="A45" s="38">
        <v>2</v>
      </c>
      <c r="B45" s="41"/>
      <c r="C45" s="41"/>
      <c r="D45" s="38">
        <v>1</v>
      </c>
      <c r="H45" s="38">
        <v>1</v>
      </c>
      <c r="J45" s="38">
        <f t="shared" si="0"/>
        <v>136</v>
      </c>
      <c r="K45" s="38" t="str">
        <f t="shared" si="1"/>
        <v>88</v>
      </c>
      <c r="M45" s="42"/>
    </row>
    <row r="46" spans="1:13" ht="12" customHeight="1">
      <c r="A46" s="38">
        <v>3</v>
      </c>
      <c r="B46" s="41"/>
      <c r="C46" s="41"/>
      <c r="D46" s="38">
        <v>1</v>
      </c>
      <c r="J46" s="38">
        <f t="shared" si="0"/>
        <v>128</v>
      </c>
      <c r="K46" s="38" t="str">
        <f t="shared" si="1"/>
        <v>80</v>
      </c>
      <c r="M46" s="42"/>
    </row>
    <row r="47" spans="1:13" ht="12" customHeight="1">
      <c r="A47" s="38">
        <v>4</v>
      </c>
      <c r="B47" s="41"/>
      <c r="C47" s="41"/>
      <c r="D47" s="38">
        <v>1</v>
      </c>
      <c r="J47" s="38">
        <f t="shared" si="0"/>
        <v>128</v>
      </c>
      <c r="K47" s="38" t="str">
        <f t="shared" si="1"/>
        <v>80</v>
      </c>
      <c r="M47" s="42"/>
    </row>
    <row r="48" spans="1:13" ht="12" customHeight="1">
      <c r="A48" s="38">
        <v>5</v>
      </c>
      <c r="B48" s="41"/>
      <c r="C48" s="41"/>
      <c r="D48" s="38">
        <v>1</v>
      </c>
      <c r="J48" s="38">
        <f t="shared" si="0"/>
        <v>128</v>
      </c>
      <c r="K48" s="38" t="str">
        <f t="shared" si="1"/>
        <v>80</v>
      </c>
      <c r="M48" s="42"/>
    </row>
    <row r="49" spans="1:13" ht="12" customHeight="1">
      <c r="A49" s="38">
        <v>6</v>
      </c>
      <c r="B49" s="41"/>
      <c r="C49" s="41"/>
      <c r="D49" s="38">
        <v>1</v>
      </c>
      <c r="J49" s="38">
        <f t="shared" si="0"/>
        <v>128</v>
      </c>
      <c r="K49" s="38" t="str">
        <f t="shared" si="1"/>
        <v>80</v>
      </c>
      <c r="M49" s="42"/>
    </row>
    <row r="50" spans="1:13" ht="12" customHeight="1">
      <c r="A50" s="38">
        <v>7</v>
      </c>
      <c r="B50" s="41"/>
      <c r="C50" s="41"/>
      <c r="D50" s="38">
        <v>1</v>
      </c>
      <c r="H50" s="38">
        <v>1</v>
      </c>
      <c r="J50" s="38">
        <f t="shared" si="0"/>
        <v>136</v>
      </c>
      <c r="K50" s="38" t="str">
        <f t="shared" si="1"/>
        <v>88</v>
      </c>
      <c r="M50" s="42"/>
    </row>
    <row r="51" spans="1:13" ht="12" customHeight="1">
      <c r="A51" s="38">
        <v>8</v>
      </c>
      <c r="B51" s="41"/>
      <c r="C51" s="41"/>
      <c r="E51" s="38">
        <v>1</v>
      </c>
      <c r="F51" s="38">
        <v>1</v>
      </c>
      <c r="G51" s="38">
        <v>1</v>
      </c>
      <c r="J51" s="38">
        <f t="shared" si="0"/>
        <v>112</v>
      </c>
      <c r="K51" s="38" t="str">
        <f t="shared" si="1"/>
        <v>70</v>
      </c>
      <c r="M51" s="42"/>
    </row>
    <row r="52" spans="1:13" ht="12" customHeight="1">
      <c r="A52" s="38">
        <v>9</v>
      </c>
      <c r="B52" s="41"/>
      <c r="C52" s="41"/>
      <c r="J52" s="38">
        <f t="shared" si="0"/>
        <v>0</v>
      </c>
      <c r="K52" s="38" t="str">
        <f t="shared" si="1"/>
        <v>00</v>
      </c>
      <c r="M52" s="42"/>
    </row>
    <row r="53" spans="1:13" ht="12" customHeight="1">
      <c r="A53" s="38">
        <v>10</v>
      </c>
      <c r="B53" s="41"/>
      <c r="C53" s="41"/>
      <c r="J53" s="38">
        <f t="shared" si="0"/>
        <v>0</v>
      </c>
      <c r="K53" s="38" t="str">
        <f t="shared" si="1"/>
        <v>00</v>
      </c>
      <c r="M53" s="42"/>
    </row>
    <row r="54" spans="1:13" ht="12" customHeight="1">
      <c r="A54" s="38">
        <v>1</v>
      </c>
      <c r="B54" s="41">
        <v>99</v>
      </c>
      <c r="C54" s="41" t="s">
        <v>152</v>
      </c>
      <c r="J54" s="38">
        <f t="shared" si="0"/>
        <v>0</v>
      </c>
      <c r="K54" s="38" t="str">
        <f t="shared" si="1"/>
        <v>00</v>
      </c>
      <c r="M54" s="42" t="str">
        <f t="shared" ref="M54" si="6">CONCATENATE("0x",K54,",0x",K55,",0x",K56,",0x",K57,",0x",K58,",0x",K59,",0x",K60,",0x",K61,",0x",K62,",0x",K63,", //",C54)</f>
        <v>0x00,0x00,0x00,0x30,0x48,0x40,0x48,0x30,0x00,0x00, //c</v>
      </c>
    </row>
    <row r="55" spans="1:13" ht="12" customHeight="1">
      <c r="A55" s="38">
        <v>2</v>
      </c>
      <c r="B55" s="41"/>
      <c r="C55" s="41"/>
      <c r="J55" s="38">
        <f t="shared" si="0"/>
        <v>0</v>
      </c>
      <c r="K55" s="38" t="str">
        <f t="shared" si="1"/>
        <v>00</v>
      </c>
      <c r="M55" s="42"/>
    </row>
    <row r="56" spans="1:13" ht="12" customHeight="1">
      <c r="A56" s="38">
        <v>3</v>
      </c>
      <c r="B56" s="41"/>
      <c r="C56" s="41"/>
      <c r="J56" s="38">
        <f t="shared" si="0"/>
        <v>0</v>
      </c>
      <c r="K56" s="38" t="str">
        <f t="shared" si="1"/>
        <v>00</v>
      </c>
      <c r="M56" s="42"/>
    </row>
    <row r="57" spans="1:13" ht="12" customHeight="1">
      <c r="A57" s="38">
        <v>4</v>
      </c>
      <c r="B57" s="41"/>
      <c r="C57" s="41"/>
      <c r="F57" s="38">
        <v>1</v>
      </c>
      <c r="G57" s="38">
        <v>1</v>
      </c>
      <c r="J57" s="38">
        <f t="shared" si="0"/>
        <v>48</v>
      </c>
      <c r="K57" s="38" t="str">
        <f t="shared" si="1"/>
        <v>30</v>
      </c>
      <c r="M57" s="42"/>
    </row>
    <row r="58" spans="1:13" ht="12" customHeight="1">
      <c r="A58" s="38">
        <v>5</v>
      </c>
      <c r="B58" s="41"/>
      <c r="C58" s="41"/>
      <c r="E58" s="38">
        <v>1</v>
      </c>
      <c r="H58" s="38">
        <v>1</v>
      </c>
      <c r="J58" s="38">
        <f t="shared" si="0"/>
        <v>72</v>
      </c>
      <c r="K58" s="38" t="str">
        <f t="shared" si="1"/>
        <v>48</v>
      </c>
      <c r="M58" s="42"/>
    </row>
    <row r="59" spans="1:13" ht="12" customHeight="1">
      <c r="A59" s="38">
        <v>6</v>
      </c>
      <c r="B59" s="41"/>
      <c r="C59" s="41"/>
      <c r="E59" s="38">
        <v>1</v>
      </c>
      <c r="J59" s="38">
        <f t="shared" si="0"/>
        <v>64</v>
      </c>
      <c r="K59" s="38" t="str">
        <f t="shared" si="1"/>
        <v>40</v>
      </c>
      <c r="M59" s="42"/>
    </row>
    <row r="60" spans="1:13" ht="12" customHeight="1">
      <c r="A60" s="38">
        <v>7</v>
      </c>
      <c r="B60" s="41"/>
      <c r="C60" s="41"/>
      <c r="E60" s="38">
        <v>1</v>
      </c>
      <c r="H60" s="38">
        <v>1</v>
      </c>
      <c r="J60" s="38">
        <f t="shared" si="0"/>
        <v>72</v>
      </c>
      <c r="K60" s="38" t="str">
        <f t="shared" si="1"/>
        <v>48</v>
      </c>
      <c r="M60" s="42"/>
    </row>
    <row r="61" spans="1:13" ht="12" customHeight="1">
      <c r="A61" s="38">
        <v>8</v>
      </c>
      <c r="B61" s="41"/>
      <c r="C61" s="41"/>
      <c r="F61" s="38">
        <v>1</v>
      </c>
      <c r="G61" s="38">
        <v>1</v>
      </c>
      <c r="J61" s="38">
        <f t="shared" si="0"/>
        <v>48</v>
      </c>
      <c r="K61" s="38" t="str">
        <f t="shared" si="1"/>
        <v>30</v>
      </c>
      <c r="M61" s="42"/>
    </row>
    <row r="62" spans="1:13" ht="12" customHeight="1">
      <c r="A62" s="38">
        <v>9</v>
      </c>
      <c r="B62" s="41"/>
      <c r="C62" s="41"/>
      <c r="J62" s="38">
        <f t="shared" si="0"/>
        <v>0</v>
      </c>
      <c r="K62" s="38" t="str">
        <f t="shared" si="1"/>
        <v>00</v>
      </c>
      <c r="M62" s="42"/>
    </row>
    <row r="63" spans="1:13" ht="12" customHeight="1">
      <c r="A63" s="38">
        <v>10</v>
      </c>
      <c r="B63" s="41"/>
      <c r="C63" s="41"/>
      <c r="J63" s="38">
        <f t="shared" si="0"/>
        <v>0</v>
      </c>
      <c r="K63" s="38" t="str">
        <f t="shared" si="1"/>
        <v>00</v>
      </c>
      <c r="M63" s="42"/>
    </row>
    <row r="64" spans="1:13" ht="12" customHeight="1">
      <c r="A64" s="38">
        <v>1</v>
      </c>
      <c r="B64" s="41">
        <v>68</v>
      </c>
      <c r="C64" s="41" t="s">
        <v>123</v>
      </c>
      <c r="D64" s="38">
        <v>1</v>
      </c>
      <c r="E64" s="38">
        <v>1</v>
      </c>
      <c r="F64" s="38">
        <v>1</v>
      </c>
      <c r="G64" s="38">
        <v>1</v>
      </c>
      <c r="J64" s="38">
        <f t="shared" si="0"/>
        <v>240</v>
      </c>
      <c r="K64" s="38" t="str">
        <f t="shared" si="1"/>
        <v>F0</v>
      </c>
      <c r="M64" s="42" t="str">
        <f t="shared" ref="M64" si="7">CONCATENATE("0x",K64,",0x",K65,",0x",K66,",0x",K67,",0x",K68,",0x",K69,",0x",K70,",0x",K71,",0x",K72,",0x",K73,", //",C64)</f>
        <v>0xF0,0x88,0x88,0x88,0x88,0x88,0x88,0xF0,0x00,0x00, //D</v>
      </c>
    </row>
    <row r="65" spans="1:13" ht="12" customHeight="1">
      <c r="A65" s="38">
        <v>2</v>
      </c>
      <c r="B65" s="41"/>
      <c r="C65" s="41"/>
      <c r="D65" s="38">
        <v>1</v>
      </c>
      <c r="H65" s="38">
        <v>1</v>
      </c>
      <c r="J65" s="38">
        <f t="shared" si="0"/>
        <v>136</v>
      </c>
      <c r="K65" s="38" t="str">
        <f t="shared" si="1"/>
        <v>88</v>
      </c>
      <c r="M65" s="42"/>
    </row>
    <row r="66" spans="1:13" ht="12" customHeight="1">
      <c r="A66" s="38">
        <v>3</v>
      </c>
      <c r="B66" s="41"/>
      <c r="C66" s="41"/>
      <c r="D66" s="38">
        <v>1</v>
      </c>
      <c r="H66" s="38">
        <v>1</v>
      </c>
      <c r="J66" s="38">
        <f t="shared" si="0"/>
        <v>136</v>
      </c>
      <c r="K66" s="38" t="str">
        <f t="shared" si="1"/>
        <v>88</v>
      </c>
      <c r="M66" s="42"/>
    </row>
    <row r="67" spans="1:13" ht="12" customHeight="1">
      <c r="A67" s="38">
        <v>4</v>
      </c>
      <c r="B67" s="41"/>
      <c r="C67" s="41"/>
      <c r="D67" s="38">
        <v>1</v>
      </c>
      <c r="H67" s="38">
        <v>1</v>
      </c>
      <c r="J67" s="38">
        <f t="shared" si="0"/>
        <v>136</v>
      </c>
      <c r="K67" s="38" t="str">
        <f t="shared" si="1"/>
        <v>88</v>
      </c>
      <c r="M67" s="42"/>
    </row>
    <row r="68" spans="1:13" ht="12" customHeight="1">
      <c r="A68" s="38">
        <v>5</v>
      </c>
      <c r="B68" s="41"/>
      <c r="C68" s="41"/>
      <c r="D68" s="38">
        <v>1</v>
      </c>
      <c r="H68" s="38">
        <v>1</v>
      </c>
      <c r="J68" s="38">
        <f t="shared" si="0"/>
        <v>136</v>
      </c>
      <c r="K68" s="38" t="str">
        <f t="shared" si="1"/>
        <v>88</v>
      </c>
      <c r="M68" s="42"/>
    </row>
    <row r="69" spans="1:13" ht="12" customHeight="1">
      <c r="A69" s="38">
        <v>6</v>
      </c>
      <c r="B69" s="41"/>
      <c r="C69" s="41"/>
      <c r="D69" s="38">
        <v>1</v>
      </c>
      <c r="H69" s="38">
        <v>1</v>
      </c>
      <c r="J69" s="38">
        <f t="shared" ref="J69:J134" si="8">D69*D$2+E69*E$2+F69*F$2+G69*G$2+H69*H$2</f>
        <v>136</v>
      </c>
      <c r="K69" s="38" t="str">
        <f t="shared" ref="K69:K132" si="9">DEC2HEX(J69,2)</f>
        <v>88</v>
      </c>
      <c r="M69" s="42"/>
    </row>
    <row r="70" spans="1:13" ht="12" customHeight="1">
      <c r="A70" s="38">
        <v>7</v>
      </c>
      <c r="B70" s="41"/>
      <c r="C70" s="41"/>
      <c r="D70" s="38">
        <v>1</v>
      </c>
      <c r="H70" s="38">
        <v>1</v>
      </c>
      <c r="J70" s="38">
        <f t="shared" si="8"/>
        <v>136</v>
      </c>
      <c r="K70" s="38" t="str">
        <f t="shared" si="9"/>
        <v>88</v>
      </c>
      <c r="M70" s="42"/>
    </row>
    <row r="71" spans="1:13" ht="12" customHeight="1">
      <c r="A71" s="38">
        <v>8</v>
      </c>
      <c r="B71" s="41"/>
      <c r="C71" s="41"/>
      <c r="D71" s="38">
        <v>1</v>
      </c>
      <c r="E71" s="38">
        <v>1</v>
      </c>
      <c r="F71" s="38">
        <v>1</v>
      </c>
      <c r="G71" s="38">
        <v>1</v>
      </c>
      <c r="J71" s="38">
        <f t="shared" si="8"/>
        <v>240</v>
      </c>
      <c r="K71" s="38" t="str">
        <f t="shared" si="9"/>
        <v>F0</v>
      </c>
      <c r="M71" s="42"/>
    </row>
    <row r="72" spans="1:13" ht="12" customHeight="1">
      <c r="A72" s="38">
        <v>9</v>
      </c>
      <c r="B72" s="41"/>
      <c r="C72" s="41"/>
      <c r="J72" s="38">
        <f t="shared" si="8"/>
        <v>0</v>
      </c>
      <c r="K72" s="38" t="str">
        <f t="shared" si="9"/>
        <v>00</v>
      </c>
      <c r="M72" s="42"/>
    </row>
    <row r="73" spans="1:13" ht="12" customHeight="1">
      <c r="A73" s="38">
        <v>10</v>
      </c>
      <c r="B73" s="41"/>
      <c r="C73" s="41"/>
      <c r="J73" s="38">
        <f t="shared" si="8"/>
        <v>0</v>
      </c>
      <c r="K73" s="38" t="str">
        <f t="shared" si="9"/>
        <v>00</v>
      </c>
      <c r="M73" s="42"/>
    </row>
    <row r="74" spans="1:13" ht="12" customHeight="1">
      <c r="A74" s="38">
        <v>1</v>
      </c>
      <c r="B74" s="41">
        <v>100</v>
      </c>
      <c r="C74" s="41" t="s">
        <v>153</v>
      </c>
      <c r="J74" s="38">
        <f t="shared" si="8"/>
        <v>0</v>
      </c>
      <c r="K74" s="38" t="str">
        <f t="shared" si="9"/>
        <v>00</v>
      </c>
      <c r="M74" s="42" t="str">
        <f t="shared" ref="M74" si="10">CONCATENATE("0x",K74,",0x",K75,",0x",K76,",0x",K77,",0x",K78,",0x",K79,",0x",K80,",0x",K81,",0x",K82,",0x",K83,", //",C74)</f>
        <v>0x00,0x08,0x08,0x38,0x48,0x48,0x48,0x38,0x00,0x00, //d</v>
      </c>
    </row>
    <row r="75" spans="1:13" ht="12" customHeight="1">
      <c r="A75" s="38">
        <v>2</v>
      </c>
      <c r="B75" s="41"/>
      <c r="C75" s="41"/>
      <c r="H75" s="38">
        <v>1</v>
      </c>
      <c r="J75" s="38">
        <f t="shared" si="8"/>
        <v>8</v>
      </c>
      <c r="K75" s="38" t="str">
        <f t="shared" si="9"/>
        <v>08</v>
      </c>
      <c r="M75" s="42"/>
    </row>
    <row r="76" spans="1:13" ht="12" customHeight="1">
      <c r="A76" s="38">
        <v>3</v>
      </c>
      <c r="B76" s="41"/>
      <c r="C76" s="41"/>
      <c r="H76" s="38">
        <v>1</v>
      </c>
      <c r="J76" s="38">
        <f t="shared" si="8"/>
        <v>8</v>
      </c>
      <c r="K76" s="38" t="str">
        <f t="shared" si="9"/>
        <v>08</v>
      </c>
      <c r="M76" s="42"/>
    </row>
    <row r="77" spans="1:13" ht="12" customHeight="1">
      <c r="A77" s="38">
        <v>4</v>
      </c>
      <c r="B77" s="41"/>
      <c r="C77" s="41"/>
      <c r="F77" s="38">
        <v>1</v>
      </c>
      <c r="G77" s="38">
        <v>1</v>
      </c>
      <c r="H77" s="38">
        <v>1</v>
      </c>
      <c r="J77" s="38">
        <f t="shared" si="8"/>
        <v>56</v>
      </c>
      <c r="K77" s="38" t="str">
        <f t="shared" si="9"/>
        <v>38</v>
      </c>
      <c r="M77" s="42"/>
    </row>
    <row r="78" spans="1:13" ht="12" customHeight="1">
      <c r="A78" s="38">
        <v>5</v>
      </c>
      <c r="B78" s="41"/>
      <c r="C78" s="41"/>
      <c r="E78" s="38">
        <v>1</v>
      </c>
      <c r="H78" s="38">
        <v>1</v>
      </c>
      <c r="J78" s="38">
        <f t="shared" si="8"/>
        <v>72</v>
      </c>
      <c r="K78" s="38" t="str">
        <f t="shared" si="9"/>
        <v>48</v>
      </c>
      <c r="M78" s="42"/>
    </row>
    <row r="79" spans="1:13" ht="12" customHeight="1">
      <c r="A79" s="38">
        <v>6</v>
      </c>
      <c r="B79" s="41"/>
      <c r="C79" s="41"/>
      <c r="E79" s="38">
        <v>1</v>
      </c>
      <c r="H79" s="38">
        <v>1</v>
      </c>
      <c r="J79" s="38">
        <f t="shared" si="8"/>
        <v>72</v>
      </c>
      <c r="K79" s="38" t="str">
        <f t="shared" si="9"/>
        <v>48</v>
      </c>
      <c r="M79" s="42"/>
    </row>
    <row r="80" spans="1:13" ht="12" customHeight="1">
      <c r="A80" s="38">
        <v>7</v>
      </c>
      <c r="B80" s="41"/>
      <c r="C80" s="41"/>
      <c r="E80" s="38">
        <v>1</v>
      </c>
      <c r="H80" s="38">
        <v>1</v>
      </c>
      <c r="J80" s="38">
        <f t="shared" si="8"/>
        <v>72</v>
      </c>
      <c r="K80" s="38" t="str">
        <f t="shared" si="9"/>
        <v>48</v>
      </c>
      <c r="M80" s="42"/>
    </row>
    <row r="81" spans="1:13" ht="12" customHeight="1">
      <c r="A81" s="38">
        <v>8</v>
      </c>
      <c r="B81" s="41"/>
      <c r="C81" s="41"/>
      <c r="F81" s="38">
        <v>1</v>
      </c>
      <c r="G81" s="38">
        <v>1</v>
      </c>
      <c r="H81" s="38">
        <v>1</v>
      </c>
      <c r="J81" s="38">
        <f t="shared" si="8"/>
        <v>56</v>
      </c>
      <c r="K81" s="38" t="str">
        <f t="shared" si="9"/>
        <v>38</v>
      </c>
      <c r="M81" s="42"/>
    </row>
    <row r="82" spans="1:13" ht="12" customHeight="1">
      <c r="A82" s="38">
        <v>9</v>
      </c>
      <c r="B82" s="41"/>
      <c r="C82" s="41"/>
      <c r="J82" s="38">
        <f t="shared" si="8"/>
        <v>0</v>
      </c>
      <c r="K82" s="38" t="str">
        <f t="shared" si="9"/>
        <v>00</v>
      </c>
      <c r="M82" s="42"/>
    </row>
    <row r="83" spans="1:13" ht="12" customHeight="1">
      <c r="A83" s="38">
        <v>10</v>
      </c>
      <c r="B83" s="41"/>
      <c r="C83" s="41"/>
      <c r="J83" s="38">
        <f t="shared" si="8"/>
        <v>0</v>
      </c>
      <c r="K83" s="38" t="str">
        <f t="shared" si="9"/>
        <v>00</v>
      </c>
      <c r="M83" s="42"/>
    </row>
    <row r="84" spans="1:13" ht="12" customHeight="1">
      <c r="A84" s="38">
        <v>1</v>
      </c>
      <c r="B84" s="41">
        <v>69</v>
      </c>
      <c r="C84" s="41" t="s">
        <v>4</v>
      </c>
      <c r="D84" s="38">
        <v>1</v>
      </c>
      <c r="E84" s="38">
        <v>1</v>
      </c>
      <c r="F84" s="38">
        <v>1</v>
      </c>
      <c r="G84" s="38">
        <v>1</v>
      </c>
      <c r="H84" s="38">
        <v>1</v>
      </c>
      <c r="J84" s="38">
        <f t="shared" si="8"/>
        <v>248</v>
      </c>
      <c r="K84" s="38" t="str">
        <f t="shared" si="9"/>
        <v>F8</v>
      </c>
      <c r="M84" s="42" t="str">
        <f t="shared" ref="M84" si="11">CONCATENATE("0x",K84,",0x",K85,",0x",K86,",0x",K87,",0x",K88,",0x",K89,",0x",K90,",0x",K91,",0x",K92,",0x",K93,", //",C84)</f>
        <v>0xF8,0x80,0x80,0xF0,0x80,0x80,0x80,0xF8,0x00,0x00, //E</v>
      </c>
    </row>
    <row r="85" spans="1:13" ht="12" customHeight="1">
      <c r="A85" s="38">
        <v>2</v>
      </c>
      <c r="B85" s="41"/>
      <c r="C85" s="41"/>
      <c r="D85" s="38">
        <v>1</v>
      </c>
      <c r="J85" s="38">
        <f t="shared" si="8"/>
        <v>128</v>
      </c>
      <c r="K85" s="38" t="str">
        <f t="shared" si="9"/>
        <v>80</v>
      </c>
      <c r="M85" s="42"/>
    </row>
    <row r="86" spans="1:13" ht="12" customHeight="1">
      <c r="A86" s="38">
        <v>3</v>
      </c>
      <c r="B86" s="41"/>
      <c r="C86" s="41"/>
      <c r="D86" s="38">
        <v>1</v>
      </c>
      <c r="J86" s="38">
        <f t="shared" si="8"/>
        <v>128</v>
      </c>
      <c r="K86" s="38" t="str">
        <f t="shared" si="9"/>
        <v>80</v>
      </c>
      <c r="M86" s="42"/>
    </row>
    <row r="87" spans="1:13" ht="12" customHeight="1">
      <c r="A87" s="38">
        <v>4</v>
      </c>
      <c r="B87" s="41"/>
      <c r="C87" s="41"/>
      <c r="D87" s="38">
        <v>1</v>
      </c>
      <c r="E87" s="38">
        <v>1</v>
      </c>
      <c r="F87" s="38">
        <v>1</v>
      </c>
      <c r="G87" s="38">
        <v>1</v>
      </c>
      <c r="J87" s="38">
        <f t="shared" si="8"/>
        <v>240</v>
      </c>
      <c r="K87" s="38" t="str">
        <f t="shared" si="9"/>
        <v>F0</v>
      </c>
      <c r="M87" s="42"/>
    </row>
    <row r="88" spans="1:13" ht="12" customHeight="1">
      <c r="A88" s="38">
        <v>5</v>
      </c>
      <c r="B88" s="41"/>
      <c r="C88" s="41"/>
      <c r="D88" s="38">
        <v>1</v>
      </c>
      <c r="J88" s="38">
        <f t="shared" si="8"/>
        <v>128</v>
      </c>
      <c r="K88" s="38" t="str">
        <f t="shared" si="9"/>
        <v>80</v>
      </c>
      <c r="M88" s="42"/>
    </row>
    <row r="89" spans="1:13" ht="12" customHeight="1">
      <c r="A89" s="38">
        <v>6</v>
      </c>
      <c r="B89" s="41"/>
      <c r="C89" s="41"/>
      <c r="D89" s="38">
        <v>1</v>
      </c>
      <c r="J89" s="38">
        <f t="shared" si="8"/>
        <v>128</v>
      </c>
      <c r="K89" s="38" t="str">
        <f t="shared" si="9"/>
        <v>80</v>
      </c>
      <c r="M89" s="42"/>
    </row>
    <row r="90" spans="1:13" ht="12" customHeight="1">
      <c r="A90" s="38">
        <v>7</v>
      </c>
      <c r="B90" s="41"/>
      <c r="C90" s="41"/>
      <c r="D90" s="38">
        <v>1</v>
      </c>
      <c r="J90" s="38">
        <f t="shared" si="8"/>
        <v>128</v>
      </c>
      <c r="K90" s="38" t="str">
        <f t="shared" si="9"/>
        <v>80</v>
      </c>
      <c r="M90" s="42"/>
    </row>
    <row r="91" spans="1:13" ht="12" customHeight="1">
      <c r="A91" s="38">
        <v>8</v>
      </c>
      <c r="B91" s="41"/>
      <c r="C91" s="41"/>
      <c r="D91" s="38">
        <v>1</v>
      </c>
      <c r="E91" s="38">
        <v>1</v>
      </c>
      <c r="F91" s="38">
        <v>1</v>
      </c>
      <c r="G91" s="38">
        <v>1</v>
      </c>
      <c r="H91" s="38">
        <v>1</v>
      </c>
      <c r="J91" s="38">
        <f t="shared" si="8"/>
        <v>248</v>
      </c>
      <c r="K91" s="38" t="str">
        <f t="shared" si="9"/>
        <v>F8</v>
      </c>
      <c r="M91" s="42"/>
    </row>
    <row r="92" spans="1:13" ht="12" customHeight="1">
      <c r="A92" s="38">
        <v>9</v>
      </c>
      <c r="B92" s="41"/>
      <c r="C92" s="41"/>
      <c r="J92" s="38">
        <f t="shared" si="8"/>
        <v>0</v>
      </c>
      <c r="K92" s="38" t="str">
        <f t="shared" si="9"/>
        <v>00</v>
      </c>
      <c r="M92" s="42"/>
    </row>
    <row r="93" spans="1:13" ht="12" customHeight="1">
      <c r="A93" s="38">
        <v>10</v>
      </c>
      <c r="B93" s="41"/>
      <c r="C93" s="41"/>
      <c r="J93" s="38">
        <f t="shared" si="8"/>
        <v>0</v>
      </c>
      <c r="K93" s="38" t="str">
        <f t="shared" si="9"/>
        <v>00</v>
      </c>
      <c r="M93" s="42"/>
    </row>
    <row r="94" spans="1:13" ht="12" customHeight="1">
      <c r="A94" s="38">
        <v>1</v>
      </c>
      <c r="B94" s="41">
        <v>101</v>
      </c>
      <c r="C94" s="41" t="s">
        <v>154</v>
      </c>
      <c r="J94" s="38">
        <f t="shared" si="8"/>
        <v>0</v>
      </c>
      <c r="K94" s="38" t="str">
        <f t="shared" si="9"/>
        <v>00</v>
      </c>
      <c r="M94" s="42" t="str">
        <f t="shared" ref="M94" si="12">CONCATENATE("0x",K94,",0x",K95,",0x",K96,",0x",K97,",0x",K98,",0x",K99,",0x",K100,",0x",K101,",0x",K102,",0x",K103,", //",C94)</f>
        <v>0x00,0x00,0x00,0x30,0x48,0x70,0x40,0x30,0x00,0x00, //e</v>
      </c>
    </row>
    <row r="95" spans="1:13" ht="12" customHeight="1">
      <c r="A95" s="38">
        <v>2</v>
      </c>
      <c r="B95" s="41"/>
      <c r="C95" s="41"/>
      <c r="J95" s="38">
        <f t="shared" si="8"/>
        <v>0</v>
      </c>
      <c r="K95" s="38" t="str">
        <f t="shared" si="9"/>
        <v>00</v>
      </c>
      <c r="M95" s="42"/>
    </row>
    <row r="96" spans="1:13" ht="12" customHeight="1">
      <c r="A96" s="38">
        <v>3</v>
      </c>
      <c r="B96" s="41"/>
      <c r="C96" s="41"/>
      <c r="J96" s="38">
        <f t="shared" si="8"/>
        <v>0</v>
      </c>
      <c r="K96" s="38" t="str">
        <f t="shared" si="9"/>
        <v>00</v>
      </c>
      <c r="M96" s="42"/>
    </row>
    <row r="97" spans="1:13" ht="12" customHeight="1">
      <c r="A97" s="38">
        <v>4</v>
      </c>
      <c r="B97" s="41"/>
      <c r="C97" s="41"/>
      <c r="F97" s="38">
        <v>1</v>
      </c>
      <c r="G97" s="38">
        <v>1</v>
      </c>
      <c r="J97" s="38">
        <f t="shared" si="8"/>
        <v>48</v>
      </c>
      <c r="K97" s="38" t="str">
        <f t="shared" si="9"/>
        <v>30</v>
      </c>
      <c r="M97" s="42"/>
    </row>
    <row r="98" spans="1:13" ht="12" customHeight="1">
      <c r="A98" s="38">
        <v>5</v>
      </c>
      <c r="B98" s="41"/>
      <c r="C98" s="41"/>
      <c r="E98" s="38">
        <v>1</v>
      </c>
      <c r="H98" s="38">
        <v>1</v>
      </c>
      <c r="J98" s="38">
        <f t="shared" si="8"/>
        <v>72</v>
      </c>
      <c r="K98" s="38" t="str">
        <f t="shared" si="9"/>
        <v>48</v>
      </c>
      <c r="M98" s="42"/>
    </row>
    <row r="99" spans="1:13" ht="12" customHeight="1">
      <c r="A99" s="38">
        <v>6</v>
      </c>
      <c r="B99" s="41"/>
      <c r="C99" s="41"/>
      <c r="E99" s="38">
        <v>1</v>
      </c>
      <c r="F99" s="38">
        <v>1</v>
      </c>
      <c r="G99" s="38">
        <v>1</v>
      </c>
      <c r="J99" s="38">
        <f t="shared" si="8"/>
        <v>112</v>
      </c>
      <c r="K99" s="38" t="str">
        <f t="shared" si="9"/>
        <v>70</v>
      </c>
      <c r="M99" s="42"/>
    </row>
    <row r="100" spans="1:13" ht="12" customHeight="1">
      <c r="A100" s="38">
        <v>7</v>
      </c>
      <c r="B100" s="41"/>
      <c r="C100" s="41"/>
      <c r="E100" s="38">
        <v>1</v>
      </c>
      <c r="J100" s="38">
        <f t="shared" si="8"/>
        <v>64</v>
      </c>
      <c r="K100" s="38" t="str">
        <f t="shared" si="9"/>
        <v>40</v>
      </c>
      <c r="M100" s="42"/>
    </row>
    <row r="101" spans="1:13" ht="12" customHeight="1">
      <c r="A101" s="38">
        <v>8</v>
      </c>
      <c r="B101" s="41"/>
      <c r="C101" s="41"/>
      <c r="F101" s="38">
        <v>1</v>
      </c>
      <c r="G101" s="38">
        <v>1</v>
      </c>
      <c r="J101" s="38">
        <f t="shared" si="8"/>
        <v>48</v>
      </c>
      <c r="K101" s="38" t="str">
        <f t="shared" si="9"/>
        <v>30</v>
      </c>
      <c r="M101" s="42"/>
    </row>
    <row r="102" spans="1:13" ht="12" customHeight="1">
      <c r="A102" s="38">
        <v>9</v>
      </c>
      <c r="B102" s="41"/>
      <c r="C102" s="41"/>
      <c r="J102" s="38">
        <f t="shared" si="8"/>
        <v>0</v>
      </c>
      <c r="K102" s="38" t="str">
        <f t="shared" si="9"/>
        <v>00</v>
      </c>
      <c r="M102" s="42"/>
    </row>
    <row r="103" spans="1:13" ht="12" customHeight="1">
      <c r="A103" s="38">
        <v>10</v>
      </c>
      <c r="B103" s="41"/>
      <c r="C103" s="41"/>
      <c r="J103" s="38">
        <f t="shared" si="8"/>
        <v>0</v>
      </c>
      <c r="K103" s="38" t="str">
        <f t="shared" si="9"/>
        <v>00</v>
      </c>
      <c r="M103" s="42"/>
    </row>
    <row r="104" spans="1:13" ht="12" customHeight="1">
      <c r="A104" s="38">
        <v>1</v>
      </c>
      <c r="B104" s="41">
        <v>70</v>
      </c>
      <c r="C104" s="41" t="s">
        <v>3</v>
      </c>
      <c r="D104" s="38">
        <v>1</v>
      </c>
      <c r="E104" s="38">
        <v>1</v>
      </c>
      <c r="F104" s="38">
        <v>1</v>
      </c>
      <c r="G104" s="38">
        <v>1</v>
      </c>
      <c r="H104" s="38">
        <v>1</v>
      </c>
      <c r="J104" s="38">
        <f t="shared" si="8"/>
        <v>248</v>
      </c>
      <c r="K104" s="38" t="str">
        <f t="shared" si="9"/>
        <v>F8</v>
      </c>
      <c r="M104" s="42" t="str">
        <f t="shared" ref="M104" si="13">CONCATENATE("0x",K104,",0x",K105,",0x",K106,",0x",K107,",0x",K108,",0x",K109,",0x",K110,",0x",K111,",0x",K112,",0x",K113,", //",C104)</f>
        <v>0xF8,0x80,0x80,0xF0,0x80,0x80,0x80,0x80,0x00,0x00, //F</v>
      </c>
    </row>
    <row r="105" spans="1:13" ht="12" customHeight="1">
      <c r="A105" s="38">
        <v>2</v>
      </c>
      <c r="B105" s="41"/>
      <c r="C105" s="41"/>
      <c r="D105" s="38">
        <v>1</v>
      </c>
      <c r="J105" s="38">
        <f t="shared" si="8"/>
        <v>128</v>
      </c>
      <c r="K105" s="38" t="str">
        <f t="shared" si="9"/>
        <v>80</v>
      </c>
      <c r="M105" s="42"/>
    </row>
    <row r="106" spans="1:13" ht="12" customHeight="1">
      <c r="A106" s="38">
        <v>3</v>
      </c>
      <c r="B106" s="41"/>
      <c r="C106" s="41"/>
      <c r="D106" s="38">
        <v>1</v>
      </c>
      <c r="J106" s="38">
        <f t="shared" si="8"/>
        <v>128</v>
      </c>
      <c r="K106" s="38" t="str">
        <f t="shared" si="9"/>
        <v>80</v>
      </c>
      <c r="M106" s="42"/>
    </row>
    <row r="107" spans="1:13" ht="12" customHeight="1">
      <c r="A107" s="38">
        <v>4</v>
      </c>
      <c r="B107" s="41"/>
      <c r="C107" s="41"/>
      <c r="D107" s="38">
        <v>1</v>
      </c>
      <c r="E107" s="38">
        <v>1</v>
      </c>
      <c r="F107" s="38">
        <v>1</v>
      </c>
      <c r="G107" s="38">
        <v>1</v>
      </c>
      <c r="J107" s="38">
        <f t="shared" si="8"/>
        <v>240</v>
      </c>
      <c r="K107" s="38" t="str">
        <f t="shared" si="9"/>
        <v>F0</v>
      </c>
      <c r="M107" s="42"/>
    </row>
    <row r="108" spans="1:13" ht="12" customHeight="1">
      <c r="A108" s="38">
        <v>5</v>
      </c>
      <c r="B108" s="41"/>
      <c r="C108" s="41"/>
      <c r="D108" s="38">
        <v>1</v>
      </c>
      <c r="J108" s="38">
        <f t="shared" si="8"/>
        <v>128</v>
      </c>
      <c r="K108" s="38" t="str">
        <f t="shared" si="9"/>
        <v>80</v>
      </c>
      <c r="M108" s="42"/>
    </row>
    <row r="109" spans="1:13" ht="12" customHeight="1">
      <c r="A109" s="38">
        <v>6</v>
      </c>
      <c r="B109" s="41"/>
      <c r="C109" s="41"/>
      <c r="D109" s="38">
        <v>1</v>
      </c>
      <c r="J109" s="38">
        <f t="shared" si="8"/>
        <v>128</v>
      </c>
      <c r="K109" s="38" t="str">
        <f t="shared" si="9"/>
        <v>80</v>
      </c>
      <c r="M109" s="42"/>
    </row>
    <row r="110" spans="1:13" ht="12" customHeight="1">
      <c r="A110" s="38">
        <v>7</v>
      </c>
      <c r="B110" s="41"/>
      <c r="C110" s="41"/>
      <c r="D110" s="38">
        <v>1</v>
      </c>
      <c r="J110" s="38">
        <f t="shared" si="8"/>
        <v>128</v>
      </c>
      <c r="K110" s="38" t="str">
        <f t="shared" si="9"/>
        <v>80</v>
      </c>
      <c r="M110" s="42"/>
    </row>
    <row r="111" spans="1:13" ht="12" customHeight="1">
      <c r="A111" s="38">
        <v>8</v>
      </c>
      <c r="B111" s="41"/>
      <c r="C111" s="41"/>
      <c r="D111" s="38">
        <v>1</v>
      </c>
      <c r="J111" s="38">
        <f t="shared" si="8"/>
        <v>128</v>
      </c>
      <c r="K111" s="38" t="str">
        <f t="shared" si="9"/>
        <v>80</v>
      </c>
      <c r="M111" s="42"/>
    </row>
    <row r="112" spans="1:13" ht="12" customHeight="1">
      <c r="A112" s="38">
        <v>9</v>
      </c>
      <c r="B112" s="41"/>
      <c r="C112" s="41"/>
      <c r="J112" s="38">
        <f t="shared" si="8"/>
        <v>0</v>
      </c>
      <c r="K112" s="38" t="str">
        <f t="shared" si="9"/>
        <v>00</v>
      </c>
      <c r="M112" s="42"/>
    </row>
    <row r="113" spans="1:13" ht="12" customHeight="1">
      <c r="A113" s="38">
        <v>10</v>
      </c>
      <c r="B113" s="41"/>
      <c r="C113" s="41"/>
      <c r="J113" s="38">
        <f t="shared" si="8"/>
        <v>0</v>
      </c>
      <c r="K113" s="38" t="str">
        <f t="shared" si="9"/>
        <v>00</v>
      </c>
      <c r="M113" s="42"/>
    </row>
    <row r="114" spans="1:13" ht="12" customHeight="1">
      <c r="A114" s="38">
        <v>1</v>
      </c>
      <c r="B114" s="41">
        <v>102</v>
      </c>
      <c r="C114" s="41" t="s">
        <v>0</v>
      </c>
      <c r="J114" s="38">
        <f t="shared" si="8"/>
        <v>0</v>
      </c>
      <c r="K114" s="38" t="str">
        <f t="shared" si="9"/>
        <v>00</v>
      </c>
      <c r="M114" s="42" t="str">
        <f t="shared" ref="M114" si="14">CONCATENATE("0x",K114,",0x",K115,",0x",K116,",0x",K117,",0x",K118,",0x",K119,",0x",K120,",0x",K121,",0x",K122,",0x",K123,", //",C114)</f>
        <v>0x00,0x38,0x20,0x30,0x20,0x20,0x20,0x20,0x00,0x00, //f</v>
      </c>
    </row>
    <row r="115" spans="1:13" ht="12" customHeight="1">
      <c r="A115" s="38">
        <v>2</v>
      </c>
      <c r="B115" s="41"/>
      <c r="C115" s="41"/>
      <c r="F115" s="38">
        <v>1</v>
      </c>
      <c r="G115" s="38">
        <v>1</v>
      </c>
      <c r="H115" s="38">
        <v>1</v>
      </c>
      <c r="J115" s="38">
        <f t="shared" si="8"/>
        <v>56</v>
      </c>
      <c r="K115" s="38" t="str">
        <f t="shared" si="9"/>
        <v>38</v>
      </c>
      <c r="M115" s="42"/>
    </row>
    <row r="116" spans="1:13" ht="12" customHeight="1">
      <c r="A116" s="38">
        <v>3</v>
      </c>
      <c r="B116" s="41"/>
      <c r="C116" s="41"/>
      <c r="F116" s="38">
        <v>1</v>
      </c>
      <c r="J116" s="38">
        <f t="shared" si="8"/>
        <v>32</v>
      </c>
      <c r="K116" s="38" t="str">
        <f t="shared" si="9"/>
        <v>20</v>
      </c>
      <c r="M116" s="42"/>
    </row>
    <row r="117" spans="1:13" ht="12" customHeight="1">
      <c r="A117" s="38">
        <v>4</v>
      </c>
      <c r="B117" s="41"/>
      <c r="C117" s="41"/>
      <c r="F117" s="38">
        <v>1</v>
      </c>
      <c r="G117" s="38">
        <v>1</v>
      </c>
      <c r="J117" s="38">
        <f t="shared" si="8"/>
        <v>48</v>
      </c>
      <c r="K117" s="38" t="str">
        <f t="shared" si="9"/>
        <v>30</v>
      </c>
      <c r="M117" s="42"/>
    </row>
    <row r="118" spans="1:13" ht="12" customHeight="1">
      <c r="A118" s="38">
        <v>5</v>
      </c>
      <c r="B118" s="41"/>
      <c r="C118" s="41"/>
      <c r="F118" s="38">
        <v>1</v>
      </c>
      <c r="J118" s="38">
        <f t="shared" si="8"/>
        <v>32</v>
      </c>
      <c r="K118" s="38" t="str">
        <f t="shared" si="9"/>
        <v>20</v>
      </c>
      <c r="M118" s="42"/>
    </row>
    <row r="119" spans="1:13" ht="12" customHeight="1">
      <c r="A119" s="38">
        <v>6</v>
      </c>
      <c r="B119" s="41"/>
      <c r="C119" s="41"/>
      <c r="F119" s="38">
        <v>1</v>
      </c>
      <c r="J119" s="38">
        <f t="shared" si="8"/>
        <v>32</v>
      </c>
      <c r="K119" s="38" t="str">
        <f t="shared" si="9"/>
        <v>20</v>
      </c>
      <c r="M119" s="42"/>
    </row>
    <row r="120" spans="1:13" ht="12" customHeight="1">
      <c r="A120" s="38">
        <v>7</v>
      </c>
      <c r="B120" s="41"/>
      <c r="C120" s="41"/>
      <c r="F120" s="38">
        <v>1</v>
      </c>
      <c r="J120" s="38">
        <f t="shared" si="8"/>
        <v>32</v>
      </c>
      <c r="K120" s="38" t="str">
        <f t="shared" si="9"/>
        <v>20</v>
      </c>
      <c r="M120" s="42"/>
    </row>
    <row r="121" spans="1:13" ht="12" customHeight="1">
      <c r="A121" s="38">
        <v>8</v>
      </c>
      <c r="B121" s="41"/>
      <c r="C121" s="41"/>
      <c r="F121" s="38">
        <v>1</v>
      </c>
      <c r="J121" s="38">
        <f t="shared" si="8"/>
        <v>32</v>
      </c>
      <c r="K121" s="38" t="str">
        <f t="shared" si="9"/>
        <v>20</v>
      </c>
      <c r="M121" s="42"/>
    </row>
    <row r="122" spans="1:13" ht="12" customHeight="1">
      <c r="A122" s="38">
        <v>9</v>
      </c>
      <c r="B122" s="41"/>
      <c r="C122" s="41"/>
      <c r="J122" s="38">
        <f t="shared" si="8"/>
        <v>0</v>
      </c>
      <c r="K122" s="38" t="str">
        <f t="shared" si="9"/>
        <v>00</v>
      </c>
      <c r="M122" s="42"/>
    </row>
    <row r="123" spans="1:13" ht="12" customHeight="1">
      <c r="A123" s="38">
        <v>10</v>
      </c>
      <c r="B123" s="41"/>
      <c r="C123" s="41"/>
      <c r="J123" s="38">
        <f t="shared" si="8"/>
        <v>0</v>
      </c>
      <c r="K123" s="38" t="str">
        <f t="shared" si="9"/>
        <v>00</v>
      </c>
      <c r="M123" s="42"/>
    </row>
    <row r="124" spans="1:13" ht="12" customHeight="1">
      <c r="A124" s="38">
        <v>1</v>
      </c>
      <c r="B124" s="41">
        <v>71</v>
      </c>
      <c r="C124" s="41" t="s">
        <v>124</v>
      </c>
      <c r="E124" s="38">
        <v>1</v>
      </c>
      <c r="F124" s="38">
        <v>1</v>
      </c>
      <c r="G124" s="38">
        <v>1</v>
      </c>
      <c r="J124" s="38">
        <f t="shared" si="8"/>
        <v>112</v>
      </c>
      <c r="K124" s="38" t="str">
        <f t="shared" si="9"/>
        <v>70</v>
      </c>
      <c r="M124" s="42" t="str">
        <f t="shared" ref="M124" si="15">CONCATENATE("0x",K124,",0x",K125,",0x",K126,",0x",K127,",0x",K128,",0x",K129,",0x",K130,",0x",K131,",0x",K132,",0x",K133,", //",C124)</f>
        <v>0x70,0x88,0x80,0xB8,0x88,0x88,0x88,0x78,0x00,0x00, //G</v>
      </c>
    </row>
    <row r="125" spans="1:13" ht="12" customHeight="1">
      <c r="A125" s="38">
        <v>2</v>
      </c>
      <c r="B125" s="41"/>
      <c r="C125" s="41"/>
      <c r="D125" s="38">
        <v>1</v>
      </c>
      <c r="H125" s="38">
        <v>1</v>
      </c>
      <c r="J125" s="38">
        <f t="shared" si="8"/>
        <v>136</v>
      </c>
      <c r="K125" s="38" t="str">
        <f t="shared" si="9"/>
        <v>88</v>
      </c>
      <c r="M125" s="42"/>
    </row>
    <row r="126" spans="1:13" ht="12" customHeight="1">
      <c r="A126" s="38">
        <v>3</v>
      </c>
      <c r="B126" s="41"/>
      <c r="C126" s="41"/>
      <c r="D126" s="38">
        <v>1</v>
      </c>
      <c r="J126" s="38">
        <f t="shared" si="8"/>
        <v>128</v>
      </c>
      <c r="K126" s="38" t="str">
        <f t="shared" si="9"/>
        <v>80</v>
      </c>
      <c r="M126" s="42"/>
    </row>
    <row r="127" spans="1:13" ht="12" customHeight="1">
      <c r="A127" s="38">
        <v>4</v>
      </c>
      <c r="B127" s="41"/>
      <c r="C127" s="41"/>
      <c r="D127" s="38">
        <v>1</v>
      </c>
      <c r="F127" s="38">
        <v>1</v>
      </c>
      <c r="G127" s="38">
        <v>1</v>
      </c>
      <c r="H127" s="38">
        <v>1</v>
      </c>
      <c r="J127" s="38">
        <f t="shared" si="8"/>
        <v>184</v>
      </c>
      <c r="K127" s="38" t="str">
        <f t="shared" si="9"/>
        <v>B8</v>
      </c>
      <c r="M127" s="42"/>
    </row>
    <row r="128" spans="1:13" ht="12" customHeight="1">
      <c r="A128" s="38">
        <v>5</v>
      </c>
      <c r="B128" s="41"/>
      <c r="C128" s="41"/>
      <c r="D128" s="38">
        <v>1</v>
      </c>
      <c r="H128" s="38">
        <v>1</v>
      </c>
      <c r="J128" s="38">
        <f t="shared" si="8"/>
        <v>136</v>
      </c>
      <c r="K128" s="38" t="str">
        <f t="shared" si="9"/>
        <v>88</v>
      </c>
      <c r="M128" s="42"/>
    </row>
    <row r="129" spans="1:13" ht="12" customHeight="1">
      <c r="A129" s="38">
        <v>6</v>
      </c>
      <c r="B129" s="41"/>
      <c r="C129" s="41"/>
      <c r="D129" s="38">
        <v>1</v>
      </c>
      <c r="H129" s="38">
        <v>1</v>
      </c>
      <c r="J129" s="38">
        <f t="shared" si="8"/>
        <v>136</v>
      </c>
      <c r="K129" s="38" t="str">
        <f t="shared" si="9"/>
        <v>88</v>
      </c>
      <c r="M129" s="42"/>
    </row>
    <row r="130" spans="1:13" ht="12" customHeight="1">
      <c r="A130" s="38">
        <v>7</v>
      </c>
      <c r="B130" s="41"/>
      <c r="C130" s="41"/>
      <c r="D130" s="38">
        <v>1</v>
      </c>
      <c r="H130" s="38">
        <v>1</v>
      </c>
      <c r="J130" s="38">
        <f t="shared" si="8"/>
        <v>136</v>
      </c>
      <c r="K130" s="38" t="str">
        <f t="shared" si="9"/>
        <v>88</v>
      </c>
      <c r="M130" s="42"/>
    </row>
    <row r="131" spans="1:13" ht="12" customHeight="1">
      <c r="A131" s="38">
        <v>8</v>
      </c>
      <c r="B131" s="41"/>
      <c r="C131" s="41"/>
      <c r="E131" s="38">
        <v>1</v>
      </c>
      <c r="F131" s="38">
        <v>1</v>
      </c>
      <c r="G131" s="38">
        <v>1</v>
      </c>
      <c r="H131" s="38">
        <v>1</v>
      </c>
      <c r="J131" s="38">
        <f t="shared" si="8"/>
        <v>120</v>
      </c>
      <c r="K131" s="38" t="str">
        <f t="shared" si="9"/>
        <v>78</v>
      </c>
      <c r="M131" s="42"/>
    </row>
    <row r="132" spans="1:13" ht="12" customHeight="1">
      <c r="A132" s="38">
        <v>9</v>
      </c>
      <c r="B132" s="41"/>
      <c r="C132" s="41"/>
      <c r="J132" s="38">
        <f t="shared" si="8"/>
        <v>0</v>
      </c>
      <c r="K132" s="38" t="str">
        <f t="shared" si="9"/>
        <v>00</v>
      </c>
      <c r="M132" s="42"/>
    </row>
    <row r="133" spans="1:13" ht="12" customHeight="1">
      <c r="A133" s="38">
        <v>10</v>
      </c>
      <c r="B133" s="41"/>
      <c r="C133" s="41"/>
      <c r="J133" s="38">
        <f t="shared" si="8"/>
        <v>0</v>
      </c>
      <c r="K133" s="38" t="str">
        <f t="shared" ref="K133:K196" si="16">DEC2HEX(J133,2)</f>
        <v>00</v>
      </c>
      <c r="M133" s="42"/>
    </row>
    <row r="134" spans="1:13" ht="12" customHeight="1">
      <c r="A134" s="38">
        <v>1</v>
      </c>
      <c r="B134" s="41">
        <v>103</v>
      </c>
      <c r="C134" s="41" t="s">
        <v>155</v>
      </c>
      <c r="J134" s="38">
        <f t="shared" si="8"/>
        <v>0</v>
      </c>
      <c r="K134" s="38" t="str">
        <f t="shared" si="16"/>
        <v>00</v>
      </c>
      <c r="M134" s="42" t="str">
        <f t="shared" ref="M134" si="17">CONCATENATE("0x",K134,",0x",K135,",0x",K136,",0x",K137,",0x",K138,",0x",K139,",0x",K140,",0x",K141,",0x",K142,",0x",K143,", //",C134)</f>
        <v>0x00,0x00,0x00,0x30,0x48,0x48,0x48,0x38,0x08,0x38, //g</v>
      </c>
    </row>
    <row r="135" spans="1:13" ht="12" customHeight="1">
      <c r="A135" s="38">
        <v>2</v>
      </c>
      <c r="B135" s="41"/>
      <c r="C135" s="41"/>
      <c r="J135" s="38">
        <f t="shared" ref="J135:J198" si="18">D135*D$2+E135*E$2+F135*F$2+G135*G$2+H135*H$2</f>
        <v>0</v>
      </c>
      <c r="K135" s="38" t="str">
        <f t="shared" si="16"/>
        <v>00</v>
      </c>
      <c r="M135" s="42"/>
    </row>
    <row r="136" spans="1:13" ht="12" customHeight="1">
      <c r="A136" s="38">
        <v>3</v>
      </c>
      <c r="B136" s="41"/>
      <c r="C136" s="41"/>
      <c r="J136" s="38">
        <f t="shared" si="18"/>
        <v>0</v>
      </c>
      <c r="K136" s="38" t="str">
        <f t="shared" si="16"/>
        <v>00</v>
      </c>
      <c r="M136" s="42"/>
    </row>
    <row r="137" spans="1:13" ht="12" customHeight="1">
      <c r="A137" s="38">
        <v>4</v>
      </c>
      <c r="B137" s="41"/>
      <c r="C137" s="41"/>
      <c r="F137" s="38">
        <v>1</v>
      </c>
      <c r="G137" s="38">
        <v>1</v>
      </c>
      <c r="J137" s="38">
        <f t="shared" si="18"/>
        <v>48</v>
      </c>
      <c r="K137" s="38" t="str">
        <f t="shared" si="16"/>
        <v>30</v>
      </c>
      <c r="M137" s="42"/>
    </row>
    <row r="138" spans="1:13" ht="12" customHeight="1">
      <c r="A138" s="38">
        <v>5</v>
      </c>
      <c r="B138" s="41"/>
      <c r="C138" s="41"/>
      <c r="E138" s="38">
        <v>1</v>
      </c>
      <c r="H138" s="38">
        <v>1</v>
      </c>
      <c r="J138" s="38">
        <f t="shared" si="18"/>
        <v>72</v>
      </c>
      <c r="K138" s="38" t="str">
        <f t="shared" si="16"/>
        <v>48</v>
      </c>
      <c r="M138" s="42"/>
    </row>
    <row r="139" spans="1:13" ht="12" customHeight="1">
      <c r="A139" s="38">
        <v>6</v>
      </c>
      <c r="B139" s="41"/>
      <c r="C139" s="41"/>
      <c r="E139" s="38">
        <v>1</v>
      </c>
      <c r="H139" s="38">
        <v>1</v>
      </c>
      <c r="J139" s="38">
        <f t="shared" si="18"/>
        <v>72</v>
      </c>
      <c r="K139" s="38" t="str">
        <f t="shared" si="16"/>
        <v>48</v>
      </c>
      <c r="M139" s="42"/>
    </row>
    <row r="140" spans="1:13" ht="12" customHeight="1">
      <c r="A140" s="38">
        <v>7</v>
      </c>
      <c r="B140" s="41"/>
      <c r="C140" s="41"/>
      <c r="E140" s="38">
        <v>1</v>
      </c>
      <c r="H140" s="38">
        <v>1</v>
      </c>
      <c r="J140" s="38">
        <f t="shared" si="18"/>
        <v>72</v>
      </c>
      <c r="K140" s="38" t="str">
        <f t="shared" si="16"/>
        <v>48</v>
      </c>
      <c r="M140" s="42"/>
    </row>
    <row r="141" spans="1:13" ht="12" customHeight="1">
      <c r="A141" s="38">
        <v>8</v>
      </c>
      <c r="B141" s="41"/>
      <c r="C141" s="41"/>
      <c r="F141" s="38">
        <v>1</v>
      </c>
      <c r="G141" s="38">
        <v>1</v>
      </c>
      <c r="H141" s="38">
        <v>1</v>
      </c>
      <c r="J141" s="38">
        <f t="shared" si="18"/>
        <v>56</v>
      </c>
      <c r="K141" s="38" t="str">
        <f t="shared" si="16"/>
        <v>38</v>
      </c>
      <c r="M141" s="42"/>
    </row>
    <row r="142" spans="1:13" ht="12" customHeight="1">
      <c r="A142" s="38">
        <v>9</v>
      </c>
      <c r="B142" s="41"/>
      <c r="C142" s="41"/>
      <c r="H142" s="38">
        <v>1</v>
      </c>
      <c r="J142" s="38">
        <f t="shared" si="18"/>
        <v>8</v>
      </c>
      <c r="K142" s="38" t="str">
        <f t="shared" si="16"/>
        <v>08</v>
      </c>
      <c r="M142" s="42"/>
    </row>
    <row r="143" spans="1:13" ht="12" customHeight="1">
      <c r="A143" s="38">
        <v>10</v>
      </c>
      <c r="B143" s="41"/>
      <c r="C143" s="41"/>
      <c r="F143" s="38">
        <v>1</v>
      </c>
      <c r="G143" s="38">
        <v>1</v>
      </c>
      <c r="H143" s="38">
        <v>1</v>
      </c>
      <c r="J143" s="38">
        <f t="shared" si="18"/>
        <v>56</v>
      </c>
      <c r="K143" s="38" t="str">
        <f t="shared" si="16"/>
        <v>38</v>
      </c>
      <c r="M143" s="42"/>
    </row>
    <row r="144" spans="1:13" ht="12" customHeight="1">
      <c r="A144" s="38">
        <v>1</v>
      </c>
      <c r="B144" s="41">
        <v>72</v>
      </c>
      <c r="C144" s="41" t="s">
        <v>125</v>
      </c>
      <c r="D144" s="38">
        <v>1</v>
      </c>
      <c r="H144" s="38">
        <v>1</v>
      </c>
      <c r="J144" s="38">
        <f t="shared" si="18"/>
        <v>136</v>
      </c>
      <c r="K144" s="38" t="str">
        <f t="shared" si="16"/>
        <v>88</v>
      </c>
      <c r="M144" s="42" t="str">
        <f t="shared" ref="M144" si="19">CONCATENATE("0x",K144,",0x",K145,",0x",K146,",0x",K147,",0x",K148,",0x",K149,",0x",K150,",0x",K151,",0x",K152,",0x",K153,", //",C144)</f>
        <v>0x88,0x88,0x88,0xF8,0x88,0x88,0x88,0x88,0x00,0x00, //H</v>
      </c>
    </row>
    <row r="145" spans="1:13" ht="12" customHeight="1">
      <c r="A145" s="38">
        <v>2</v>
      </c>
      <c r="B145" s="41"/>
      <c r="C145" s="41"/>
      <c r="D145" s="38">
        <v>1</v>
      </c>
      <c r="H145" s="38">
        <v>1</v>
      </c>
      <c r="J145" s="38">
        <f t="shared" si="18"/>
        <v>136</v>
      </c>
      <c r="K145" s="38" t="str">
        <f t="shared" si="16"/>
        <v>88</v>
      </c>
      <c r="M145" s="42"/>
    </row>
    <row r="146" spans="1:13" ht="12" customHeight="1">
      <c r="A146" s="38">
        <v>3</v>
      </c>
      <c r="B146" s="41"/>
      <c r="C146" s="41"/>
      <c r="D146" s="38">
        <v>1</v>
      </c>
      <c r="H146" s="38">
        <v>1</v>
      </c>
      <c r="J146" s="38">
        <f t="shared" si="18"/>
        <v>136</v>
      </c>
      <c r="K146" s="38" t="str">
        <f t="shared" si="16"/>
        <v>88</v>
      </c>
      <c r="M146" s="42"/>
    </row>
    <row r="147" spans="1:13" ht="12" customHeight="1">
      <c r="A147" s="38">
        <v>4</v>
      </c>
      <c r="B147" s="41"/>
      <c r="C147" s="41"/>
      <c r="D147" s="38">
        <v>1</v>
      </c>
      <c r="E147" s="38">
        <v>1</v>
      </c>
      <c r="F147" s="38">
        <v>1</v>
      </c>
      <c r="G147" s="38">
        <v>1</v>
      </c>
      <c r="H147" s="38">
        <v>1</v>
      </c>
      <c r="J147" s="38">
        <f t="shared" si="18"/>
        <v>248</v>
      </c>
      <c r="K147" s="38" t="str">
        <f t="shared" si="16"/>
        <v>F8</v>
      </c>
      <c r="M147" s="42"/>
    </row>
    <row r="148" spans="1:13" ht="12" customHeight="1">
      <c r="A148" s="38">
        <v>5</v>
      </c>
      <c r="B148" s="41"/>
      <c r="C148" s="41"/>
      <c r="D148" s="38">
        <v>1</v>
      </c>
      <c r="H148" s="38">
        <v>1</v>
      </c>
      <c r="J148" s="38">
        <f t="shared" si="18"/>
        <v>136</v>
      </c>
      <c r="K148" s="38" t="str">
        <f t="shared" si="16"/>
        <v>88</v>
      </c>
      <c r="M148" s="42"/>
    </row>
    <row r="149" spans="1:13" ht="12" customHeight="1">
      <c r="A149" s="38">
        <v>6</v>
      </c>
      <c r="B149" s="41"/>
      <c r="C149" s="41"/>
      <c r="D149" s="38">
        <v>1</v>
      </c>
      <c r="H149" s="38">
        <v>1</v>
      </c>
      <c r="J149" s="38">
        <f t="shared" si="18"/>
        <v>136</v>
      </c>
      <c r="K149" s="38" t="str">
        <f t="shared" si="16"/>
        <v>88</v>
      </c>
      <c r="M149" s="42"/>
    </row>
    <row r="150" spans="1:13" ht="12" customHeight="1">
      <c r="A150" s="38">
        <v>7</v>
      </c>
      <c r="B150" s="41"/>
      <c r="C150" s="41"/>
      <c r="D150" s="38">
        <v>1</v>
      </c>
      <c r="H150" s="38">
        <v>1</v>
      </c>
      <c r="J150" s="38">
        <f t="shared" si="18"/>
        <v>136</v>
      </c>
      <c r="K150" s="38" t="str">
        <f t="shared" si="16"/>
        <v>88</v>
      </c>
      <c r="M150" s="42"/>
    </row>
    <row r="151" spans="1:13" ht="12" customHeight="1">
      <c r="A151" s="38">
        <v>8</v>
      </c>
      <c r="B151" s="41"/>
      <c r="C151" s="41"/>
      <c r="D151" s="38">
        <v>1</v>
      </c>
      <c r="H151" s="38">
        <v>1</v>
      </c>
      <c r="J151" s="38">
        <f t="shared" si="18"/>
        <v>136</v>
      </c>
      <c r="K151" s="38" t="str">
        <f t="shared" si="16"/>
        <v>88</v>
      </c>
      <c r="M151" s="42"/>
    </row>
    <row r="152" spans="1:13" ht="12" customHeight="1">
      <c r="A152" s="38">
        <v>9</v>
      </c>
      <c r="B152" s="41"/>
      <c r="C152" s="41"/>
      <c r="J152" s="38">
        <f t="shared" si="18"/>
        <v>0</v>
      </c>
      <c r="K152" s="38" t="str">
        <f t="shared" si="16"/>
        <v>00</v>
      </c>
      <c r="M152" s="42"/>
    </row>
    <row r="153" spans="1:13" ht="12" customHeight="1">
      <c r="A153" s="38">
        <v>10</v>
      </c>
      <c r="B153" s="41"/>
      <c r="C153" s="41"/>
      <c r="J153" s="38">
        <f t="shared" si="18"/>
        <v>0</v>
      </c>
      <c r="K153" s="38" t="str">
        <f t="shared" si="16"/>
        <v>00</v>
      </c>
      <c r="M153" s="42"/>
    </row>
    <row r="154" spans="1:13" ht="12" customHeight="1">
      <c r="A154" s="38">
        <v>1</v>
      </c>
      <c r="B154" s="41"/>
      <c r="C154" s="41"/>
      <c r="J154" s="38">
        <f t="shared" si="18"/>
        <v>0</v>
      </c>
      <c r="K154" s="38" t="str">
        <f t="shared" si="16"/>
        <v>00</v>
      </c>
      <c r="M154" s="42" t="str">
        <f t="shared" ref="M154" si="20">CONCATENATE("0x",K154,",0x",K155,",0x",K156,",0x",K157,",0x",K158,",0x",K159,",0x",K160,",0x",K161,",0x",K162,",0x",K163,", //",C154)</f>
        <v>0x00,0x40,0x40,0x58,0x68,0x48,0x48,0x48,0x00,0x00, //</v>
      </c>
    </row>
    <row r="155" spans="1:13" ht="12" customHeight="1">
      <c r="A155" s="38">
        <v>2</v>
      </c>
      <c r="B155" s="41"/>
      <c r="C155" s="41"/>
      <c r="E155" s="38">
        <v>1</v>
      </c>
      <c r="J155" s="38">
        <f t="shared" si="18"/>
        <v>64</v>
      </c>
      <c r="K155" s="38" t="str">
        <f t="shared" si="16"/>
        <v>40</v>
      </c>
      <c r="M155" s="42"/>
    </row>
    <row r="156" spans="1:13" ht="12" customHeight="1">
      <c r="A156" s="38">
        <v>3</v>
      </c>
      <c r="B156" s="41"/>
      <c r="C156" s="41"/>
      <c r="E156" s="38">
        <v>1</v>
      </c>
      <c r="J156" s="38">
        <f t="shared" si="18"/>
        <v>64</v>
      </c>
      <c r="K156" s="38" t="str">
        <f t="shared" si="16"/>
        <v>40</v>
      </c>
      <c r="M156" s="42"/>
    </row>
    <row r="157" spans="1:13" ht="12" customHeight="1">
      <c r="A157" s="38">
        <v>4</v>
      </c>
      <c r="B157" s="41"/>
      <c r="C157" s="41"/>
      <c r="E157" s="38">
        <v>1</v>
      </c>
      <c r="G157" s="38">
        <v>1</v>
      </c>
      <c r="H157" s="38">
        <v>1</v>
      </c>
      <c r="J157" s="38">
        <f t="shared" si="18"/>
        <v>88</v>
      </c>
      <c r="K157" s="38" t="str">
        <f t="shared" si="16"/>
        <v>58</v>
      </c>
      <c r="M157" s="42"/>
    </row>
    <row r="158" spans="1:13" ht="12" customHeight="1">
      <c r="A158" s="38">
        <v>5</v>
      </c>
      <c r="B158" s="41"/>
      <c r="C158" s="41"/>
      <c r="E158" s="38">
        <v>1</v>
      </c>
      <c r="F158" s="38">
        <v>1</v>
      </c>
      <c r="H158" s="38">
        <v>1</v>
      </c>
      <c r="J158" s="38">
        <f t="shared" si="18"/>
        <v>104</v>
      </c>
      <c r="K158" s="38" t="str">
        <f t="shared" si="16"/>
        <v>68</v>
      </c>
      <c r="M158" s="42"/>
    </row>
    <row r="159" spans="1:13" ht="12" customHeight="1">
      <c r="A159" s="38">
        <v>6</v>
      </c>
      <c r="B159" s="41"/>
      <c r="C159" s="41"/>
      <c r="E159" s="38">
        <v>1</v>
      </c>
      <c r="H159" s="38">
        <v>1</v>
      </c>
      <c r="J159" s="38">
        <f t="shared" si="18"/>
        <v>72</v>
      </c>
      <c r="K159" s="38" t="str">
        <f t="shared" si="16"/>
        <v>48</v>
      </c>
      <c r="M159" s="42"/>
    </row>
    <row r="160" spans="1:13" ht="12" customHeight="1">
      <c r="A160" s="38">
        <v>7</v>
      </c>
      <c r="B160" s="41"/>
      <c r="C160" s="41"/>
      <c r="E160" s="38">
        <v>1</v>
      </c>
      <c r="H160" s="38">
        <v>1</v>
      </c>
      <c r="J160" s="38">
        <f t="shared" si="18"/>
        <v>72</v>
      </c>
      <c r="K160" s="38" t="str">
        <f t="shared" si="16"/>
        <v>48</v>
      </c>
      <c r="M160" s="42"/>
    </row>
    <row r="161" spans="1:13" ht="12" customHeight="1">
      <c r="A161" s="38">
        <v>8</v>
      </c>
      <c r="B161" s="41"/>
      <c r="C161" s="41"/>
      <c r="E161" s="38">
        <v>1</v>
      </c>
      <c r="H161" s="38">
        <v>1</v>
      </c>
      <c r="J161" s="38">
        <f t="shared" si="18"/>
        <v>72</v>
      </c>
      <c r="K161" s="38" t="str">
        <f t="shared" si="16"/>
        <v>48</v>
      </c>
      <c r="M161" s="42"/>
    </row>
    <row r="162" spans="1:13" ht="12" customHeight="1">
      <c r="A162" s="38">
        <v>9</v>
      </c>
      <c r="B162" s="41"/>
      <c r="C162" s="41"/>
      <c r="J162" s="38">
        <f t="shared" si="18"/>
        <v>0</v>
      </c>
      <c r="K162" s="38" t="str">
        <f t="shared" si="16"/>
        <v>00</v>
      </c>
      <c r="M162" s="42"/>
    </row>
    <row r="163" spans="1:13" ht="12" customHeight="1">
      <c r="A163" s="38">
        <v>10</v>
      </c>
      <c r="B163" s="41"/>
      <c r="C163" s="41"/>
      <c r="J163" s="38">
        <f t="shared" si="18"/>
        <v>0</v>
      </c>
      <c r="K163" s="38" t="str">
        <f t="shared" si="16"/>
        <v>00</v>
      </c>
      <c r="M163" s="42"/>
    </row>
    <row r="164" spans="1:13" ht="12" customHeight="1">
      <c r="A164" s="38">
        <v>1</v>
      </c>
      <c r="B164" s="41">
        <v>73</v>
      </c>
      <c r="C164" s="41" t="s">
        <v>126</v>
      </c>
      <c r="F164" s="38">
        <v>1</v>
      </c>
      <c r="G164" s="38">
        <v>1</v>
      </c>
      <c r="H164" s="38">
        <v>1</v>
      </c>
      <c r="J164" s="38">
        <f t="shared" si="18"/>
        <v>56</v>
      </c>
      <c r="K164" s="38" t="str">
        <f t="shared" si="16"/>
        <v>38</v>
      </c>
      <c r="M164" s="42" t="str">
        <f t="shared" ref="M164" si="21">CONCATENATE("0x",K164,",0x",K165,",0x",K166,",0x",K167,",0x",K168,",0x",K169,",0x",K170,",0x",K171,",0x",K172,",0x",K173,", //",C164)</f>
        <v>0x38,0x10,0x10,0x10,0x10,0x10,0x10,0x38,0x00,0x00, //I</v>
      </c>
    </row>
    <row r="165" spans="1:13" ht="12" customHeight="1">
      <c r="A165" s="38">
        <v>2</v>
      </c>
      <c r="B165" s="41"/>
      <c r="C165" s="41"/>
      <c r="G165" s="38">
        <v>1</v>
      </c>
      <c r="J165" s="38">
        <f t="shared" si="18"/>
        <v>16</v>
      </c>
      <c r="K165" s="38" t="str">
        <f t="shared" si="16"/>
        <v>10</v>
      </c>
      <c r="M165" s="42"/>
    </row>
    <row r="166" spans="1:13" ht="12" customHeight="1">
      <c r="A166" s="38">
        <v>3</v>
      </c>
      <c r="B166" s="41"/>
      <c r="C166" s="41"/>
      <c r="G166" s="38">
        <v>1</v>
      </c>
      <c r="J166" s="38">
        <f t="shared" si="18"/>
        <v>16</v>
      </c>
      <c r="K166" s="38" t="str">
        <f t="shared" si="16"/>
        <v>10</v>
      </c>
      <c r="M166" s="42"/>
    </row>
    <row r="167" spans="1:13" ht="12" customHeight="1">
      <c r="A167" s="38">
        <v>4</v>
      </c>
      <c r="B167" s="41"/>
      <c r="C167" s="41"/>
      <c r="G167" s="38">
        <v>1</v>
      </c>
      <c r="J167" s="38">
        <f t="shared" si="18"/>
        <v>16</v>
      </c>
      <c r="K167" s="38" t="str">
        <f t="shared" si="16"/>
        <v>10</v>
      </c>
      <c r="M167" s="42"/>
    </row>
    <row r="168" spans="1:13" ht="12" customHeight="1">
      <c r="A168" s="38">
        <v>5</v>
      </c>
      <c r="B168" s="41"/>
      <c r="C168" s="41"/>
      <c r="G168" s="38">
        <v>1</v>
      </c>
      <c r="J168" s="38">
        <f t="shared" si="18"/>
        <v>16</v>
      </c>
      <c r="K168" s="38" t="str">
        <f t="shared" si="16"/>
        <v>10</v>
      </c>
      <c r="M168" s="42"/>
    </row>
    <row r="169" spans="1:13" ht="12" customHeight="1">
      <c r="A169" s="38">
        <v>6</v>
      </c>
      <c r="B169" s="41"/>
      <c r="C169" s="41"/>
      <c r="G169" s="38">
        <v>1</v>
      </c>
      <c r="J169" s="38">
        <f t="shared" si="18"/>
        <v>16</v>
      </c>
      <c r="K169" s="38" t="str">
        <f t="shared" si="16"/>
        <v>10</v>
      </c>
      <c r="M169" s="42"/>
    </row>
    <row r="170" spans="1:13" ht="12" customHeight="1">
      <c r="A170" s="38">
        <v>7</v>
      </c>
      <c r="B170" s="41"/>
      <c r="C170" s="41"/>
      <c r="G170" s="38">
        <v>1</v>
      </c>
      <c r="J170" s="38">
        <f t="shared" si="18"/>
        <v>16</v>
      </c>
      <c r="K170" s="38" t="str">
        <f t="shared" si="16"/>
        <v>10</v>
      </c>
      <c r="M170" s="42"/>
    </row>
    <row r="171" spans="1:13" ht="12" customHeight="1">
      <c r="A171" s="38">
        <v>8</v>
      </c>
      <c r="B171" s="41"/>
      <c r="C171" s="41"/>
      <c r="F171" s="38">
        <v>1</v>
      </c>
      <c r="G171" s="38">
        <v>1</v>
      </c>
      <c r="H171" s="38">
        <v>1</v>
      </c>
      <c r="J171" s="38">
        <f t="shared" si="18"/>
        <v>56</v>
      </c>
      <c r="K171" s="38" t="str">
        <f t="shared" si="16"/>
        <v>38</v>
      </c>
      <c r="M171" s="42"/>
    </row>
    <row r="172" spans="1:13" ht="12" customHeight="1">
      <c r="A172" s="38">
        <v>9</v>
      </c>
      <c r="B172" s="41"/>
      <c r="C172" s="41"/>
      <c r="J172" s="38">
        <f t="shared" si="18"/>
        <v>0</v>
      </c>
      <c r="K172" s="38" t="str">
        <f t="shared" si="16"/>
        <v>00</v>
      </c>
      <c r="M172" s="42"/>
    </row>
    <row r="173" spans="1:13" ht="12" customHeight="1">
      <c r="A173" s="38">
        <v>10</v>
      </c>
      <c r="B173" s="41"/>
      <c r="C173" s="41"/>
      <c r="J173" s="38">
        <f t="shared" si="18"/>
        <v>0</v>
      </c>
      <c r="K173" s="38" t="str">
        <f t="shared" si="16"/>
        <v>00</v>
      </c>
      <c r="M173" s="42"/>
    </row>
    <row r="174" spans="1:13" ht="12" customHeight="1">
      <c r="A174" s="38">
        <v>1</v>
      </c>
      <c r="B174" s="41">
        <v>105</v>
      </c>
      <c r="C174" s="41" t="s">
        <v>157</v>
      </c>
      <c r="J174" s="38">
        <f t="shared" si="18"/>
        <v>0</v>
      </c>
      <c r="K174" s="38" t="str">
        <f t="shared" si="16"/>
        <v>00</v>
      </c>
      <c r="M174" s="42" t="str">
        <f t="shared" ref="M174" si="22">CONCATENATE("0x",K174,",0x",K175,",0x",K176,",0x",K177,",0x",K178,",0x",K179,",0x",K180,",0x",K181,",0x",K182,",0x",K183,", //",C174)</f>
        <v>0x00,0x08,0x00,0x08,0x08,0x08,0x08,0x08,0x00,0x00, //i</v>
      </c>
    </row>
    <row r="175" spans="1:13" ht="12" customHeight="1">
      <c r="A175" s="38">
        <v>2</v>
      </c>
      <c r="B175" s="41"/>
      <c r="C175" s="41"/>
      <c r="H175" s="38">
        <v>1</v>
      </c>
      <c r="J175" s="38">
        <f t="shared" si="18"/>
        <v>8</v>
      </c>
      <c r="K175" s="38" t="str">
        <f t="shared" si="16"/>
        <v>08</v>
      </c>
      <c r="M175" s="42"/>
    </row>
    <row r="176" spans="1:13" ht="12" customHeight="1">
      <c r="A176" s="38">
        <v>3</v>
      </c>
      <c r="B176" s="41"/>
      <c r="C176" s="41"/>
      <c r="J176" s="38">
        <f t="shared" si="18"/>
        <v>0</v>
      </c>
      <c r="K176" s="38" t="str">
        <f t="shared" si="16"/>
        <v>00</v>
      </c>
      <c r="M176" s="42"/>
    </row>
    <row r="177" spans="1:13" ht="12" customHeight="1">
      <c r="A177" s="38">
        <v>4</v>
      </c>
      <c r="B177" s="41"/>
      <c r="C177" s="41"/>
      <c r="H177" s="38">
        <v>1</v>
      </c>
      <c r="J177" s="38">
        <f t="shared" si="18"/>
        <v>8</v>
      </c>
      <c r="K177" s="38" t="str">
        <f t="shared" si="16"/>
        <v>08</v>
      </c>
      <c r="M177" s="42"/>
    </row>
    <row r="178" spans="1:13" ht="12" customHeight="1">
      <c r="A178" s="38">
        <v>5</v>
      </c>
      <c r="B178" s="41"/>
      <c r="C178" s="41"/>
      <c r="H178" s="38">
        <v>1</v>
      </c>
      <c r="J178" s="38">
        <f t="shared" si="18"/>
        <v>8</v>
      </c>
      <c r="K178" s="38" t="str">
        <f t="shared" si="16"/>
        <v>08</v>
      </c>
      <c r="M178" s="42"/>
    </row>
    <row r="179" spans="1:13" ht="12" customHeight="1">
      <c r="A179" s="38">
        <v>6</v>
      </c>
      <c r="B179" s="41"/>
      <c r="C179" s="41"/>
      <c r="H179" s="38">
        <v>1</v>
      </c>
      <c r="J179" s="38">
        <f t="shared" si="18"/>
        <v>8</v>
      </c>
      <c r="K179" s="38" t="str">
        <f t="shared" si="16"/>
        <v>08</v>
      </c>
      <c r="M179" s="42"/>
    </row>
    <row r="180" spans="1:13" ht="12" customHeight="1">
      <c r="A180" s="38">
        <v>7</v>
      </c>
      <c r="B180" s="41"/>
      <c r="C180" s="41"/>
      <c r="H180" s="38">
        <v>1</v>
      </c>
      <c r="J180" s="38">
        <f t="shared" si="18"/>
        <v>8</v>
      </c>
      <c r="K180" s="38" t="str">
        <f t="shared" si="16"/>
        <v>08</v>
      </c>
      <c r="M180" s="42"/>
    </row>
    <row r="181" spans="1:13" ht="12" customHeight="1">
      <c r="A181" s="38">
        <v>8</v>
      </c>
      <c r="B181" s="41"/>
      <c r="C181" s="41"/>
      <c r="H181" s="38">
        <v>1</v>
      </c>
      <c r="J181" s="38">
        <f t="shared" si="18"/>
        <v>8</v>
      </c>
      <c r="K181" s="38" t="str">
        <f t="shared" si="16"/>
        <v>08</v>
      </c>
      <c r="M181" s="42"/>
    </row>
    <row r="182" spans="1:13" ht="12" customHeight="1">
      <c r="A182" s="38">
        <v>9</v>
      </c>
      <c r="B182" s="41"/>
      <c r="C182" s="41"/>
      <c r="J182" s="38">
        <f t="shared" si="18"/>
        <v>0</v>
      </c>
      <c r="K182" s="38" t="str">
        <f t="shared" si="16"/>
        <v>00</v>
      </c>
      <c r="M182" s="42"/>
    </row>
    <row r="183" spans="1:13" ht="12" customHeight="1">
      <c r="A183" s="38">
        <v>10</v>
      </c>
      <c r="B183" s="41"/>
      <c r="C183" s="41"/>
      <c r="J183" s="38">
        <f t="shared" si="18"/>
        <v>0</v>
      </c>
      <c r="K183" s="38" t="str">
        <f t="shared" si="16"/>
        <v>00</v>
      </c>
      <c r="M183" s="42"/>
    </row>
    <row r="184" spans="1:13" ht="12" customHeight="1">
      <c r="A184" s="38">
        <v>1</v>
      </c>
      <c r="B184" s="41">
        <v>74</v>
      </c>
      <c r="C184" s="41" t="s">
        <v>127</v>
      </c>
      <c r="D184" s="38">
        <v>1</v>
      </c>
      <c r="E184" s="38">
        <v>1</v>
      </c>
      <c r="F184" s="38">
        <v>1</v>
      </c>
      <c r="G184" s="38">
        <v>1</v>
      </c>
      <c r="H184" s="38">
        <v>1</v>
      </c>
      <c r="J184" s="38">
        <f t="shared" si="18"/>
        <v>248</v>
      </c>
      <c r="K184" s="38" t="str">
        <f t="shared" si="16"/>
        <v>F8</v>
      </c>
      <c r="M184" s="42" t="str">
        <f t="shared" ref="M184" si="23">CONCATENATE("0x",K184,",0x",K185,",0x",K186,",0x",K187,",0x",K188,",0x",K189,",0x",K190,",0x",K191,",0x",K192,",0x",K193,", //",C184)</f>
        <v>0xF8,0x08,0x08,0x08,0x08,0x88,0x88,0x70,0x00,0x00, //J</v>
      </c>
    </row>
    <row r="185" spans="1:13" ht="12" customHeight="1">
      <c r="A185" s="38">
        <v>2</v>
      </c>
      <c r="B185" s="41"/>
      <c r="C185" s="41"/>
      <c r="H185" s="38">
        <v>1</v>
      </c>
      <c r="J185" s="38">
        <f t="shared" si="18"/>
        <v>8</v>
      </c>
      <c r="K185" s="38" t="str">
        <f t="shared" si="16"/>
        <v>08</v>
      </c>
      <c r="M185" s="42"/>
    </row>
    <row r="186" spans="1:13" ht="12" customHeight="1">
      <c r="A186" s="38">
        <v>3</v>
      </c>
      <c r="B186" s="41"/>
      <c r="C186" s="41"/>
      <c r="H186" s="38">
        <v>1</v>
      </c>
      <c r="J186" s="38">
        <f t="shared" si="18"/>
        <v>8</v>
      </c>
      <c r="K186" s="38" t="str">
        <f t="shared" si="16"/>
        <v>08</v>
      </c>
      <c r="M186" s="42"/>
    </row>
    <row r="187" spans="1:13" ht="12" customHeight="1">
      <c r="A187" s="38">
        <v>4</v>
      </c>
      <c r="B187" s="41"/>
      <c r="C187" s="41"/>
      <c r="H187" s="38">
        <v>1</v>
      </c>
      <c r="J187" s="38">
        <f t="shared" si="18"/>
        <v>8</v>
      </c>
      <c r="K187" s="38" t="str">
        <f t="shared" si="16"/>
        <v>08</v>
      </c>
      <c r="M187" s="42"/>
    </row>
    <row r="188" spans="1:13" ht="12" customHeight="1">
      <c r="A188" s="38">
        <v>5</v>
      </c>
      <c r="B188" s="41"/>
      <c r="C188" s="41"/>
      <c r="H188" s="38">
        <v>1</v>
      </c>
      <c r="J188" s="38">
        <f t="shared" si="18"/>
        <v>8</v>
      </c>
      <c r="K188" s="38" t="str">
        <f t="shared" si="16"/>
        <v>08</v>
      </c>
      <c r="M188" s="42"/>
    </row>
    <row r="189" spans="1:13" ht="12" customHeight="1">
      <c r="A189" s="38">
        <v>6</v>
      </c>
      <c r="B189" s="41"/>
      <c r="C189" s="41"/>
      <c r="D189" s="38">
        <v>1</v>
      </c>
      <c r="H189" s="38">
        <v>1</v>
      </c>
      <c r="J189" s="38">
        <f t="shared" si="18"/>
        <v>136</v>
      </c>
      <c r="K189" s="38" t="str">
        <f t="shared" si="16"/>
        <v>88</v>
      </c>
      <c r="M189" s="42"/>
    </row>
    <row r="190" spans="1:13" ht="12" customHeight="1">
      <c r="A190" s="38">
        <v>7</v>
      </c>
      <c r="B190" s="41"/>
      <c r="C190" s="41"/>
      <c r="D190" s="38">
        <v>1</v>
      </c>
      <c r="H190" s="38">
        <v>1</v>
      </c>
      <c r="J190" s="38">
        <f t="shared" si="18"/>
        <v>136</v>
      </c>
      <c r="K190" s="38" t="str">
        <f t="shared" si="16"/>
        <v>88</v>
      </c>
      <c r="M190" s="42"/>
    </row>
    <row r="191" spans="1:13" ht="12" customHeight="1">
      <c r="A191" s="38">
        <v>8</v>
      </c>
      <c r="B191" s="41"/>
      <c r="C191" s="41"/>
      <c r="E191" s="38">
        <v>1</v>
      </c>
      <c r="F191" s="38">
        <v>1</v>
      </c>
      <c r="G191" s="38">
        <v>1</v>
      </c>
      <c r="J191" s="38">
        <f t="shared" si="18"/>
        <v>112</v>
      </c>
      <c r="K191" s="38" t="str">
        <f t="shared" si="16"/>
        <v>70</v>
      </c>
      <c r="M191" s="42"/>
    </row>
    <row r="192" spans="1:13" ht="12" customHeight="1">
      <c r="A192" s="38">
        <v>9</v>
      </c>
      <c r="B192" s="41"/>
      <c r="C192" s="41"/>
      <c r="J192" s="38">
        <f t="shared" si="18"/>
        <v>0</v>
      </c>
      <c r="K192" s="38" t="str">
        <f t="shared" si="16"/>
        <v>00</v>
      </c>
      <c r="M192" s="42"/>
    </row>
    <row r="193" spans="1:13" ht="12" customHeight="1">
      <c r="A193" s="38">
        <v>10</v>
      </c>
      <c r="B193" s="41"/>
      <c r="C193" s="41"/>
      <c r="J193" s="38">
        <f t="shared" si="18"/>
        <v>0</v>
      </c>
      <c r="K193" s="38" t="str">
        <f t="shared" si="16"/>
        <v>00</v>
      </c>
      <c r="M193" s="42"/>
    </row>
    <row r="194" spans="1:13" ht="12" customHeight="1">
      <c r="A194" s="38">
        <v>1</v>
      </c>
      <c r="B194" s="41">
        <v>106</v>
      </c>
      <c r="C194" s="41" t="s">
        <v>158</v>
      </c>
      <c r="J194" s="38">
        <f t="shared" si="18"/>
        <v>0</v>
      </c>
      <c r="K194" s="38" t="str">
        <f t="shared" si="16"/>
        <v>00</v>
      </c>
      <c r="M194" s="42" t="str">
        <f t="shared" ref="M194" si="24">CONCATENATE("0x",K194,",0x",K195,",0x",K196,",0x",K197,",0x",K198,",0x",K199,",0x",K200,",0x",K201,",0x",K202,",0x",K203,", //",C194)</f>
        <v>0x00,0x08,0x00,0x08,0x08,0x08,0x08,0x08,0x48,0x30, //j</v>
      </c>
    </row>
    <row r="195" spans="1:13" ht="12" customHeight="1">
      <c r="A195" s="38">
        <v>2</v>
      </c>
      <c r="B195" s="41"/>
      <c r="C195" s="41"/>
      <c r="H195" s="38">
        <v>1</v>
      </c>
      <c r="J195" s="38">
        <f t="shared" si="18"/>
        <v>8</v>
      </c>
      <c r="K195" s="38" t="str">
        <f t="shared" si="16"/>
        <v>08</v>
      </c>
      <c r="M195" s="42"/>
    </row>
    <row r="196" spans="1:13" ht="12" customHeight="1">
      <c r="A196" s="38">
        <v>3</v>
      </c>
      <c r="B196" s="41"/>
      <c r="C196" s="41"/>
      <c r="J196" s="38">
        <f t="shared" si="18"/>
        <v>0</v>
      </c>
      <c r="K196" s="38" t="str">
        <f t="shared" si="16"/>
        <v>00</v>
      </c>
      <c r="M196" s="42"/>
    </row>
    <row r="197" spans="1:13" ht="12" customHeight="1">
      <c r="A197" s="38">
        <v>4</v>
      </c>
      <c r="B197" s="41"/>
      <c r="C197" s="41"/>
      <c r="H197" s="38">
        <v>1</v>
      </c>
      <c r="J197" s="38">
        <f t="shared" si="18"/>
        <v>8</v>
      </c>
      <c r="K197" s="38" t="str">
        <f t="shared" ref="K197:K260" si="25">DEC2HEX(J197,2)</f>
        <v>08</v>
      </c>
      <c r="M197" s="42"/>
    </row>
    <row r="198" spans="1:13" ht="12" customHeight="1">
      <c r="A198" s="38">
        <v>5</v>
      </c>
      <c r="B198" s="41"/>
      <c r="C198" s="41"/>
      <c r="H198" s="38">
        <v>1</v>
      </c>
      <c r="J198" s="38">
        <f t="shared" si="18"/>
        <v>8</v>
      </c>
      <c r="K198" s="38" t="str">
        <f t="shared" si="25"/>
        <v>08</v>
      </c>
      <c r="M198" s="42"/>
    </row>
    <row r="199" spans="1:13" ht="12" customHeight="1">
      <c r="A199" s="38">
        <v>6</v>
      </c>
      <c r="B199" s="41"/>
      <c r="C199" s="41"/>
      <c r="H199" s="38">
        <v>1</v>
      </c>
      <c r="J199" s="38">
        <f t="shared" ref="J199:J266" si="26">D199*D$2+E199*E$2+F199*F$2+G199*G$2+H199*H$2</f>
        <v>8</v>
      </c>
      <c r="K199" s="38" t="str">
        <f t="shared" si="25"/>
        <v>08</v>
      </c>
      <c r="M199" s="42"/>
    </row>
    <row r="200" spans="1:13" ht="12" customHeight="1">
      <c r="A200" s="38">
        <v>7</v>
      </c>
      <c r="B200" s="41"/>
      <c r="C200" s="41"/>
      <c r="H200" s="38">
        <v>1</v>
      </c>
      <c r="J200" s="38">
        <f t="shared" si="26"/>
        <v>8</v>
      </c>
      <c r="K200" s="38" t="str">
        <f t="shared" si="25"/>
        <v>08</v>
      </c>
      <c r="M200" s="42"/>
    </row>
    <row r="201" spans="1:13" ht="12" customHeight="1">
      <c r="A201" s="38">
        <v>8</v>
      </c>
      <c r="B201" s="41"/>
      <c r="C201" s="41"/>
      <c r="H201" s="38">
        <v>1</v>
      </c>
      <c r="J201" s="38">
        <f t="shared" si="26"/>
        <v>8</v>
      </c>
      <c r="K201" s="38" t="str">
        <f t="shared" si="25"/>
        <v>08</v>
      </c>
      <c r="M201" s="42"/>
    </row>
    <row r="202" spans="1:13" ht="12" customHeight="1">
      <c r="A202" s="38">
        <v>9</v>
      </c>
      <c r="B202" s="41"/>
      <c r="C202" s="41"/>
      <c r="E202" s="38">
        <v>1</v>
      </c>
      <c r="H202" s="38">
        <v>1</v>
      </c>
      <c r="J202" s="38">
        <f t="shared" si="26"/>
        <v>72</v>
      </c>
      <c r="K202" s="38" t="str">
        <f t="shared" si="25"/>
        <v>48</v>
      </c>
      <c r="M202" s="42"/>
    </row>
    <row r="203" spans="1:13" ht="12" customHeight="1">
      <c r="A203" s="38">
        <v>10</v>
      </c>
      <c r="B203" s="41"/>
      <c r="C203" s="41"/>
      <c r="F203" s="38">
        <v>1</v>
      </c>
      <c r="G203" s="38">
        <v>1</v>
      </c>
      <c r="J203" s="38">
        <f t="shared" si="26"/>
        <v>48</v>
      </c>
      <c r="K203" s="38" t="str">
        <f t="shared" si="25"/>
        <v>30</v>
      </c>
      <c r="M203" s="42"/>
    </row>
    <row r="204" spans="1:13" ht="12" customHeight="1">
      <c r="A204" s="38">
        <v>1</v>
      </c>
      <c r="B204" s="41">
        <v>75</v>
      </c>
      <c r="C204" s="41" t="s">
        <v>128</v>
      </c>
      <c r="D204" s="38">
        <v>1</v>
      </c>
      <c r="H204" s="38">
        <v>1</v>
      </c>
      <c r="J204" s="38">
        <f t="shared" si="26"/>
        <v>136</v>
      </c>
      <c r="K204" s="38" t="str">
        <f t="shared" si="25"/>
        <v>88</v>
      </c>
      <c r="M204" s="42" t="str">
        <f t="shared" ref="M204" si="27">CONCATENATE("0x",K204,",0x",K205,",0x",K206,",0x",K207,",0x",K208,",0x",K209,",0x",K210,",0x",K211,",0x",K212,",0x",K213,", //",C204)</f>
        <v>0x88,0x90,0xA0,0xC0,0xC0,0xA0,0x90,0x88,0x00,0x00, //K</v>
      </c>
    </row>
    <row r="205" spans="1:13" ht="12" customHeight="1">
      <c r="A205" s="38">
        <v>2</v>
      </c>
      <c r="B205" s="41"/>
      <c r="C205" s="41"/>
      <c r="D205" s="38">
        <v>1</v>
      </c>
      <c r="G205" s="38">
        <v>1</v>
      </c>
      <c r="J205" s="38">
        <f t="shared" si="26"/>
        <v>144</v>
      </c>
      <c r="K205" s="38" t="str">
        <f t="shared" si="25"/>
        <v>90</v>
      </c>
      <c r="M205" s="42"/>
    </row>
    <row r="206" spans="1:13" ht="12" customHeight="1">
      <c r="A206" s="38">
        <v>3</v>
      </c>
      <c r="B206" s="41"/>
      <c r="C206" s="41"/>
      <c r="D206" s="38">
        <v>1</v>
      </c>
      <c r="F206" s="38">
        <v>1</v>
      </c>
      <c r="J206" s="38">
        <f t="shared" si="26"/>
        <v>160</v>
      </c>
      <c r="K206" s="38" t="str">
        <f t="shared" si="25"/>
        <v>A0</v>
      </c>
      <c r="M206" s="42"/>
    </row>
    <row r="207" spans="1:13" ht="12" customHeight="1">
      <c r="A207" s="38">
        <v>4</v>
      </c>
      <c r="B207" s="41"/>
      <c r="C207" s="41"/>
      <c r="D207" s="38">
        <v>1</v>
      </c>
      <c r="E207" s="38">
        <v>1</v>
      </c>
      <c r="J207" s="38">
        <f t="shared" si="26"/>
        <v>192</v>
      </c>
      <c r="K207" s="38" t="str">
        <f t="shared" si="25"/>
        <v>C0</v>
      </c>
      <c r="M207" s="42"/>
    </row>
    <row r="208" spans="1:13" ht="12" customHeight="1">
      <c r="A208" s="38">
        <v>5</v>
      </c>
      <c r="B208" s="41"/>
      <c r="C208" s="41"/>
      <c r="D208" s="38">
        <v>1</v>
      </c>
      <c r="E208" s="38">
        <v>1</v>
      </c>
      <c r="J208" s="38">
        <f t="shared" si="26"/>
        <v>192</v>
      </c>
      <c r="K208" s="38" t="str">
        <f t="shared" si="25"/>
        <v>C0</v>
      </c>
      <c r="M208" s="42"/>
    </row>
    <row r="209" spans="1:13" ht="12" customHeight="1">
      <c r="A209" s="38">
        <v>6</v>
      </c>
      <c r="B209" s="41"/>
      <c r="C209" s="41"/>
      <c r="D209" s="38">
        <v>1</v>
      </c>
      <c r="F209" s="38">
        <v>1</v>
      </c>
      <c r="J209" s="38">
        <f t="shared" si="26"/>
        <v>160</v>
      </c>
      <c r="K209" s="38" t="str">
        <f t="shared" si="25"/>
        <v>A0</v>
      </c>
      <c r="M209" s="42"/>
    </row>
    <row r="210" spans="1:13" ht="12" customHeight="1">
      <c r="A210" s="38">
        <v>7</v>
      </c>
      <c r="B210" s="41"/>
      <c r="C210" s="41"/>
      <c r="D210" s="38">
        <v>1</v>
      </c>
      <c r="G210" s="38">
        <v>1</v>
      </c>
      <c r="J210" s="38">
        <f t="shared" si="26"/>
        <v>144</v>
      </c>
      <c r="K210" s="38" t="str">
        <f t="shared" si="25"/>
        <v>90</v>
      </c>
      <c r="M210" s="42"/>
    </row>
    <row r="211" spans="1:13" ht="12" customHeight="1">
      <c r="A211" s="38">
        <v>8</v>
      </c>
      <c r="B211" s="41"/>
      <c r="C211" s="41"/>
      <c r="D211" s="38">
        <v>1</v>
      </c>
      <c r="H211" s="38">
        <v>1</v>
      </c>
      <c r="J211" s="38">
        <f t="shared" si="26"/>
        <v>136</v>
      </c>
      <c r="K211" s="38" t="str">
        <f t="shared" si="25"/>
        <v>88</v>
      </c>
      <c r="M211" s="42"/>
    </row>
    <row r="212" spans="1:13" ht="12" customHeight="1">
      <c r="A212" s="38">
        <v>9</v>
      </c>
      <c r="B212" s="41"/>
      <c r="C212" s="41"/>
      <c r="J212" s="38">
        <f t="shared" si="26"/>
        <v>0</v>
      </c>
      <c r="K212" s="38" t="str">
        <f t="shared" si="25"/>
        <v>00</v>
      </c>
      <c r="M212" s="42"/>
    </row>
    <row r="213" spans="1:13" ht="12" customHeight="1">
      <c r="A213" s="38">
        <v>10</v>
      </c>
      <c r="B213" s="41"/>
      <c r="C213" s="41"/>
      <c r="J213" s="38">
        <f t="shared" si="26"/>
        <v>0</v>
      </c>
      <c r="K213" s="38" t="str">
        <f t="shared" si="25"/>
        <v>00</v>
      </c>
      <c r="M213" s="42"/>
    </row>
    <row r="214" spans="1:13" ht="12" customHeight="1">
      <c r="A214" s="38">
        <v>1</v>
      </c>
      <c r="B214" s="41">
        <v>107</v>
      </c>
      <c r="C214" s="41" t="s">
        <v>159</v>
      </c>
      <c r="J214" s="38">
        <f t="shared" si="26"/>
        <v>0</v>
      </c>
      <c r="K214" s="38" t="str">
        <f t="shared" si="25"/>
        <v>00</v>
      </c>
      <c r="M214" s="42" t="str">
        <f t="shared" ref="M214" si="28">CONCATENATE("0x",K214,",0x",K215,",0x",K216,",0x",K217,",0x",K218,",0x",K219,",0x",K220,",0x",K221,",0x",K222,",0x",K223,", //",C214)</f>
        <v>0x00,0x40,0x40,0x48,0x50,0x60,0x50,0x48,0x00,0x00, //k</v>
      </c>
    </row>
    <row r="215" spans="1:13" ht="12" customHeight="1">
      <c r="A215" s="38">
        <v>2</v>
      </c>
      <c r="B215" s="41"/>
      <c r="C215" s="41"/>
      <c r="E215" s="38">
        <v>1</v>
      </c>
      <c r="J215" s="38">
        <f t="shared" si="26"/>
        <v>64</v>
      </c>
      <c r="K215" s="38" t="str">
        <f t="shared" si="25"/>
        <v>40</v>
      </c>
      <c r="M215" s="42"/>
    </row>
    <row r="216" spans="1:13" ht="12" customHeight="1">
      <c r="A216" s="38">
        <v>3</v>
      </c>
      <c r="B216" s="41"/>
      <c r="C216" s="41"/>
      <c r="E216" s="38">
        <v>1</v>
      </c>
      <c r="J216" s="38">
        <f t="shared" si="26"/>
        <v>64</v>
      </c>
      <c r="K216" s="38" t="str">
        <f t="shared" si="25"/>
        <v>40</v>
      </c>
      <c r="M216" s="42"/>
    </row>
    <row r="217" spans="1:13" ht="12" customHeight="1">
      <c r="A217" s="38">
        <v>4</v>
      </c>
      <c r="B217" s="41"/>
      <c r="C217" s="41"/>
      <c r="E217" s="38">
        <v>1</v>
      </c>
      <c r="H217" s="38">
        <v>1</v>
      </c>
      <c r="J217" s="38">
        <f t="shared" si="26"/>
        <v>72</v>
      </c>
      <c r="K217" s="38" t="str">
        <f t="shared" si="25"/>
        <v>48</v>
      </c>
      <c r="M217" s="42"/>
    </row>
    <row r="218" spans="1:13" ht="12" customHeight="1">
      <c r="A218" s="38">
        <v>5</v>
      </c>
      <c r="B218" s="41"/>
      <c r="C218" s="41"/>
      <c r="E218" s="38">
        <v>1</v>
      </c>
      <c r="G218" s="38">
        <v>1</v>
      </c>
      <c r="J218" s="38">
        <f t="shared" si="26"/>
        <v>80</v>
      </c>
      <c r="K218" s="38" t="str">
        <f t="shared" si="25"/>
        <v>50</v>
      </c>
      <c r="M218" s="42"/>
    </row>
    <row r="219" spans="1:13" ht="12" customHeight="1">
      <c r="A219" s="38">
        <v>6</v>
      </c>
      <c r="B219" s="41"/>
      <c r="C219" s="41"/>
      <c r="E219" s="38">
        <v>1</v>
      </c>
      <c r="F219" s="38">
        <v>1</v>
      </c>
      <c r="J219" s="38">
        <f t="shared" si="26"/>
        <v>96</v>
      </c>
      <c r="K219" s="38" t="str">
        <f t="shared" si="25"/>
        <v>60</v>
      </c>
      <c r="M219" s="42"/>
    </row>
    <row r="220" spans="1:13" ht="12" customHeight="1">
      <c r="A220" s="38">
        <v>7</v>
      </c>
      <c r="B220" s="41"/>
      <c r="C220" s="41"/>
      <c r="E220" s="38">
        <v>1</v>
      </c>
      <c r="G220" s="38">
        <v>1</v>
      </c>
      <c r="J220" s="38">
        <f t="shared" si="26"/>
        <v>80</v>
      </c>
      <c r="K220" s="38" t="str">
        <f t="shared" si="25"/>
        <v>50</v>
      </c>
      <c r="M220" s="42"/>
    </row>
    <row r="221" spans="1:13" ht="12" customHeight="1">
      <c r="A221" s="38">
        <v>8</v>
      </c>
      <c r="B221" s="41"/>
      <c r="C221" s="41"/>
      <c r="E221" s="38">
        <v>1</v>
      </c>
      <c r="H221" s="38">
        <v>1</v>
      </c>
      <c r="J221" s="38">
        <f t="shared" si="26"/>
        <v>72</v>
      </c>
      <c r="K221" s="38" t="str">
        <f t="shared" si="25"/>
        <v>48</v>
      </c>
      <c r="M221" s="42"/>
    </row>
    <row r="222" spans="1:13" ht="12" customHeight="1">
      <c r="A222" s="38">
        <v>9</v>
      </c>
      <c r="B222" s="41"/>
      <c r="C222" s="41"/>
      <c r="J222" s="38">
        <f t="shared" si="26"/>
        <v>0</v>
      </c>
      <c r="K222" s="38" t="str">
        <f t="shared" si="25"/>
        <v>00</v>
      </c>
      <c r="M222" s="42"/>
    </row>
    <row r="223" spans="1:13" ht="12" customHeight="1">
      <c r="A223" s="38">
        <v>10</v>
      </c>
      <c r="B223" s="41"/>
      <c r="C223" s="41"/>
      <c r="J223" s="38">
        <f t="shared" si="26"/>
        <v>0</v>
      </c>
      <c r="K223" s="38" t="str">
        <f t="shared" si="25"/>
        <v>00</v>
      </c>
      <c r="M223" s="42"/>
    </row>
    <row r="224" spans="1:13" ht="12" customHeight="1">
      <c r="A224" s="38">
        <v>1</v>
      </c>
      <c r="B224" s="41">
        <v>76</v>
      </c>
      <c r="C224" s="41" t="s">
        <v>129</v>
      </c>
      <c r="D224" s="38">
        <v>1</v>
      </c>
      <c r="J224" s="38">
        <f t="shared" si="26"/>
        <v>128</v>
      </c>
      <c r="K224" s="38" t="str">
        <f t="shared" si="25"/>
        <v>80</v>
      </c>
      <c r="M224" s="42" t="str">
        <f t="shared" ref="M224" si="29">CONCATENATE("0x",K224,",0x",K225,",0x",K226,",0x",K227,",0x",K228,",0x",K229,",0x",K230,",0x",K231,",0x",K232,",0x",K233,", //",C224)</f>
        <v>0x80,0x80,0x80,0x80,0x80,0x80,0x80,0xF8,0x00,0x00, //L</v>
      </c>
    </row>
    <row r="225" spans="1:13" ht="12" customHeight="1">
      <c r="A225" s="38">
        <v>2</v>
      </c>
      <c r="B225" s="41"/>
      <c r="C225" s="41"/>
      <c r="D225" s="38">
        <v>1</v>
      </c>
      <c r="J225" s="38">
        <f t="shared" si="26"/>
        <v>128</v>
      </c>
      <c r="K225" s="38" t="str">
        <f t="shared" si="25"/>
        <v>80</v>
      </c>
      <c r="M225" s="42"/>
    </row>
    <row r="226" spans="1:13" ht="12" customHeight="1">
      <c r="A226" s="38">
        <v>3</v>
      </c>
      <c r="B226" s="41"/>
      <c r="C226" s="41"/>
      <c r="D226" s="38">
        <v>1</v>
      </c>
      <c r="J226" s="38">
        <f t="shared" si="26"/>
        <v>128</v>
      </c>
      <c r="K226" s="38" t="str">
        <f t="shared" si="25"/>
        <v>80</v>
      </c>
      <c r="M226" s="42"/>
    </row>
    <row r="227" spans="1:13" ht="12" customHeight="1">
      <c r="A227" s="38">
        <v>4</v>
      </c>
      <c r="B227" s="41"/>
      <c r="C227" s="41"/>
      <c r="D227" s="38">
        <v>1</v>
      </c>
      <c r="J227" s="38">
        <f t="shared" si="26"/>
        <v>128</v>
      </c>
      <c r="K227" s="38" t="str">
        <f t="shared" si="25"/>
        <v>80</v>
      </c>
      <c r="M227" s="42"/>
    </row>
    <row r="228" spans="1:13" ht="12" customHeight="1">
      <c r="A228" s="38">
        <v>5</v>
      </c>
      <c r="B228" s="41"/>
      <c r="C228" s="41"/>
      <c r="D228" s="38">
        <v>1</v>
      </c>
      <c r="J228" s="38">
        <f t="shared" si="26"/>
        <v>128</v>
      </c>
      <c r="K228" s="38" t="str">
        <f t="shared" si="25"/>
        <v>80</v>
      </c>
      <c r="M228" s="42"/>
    </row>
    <row r="229" spans="1:13" ht="12" customHeight="1">
      <c r="A229" s="38">
        <v>6</v>
      </c>
      <c r="B229" s="41"/>
      <c r="C229" s="41"/>
      <c r="D229" s="38">
        <v>1</v>
      </c>
      <c r="J229" s="38">
        <f t="shared" si="26"/>
        <v>128</v>
      </c>
      <c r="K229" s="38" t="str">
        <f t="shared" si="25"/>
        <v>80</v>
      </c>
      <c r="M229" s="42"/>
    </row>
    <row r="230" spans="1:13" ht="12" customHeight="1">
      <c r="A230" s="38">
        <v>7</v>
      </c>
      <c r="B230" s="41"/>
      <c r="C230" s="41"/>
      <c r="D230" s="38">
        <v>1</v>
      </c>
      <c r="J230" s="38">
        <f t="shared" si="26"/>
        <v>128</v>
      </c>
      <c r="K230" s="38" t="str">
        <f t="shared" si="25"/>
        <v>80</v>
      </c>
      <c r="M230" s="42"/>
    </row>
    <row r="231" spans="1:13" ht="12" customHeight="1">
      <c r="A231" s="38">
        <v>8</v>
      </c>
      <c r="B231" s="41"/>
      <c r="C231" s="41"/>
      <c r="D231" s="38">
        <v>1</v>
      </c>
      <c r="E231" s="38">
        <v>1</v>
      </c>
      <c r="F231" s="38">
        <v>1</v>
      </c>
      <c r="G231" s="38">
        <v>1</v>
      </c>
      <c r="H231" s="38">
        <v>1</v>
      </c>
      <c r="J231" s="38">
        <f t="shared" si="26"/>
        <v>248</v>
      </c>
      <c r="K231" s="38" t="str">
        <f t="shared" si="25"/>
        <v>F8</v>
      </c>
      <c r="M231" s="42"/>
    </row>
    <row r="232" spans="1:13" ht="12" customHeight="1">
      <c r="A232" s="38">
        <v>9</v>
      </c>
      <c r="B232" s="41"/>
      <c r="C232" s="41"/>
      <c r="J232" s="38">
        <f t="shared" si="26"/>
        <v>0</v>
      </c>
      <c r="K232" s="38" t="str">
        <f t="shared" si="25"/>
        <v>00</v>
      </c>
      <c r="M232" s="42"/>
    </row>
    <row r="233" spans="1:13" ht="12" customHeight="1">
      <c r="A233" s="38">
        <v>10</v>
      </c>
      <c r="B233" s="41"/>
      <c r="C233" s="41"/>
      <c r="J233" s="38">
        <f t="shared" si="26"/>
        <v>0</v>
      </c>
      <c r="K233" s="38" t="str">
        <f t="shared" si="25"/>
        <v>00</v>
      </c>
      <c r="M233" s="42"/>
    </row>
    <row r="234" spans="1:13" ht="12" customHeight="1">
      <c r="A234" s="38">
        <v>1</v>
      </c>
      <c r="B234" s="41"/>
      <c r="C234" s="41"/>
      <c r="J234" s="38">
        <f t="shared" si="26"/>
        <v>0</v>
      </c>
      <c r="K234" s="38" t="str">
        <f t="shared" si="25"/>
        <v>00</v>
      </c>
      <c r="M234" s="42" t="str">
        <f t="shared" ref="M234" si="30">CONCATENATE("0x",K234,",0x",K235,",0x",K236,",0x",K237,",0x",K238,",0x",K239,",0x",K240,",0x",K241,",0x",K242,",0x",K243,", //",C234)</f>
        <v>0x00,0x08,0x08,0x08,0x08,0x08,0x08,0x08,0x00,0x00, //</v>
      </c>
    </row>
    <row r="235" spans="1:13" ht="12" customHeight="1">
      <c r="A235" s="38">
        <v>2</v>
      </c>
      <c r="B235" s="41"/>
      <c r="C235" s="41"/>
      <c r="H235" s="38">
        <v>1</v>
      </c>
      <c r="J235" s="38">
        <f t="shared" si="26"/>
        <v>8</v>
      </c>
      <c r="K235" s="38" t="str">
        <f t="shared" si="25"/>
        <v>08</v>
      </c>
      <c r="M235" s="42"/>
    </row>
    <row r="236" spans="1:13" ht="12" customHeight="1">
      <c r="A236" s="38">
        <v>3</v>
      </c>
      <c r="B236" s="41"/>
      <c r="C236" s="41"/>
      <c r="H236" s="38">
        <v>1</v>
      </c>
      <c r="J236" s="38">
        <f t="shared" si="26"/>
        <v>8</v>
      </c>
      <c r="K236" s="38" t="str">
        <f t="shared" si="25"/>
        <v>08</v>
      </c>
      <c r="M236" s="42"/>
    </row>
    <row r="237" spans="1:13" ht="12" customHeight="1">
      <c r="A237" s="38">
        <v>4</v>
      </c>
      <c r="B237" s="41"/>
      <c r="C237" s="41"/>
      <c r="H237" s="38">
        <v>1</v>
      </c>
      <c r="J237" s="38">
        <f t="shared" si="26"/>
        <v>8</v>
      </c>
      <c r="K237" s="38" t="str">
        <f t="shared" si="25"/>
        <v>08</v>
      </c>
      <c r="M237" s="42"/>
    </row>
    <row r="238" spans="1:13" ht="12" customHeight="1">
      <c r="A238" s="38">
        <v>5</v>
      </c>
      <c r="B238" s="41"/>
      <c r="C238" s="41"/>
      <c r="H238" s="38">
        <v>1</v>
      </c>
      <c r="J238" s="38">
        <f t="shared" si="26"/>
        <v>8</v>
      </c>
      <c r="K238" s="38" t="str">
        <f t="shared" si="25"/>
        <v>08</v>
      </c>
      <c r="M238" s="42"/>
    </row>
    <row r="239" spans="1:13" ht="12" customHeight="1">
      <c r="A239" s="38">
        <v>6</v>
      </c>
      <c r="B239" s="41"/>
      <c r="C239" s="41"/>
      <c r="H239" s="38">
        <v>1</v>
      </c>
      <c r="J239" s="38">
        <f t="shared" si="26"/>
        <v>8</v>
      </c>
      <c r="K239" s="38" t="str">
        <f t="shared" si="25"/>
        <v>08</v>
      </c>
      <c r="M239" s="42"/>
    </row>
    <row r="240" spans="1:13" ht="12" customHeight="1">
      <c r="A240" s="38">
        <v>7</v>
      </c>
      <c r="B240" s="41"/>
      <c r="C240" s="41"/>
      <c r="H240" s="38">
        <v>1</v>
      </c>
      <c r="J240" s="38">
        <f t="shared" si="26"/>
        <v>8</v>
      </c>
      <c r="K240" s="38" t="str">
        <f t="shared" si="25"/>
        <v>08</v>
      </c>
      <c r="M240" s="42"/>
    </row>
    <row r="241" spans="1:13" ht="12" customHeight="1">
      <c r="A241" s="38">
        <v>8</v>
      </c>
      <c r="B241" s="41"/>
      <c r="C241" s="41"/>
      <c r="H241" s="38">
        <v>1</v>
      </c>
      <c r="J241" s="38">
        <f t="shared" si="26"/>
        <v>8</v>
      </c>
      <c r="K241" s="38" t="str">
        <f t="shared" si="25"/>
        <v>08</v>
      </c>
      <c r="M241" s="42"/>
    </row>
    <row r="242" spans="1:13" ht="12" customHeight="1">
      <c r="A242" s="38">
        <v>9</v>
      </c>
      <c r="B242" s="41"/>
      <c r="C242" s="41"/>
      <c r="J242" s="38">
        <f t="shared" si="26"/>
        <v>0</v>
      </c>
      <c r="K242" s="38" t="str">
        <f t="shared" si="25"/>
        <v>00</v>
      </c>
      <c r="M242" s="42"/>
    </row>
    <row r="243" spans="1:13" ht="12" customHeight="1">
      <c r="A243" s="38">
        <v>10</v>
      </c>
      <c r="B243" s="41"/>
      <c r="C243" s="41"/>
      <c r="J243" s="38">
        <f t="shared" si="26"/>
        <v>0</v>
      </c>
      <c r="K243" s="38" t="str">
        <f t="shared" si="25"/>
        <v>00</v>
      </c>
      <c r="M243" s="42"/>
    </row>
    <row r="244" spans="1:13" ht="12" customHeight="1">
      <c r="A244" s="38">
        <v>1</v>
      </c>
      <c r="B244" s="41">
        <v>77</v>
      </c>
      <c r="C244" s="41" t="s">
        <v>130</v>
      </c>
      <c r="D244" s="38">
        <v>1</v>
      </c>
      <c r="H244" s="38">
        <v>1</v>
      </c>
      <c r="J244" s="38">
        <f t="shared" si="26"/>
        <v>136</v>
      </c>
      <c r="K244" s="38" t="str">
        <f t="shared" si="25"/>
        <v>88</v>
      </c>
      <c r="M244" s="42" t="str">
        <f t="shared" ref="M244" si="31">CONCATENATE("0x",K244,",0x",K245,",0x",K246,",0x",K247,",0x",K248,",0x",K249,",0x",K250,",0x",K251,",0x",K252,",0x",K253,", //",C244)</f>
        <v>0x88,0xD8,0xA8,0xA8,0xA8,0xA8,0xA8,0xA8,0x00,0x00, //M</v>
      </c>
    </row>
    <row r="245" spans="1:13" ht="12" customHeight="1">
      <c r="A245" s="38">
        <v>2</v>
      </c>
      <c r="B245" s="41"/>
      <c r="C245" s="41"/>
      <c r="D245" s="38">
        <v>1</v>
      </c>
      <c r="E245" s="38">
        <v>1</v>
      </c>
      <c r="G245" s="38">
        <v>1</v>
      </c>
      <c r="H245" s="38">
        <v>1</v>
      </c>
      <c r="J245" s="38">
        <f t="shared" si="26"/>
        <v>216</v>
      </c>
      <c r="K245" s="38" t="str">
        <f t="shared" si="25"/>
        <v>D8</v>
      </c>
      <c r="M245" s="42"/>
    </row>
    <row r="246" spans="1:13" ht="12" customHeight="1">
      <c r="A246" s="38">
        <v>3</v>
      </c>
      <c r="B246" s="41"/>
      <c r="C246" s="41"/>
      <c r="D246" s="38">
        <v>1</v>
      </c>
      <c r="F246" s="38">
        <v>1</v>
      </c>
      <c r="H246" s="38">
        <v>1</v>
      </c>
      <c r="J246" s="38">
        <f t="shared" si="26"/>
        <v>168</v>
      </c>
      <c r="K246" s="38" t="str">
        <f t="shared" si="25"/>
        <v>A8</v>
      </c>
      <c r="M246" s="42"/>
    </row>
    <row r="247" spans="1:13" ht="12" customHeight="1">
      <c r="A247" s="38">
        <v>4</v>
      </c>
      <c r="B247" s="41"/>
      <c r="C247" s="41"/>
      <c r="D247" s="38">
        <v>1</v>
      </c>
      <c r="F247" s="38">
        <v>1</v>
      </c>
      <c r="H247" s="38">
        <v>1</v>
      </c>
      <c r="J247" s="38">
        <f t="shared" si="26"/>
        <v>168</v>
      </c>
      <c r="K247" s="38" t="str">
        <f t="shared" si="25"/>
        <v>A8</v>
      </c>
      <c r="M247" s="42"/>
    </row>
    <row r="248" spans="1:13" ht="12" customHeight="1">
      <c r="A248" s="38">
        <v>5</v>
      </c>
      <c r="B248" s="41"/>
      <c r="C248" s="41"/>
      <c r="D248" s="38">
        <v>1</v>
      </c>
      <c r="F248" s="38">
        <v>1</v>
      </c>
      <c r="H248" s="38">
        <v>1</v>
      </c>
      <c r="J248" s="38">
        <f t="shared" si="26"/>
        <v>168</v>
      </c>
      <c r="K248" s="38" t="str">
        <f t="shared" si="25"/>
        <v>A8</v>
      </c>
      <c r="M248" s="42"/>
    </row>
    <row r="249" spans="1:13" ht="12" customHeight="1">
      <c r="A249" s="38">
        <v>6</v>
      </c>
      <c r="B249" s="41"/>
      <c r="C249" s="41"/>
      <c r="D249" s="38">
        <v>1</v>
      </c>
      <c r="F249" s="38">
        <v>1</v>
      </c>
      <c r="H249" s="38">
        <v>1</v>
      </c>
      <c r="J249" s="38">
        <f t="shared" si="26"/>
        <v>168</v>
      </c>
      <c r="K249" s="38" t="str">
        <f t="shared" si="25"/>
        <v>A8</v>
      </c>
      <c r="M249" s="42"/>
    </row>
    <row r="250" spans="1:13" ht="12" customHeight="1">
      <c r="A250" s="38">
        <v>7</v>
      </c>
      <c r="B250" s="41"/>
      <c r="C250" s="41"/>
      <c r="D250" s="38">
        <v>1</v>
      </c>
      <c r="F250" s="38">
        <v>1</v>
      </c>
      <c r="H250" s="38">
        <v>1</v>
      </c>
      <c r="J250" s="38">
        <f t="shared" si="26"/>
        <v>168</v>
      </c>
      <c r="K250" s="38" t="str">
        <f t="shared" si="25"/>
        <v>A8</v>
      </c>
      <c r="M250" s="42"/>
    </row>
    <row r="251" spans="1:13" ht="12" customHeight="1">
      <c r="A251" s="38">
        <v>8</v>
      </c>
      <c r="B251" s="41"/>
      <c r="C251" s="41"/>
      <c r="D251" s="38">
        <v>1</v>
      </c>
      <c r="F251" s="38">
        <v>1</v>
      </c>
      <c r="H251" s="38">
        <v>1</v>
      </c>
      <c r="J251" s="38">
        <f t="shared" si="26"/>
        <v>168</v>
      </c>
      <c r="K251" s="38" t="str">
        <f t="shared" si="25"/>
        <v>A8</v>
      </c>
      <c r="M251" s="42"/>
    </row>
    <row r="252" spans="1:13" ht="12" customHeight="1">
      <c r="A252" s="38">
        <v>9</v>
      </c>
      <c r="B252" s="41"/>
      <c r="C252" s="41"/>
      <c r="J252" s="38">
        <f t="shared" si="26"/>
        <v>0</v>
      </c>
      <c r="K252" s="38" t="str">
        <f t="shared" si="25"/>
        <v>00</v>
      </c>
      <c r="M252" s="42"/>
    </row>
    <row r="253" spans="1:13" ht="12" customHeight="1">
      <c r="A253" s="38">
        <v>10</v>
      </c>
      <c r="B253" s="41"/>
      <c r="C253" s="41"/>
      <c r="J253" s="38">
        <f t="shared" si="26"/>
        <v>0</v>
      </c>
      <c r="K253" s="38" t="str">
        <f t="shared" si="25"/>
        <v>00</v>
      </c>
      <c r="M253" s="42"/>
    </row>
    <row r="254" spans="1:13" ht="12" customHeight="1">
      <c r="A254" s="38">
        <v>1</v>
      </c>
      <c r="B254" s="41">
        <v>109</v>
      </c>
      <c r="C254" s="41" t="s">
        <v>161</v>
      </c>
      <c r="J254" s="38">
        <f t="shared" si="26"/>
        <v>0</v>
      </c>
      <c r="K254" s="38" t="str">
        <f t="shared" si="25"/>
        <v>00</v>
      </c>
      <c r="M254" s="42" t="str">
        <f t="shared" ref="M254" si="32">CONCATENATE("0x",K254,",0x",K255,",0x",K256,",0x",K257,",0x",K258,",0x",K259,",0x",K260,",0x",K261,",0x",K262,",0x",K263,", //",C254)</f>
        <v>0x00,0x00,0x00,0x88,0xD8,0xA8,0xA8,0xA8,0x00,0x00, //m</v>
      </c>
    </row>
    <row r="255" spans="1:13" ht="12" customHeight="1">
      <c r="A255" s="38">
        <v>2</v>
      </c>
      <c r="B255" s="41"/>
      <c r="C255" s="41"/>
      <c r="J255" s="38">
        <f t="shared" si="26"/>
        <v>0</v>
      </c>
      <c r="K255" s="38" t="str">
        <f t="shared" si="25"/>
        <v>00</v>
      </c>
      <c r="M255" s="42"/>
    </row>
    <row r="256" spans="1:13" ht="12" customHeight="1">
      <c r="A256" s="38">
        <v>3</v>
      </c>
      <c r="B256" s="41"/>
      <c r="C256" s="41"/>
      <c r="J256" s="38">
        <f t="shared" si="26"/>
        <v>0</v>
      </c>
      <c r="K256" s="38" t="str">
        <f t="shared" si="25"/>
        <v>00</v>
      </c>
      <c r="M256" s="42"/>
    </row>
    <row r="257" spans="1:13" ht="12" customHeight="1">
      <c r="A257" s="38">
        <v>4</v>
      </c>
      <c r="B257" s="41"/>
      <c r="C257" s="41"/>
      <c r="D257" s="38">
        <v>1</v>
      </c>
      <c r="H257" s="38">
        <v>1</v>
      </c>
      <c r="J257" s="38">
        <f t="shared" si="26"/>
        <v>136</v>
      </c>
      <c r="K257" s="38" t="str">
        <f t="shared" si="25"/>
        <v>88</v>
      </c>
      <c r="M257" s="42"/>
    </row>
    <row r="258" spans="1:13" ht="12" customHeight="1">
      <c r="A258" s="38">
        <v>5</v>
      </c>
      <c r="B258" s="41"/>
      <c r="C258" s="41"/>
      <c r="D258" s="38">
        <v>1</v>
      </c>
      <c r="E258" s="38">
        <v>1</v>
      </c>
      <c r="G258" s="38">
        <v>1</v>
      </c>
      <c r="H258" s="38">
        <v>1</v>
      </c>
      <c r="J258" s="38">
        <f t="shared" si="26"/>
        <v>216</v>
      </c>
      <c r="K258" s="38" t="str">
        <f t="shared" si="25"/>
        <v>D8</v>
      </c>
      <c r="M258" s="42"/>
    </row>
    <row r="259" spans="1:13" ht="12" customHeight="1">
      <c r="A259" s="38">
        <v>6</v>
      </c>
      <c r="B259" s="41"/>
      <c r="C259" s="41"/>
      <c r="D259" s="38">
        <v>1</v>
      </c>
      <c r="F259" s="38">
        <v>1</v>
      </c>
      <c r="H259" s="38">
        <v>1</v>
      </c>
      <c r="J259" s="38">
        <f t="shared" si="26"/>
        <v>168</v>
      </c>
      <c r="K259" s="38" t="str">
        <f t="shared" si="25"/>
        <v>A8</v>
      </c>
      <c r="M259" s="42"/>
    </row>
    <row r="260" spans="1:13" ht="12" customHeight="1">
      <c r="A260" s="38">
        <v>7</v>
      </c>
      <c r="B260" s="41"/>
      <c r="C260" s="41"/>
      <c r="D260" s="38">
        <v>1</v>
      </c>
      <c r="F260" s="38">
        <v>1</v>
      </c>
      <c r="H260" s="38">
        <v>1</v>
      </c>
      <c r="J260" s="38">
        <f t="shared" si="26"/>
        <v>168</v>
      </c>
      <c r="K260" s="38" t="str">
        <f t="shared" si="25"/>
        <v>A8</v>
      </c>
      <c r="M260" s="42"/>
    </row>
    <row r="261" spans="1:13" ht="12" customHeight="1">
      <c r="A261" s="38">
        <v>8</v>
      </c>
      <c r="B261" s="41"/>
      <c r="C261" s="41"/>
      <c r="D261" s="38">
        <v>1</v>
      </c>
      <c r="F261" s="38">
        <v>1</v>
      </c>
      <c r="H261" s="38">
        <v>1</v>
      </c>
      <c r="J261" s="38">
        <f t="shared" si="26"/>
        <v>168</v>
      </c>
      <c r="K261" s="38" t="str">
        <f t="shared" ref="K261:K324" si="33">DEC2HEX(J261,2)</f>
        <v>A8</v>
      </c>
      <c r="M261" s="42"/>
    </row>
    <row r="262" spans="1:13" ht="12" customHeight="1">
      <c r="A262" s="38">
        <v>9</v>
      </c>
      <c r="B262" s="41"/>
      <c r="C262" s="41"/>
      <c r="J262" s="38">
        <f t="shared" si="26"/>
        <v>0</v>
      </c>
      <c r="K262" s="38" t="str">
        <f t="shared" si="33"/>
        <v>00</v>
      </c>
      <c r="M262" s="42"/>
    </row>
    <row r="263" spans="1:13" ht="12" customHeight="1">
      <c r="A263" s="38">
        <v>10</v>
      </c>
      <c r="B263" s="41"/>
      <c r="C263" s="41"/>
      <c r="J263" s="38">
        <f t="shared" si="26"/>
        <v>0</v>
      </c>
      <c r="K263" s="38" t="str">
        <f t="shared" si="33"/>
        <v>00</v>
      </c>
      <c r="M263" s="42"/>
    </row>
    <row r="264" spans="1:13" ht="12" customHeight="1">
      <c r="A264" s="38">
        <v>1</v>
      </c>
      <c r="B264" s="41">
        <v>78</v>
      </c>
      <c r="C264" s="41" t="s">
        <v>131</v>
      </c>
      <c r="D264" s="38">
        <v>1</v>
      </c>
      <c r="H264" s="38">
        <v>1</v>
      </c>
      <c r="J264" s="38">
        <f t="shared" si="26"/>
        <v>136</v>
      </c>
      <c r="K264" s="38" t="str">
        <f t="shared" si="33"/>
        <v>88</v>
      </c>
      <c r="M264" s="42" t="str">
        <f t="shared" ref="M264" si="34">CONCATENATE("0x",K264,",0x",K265,",0x",K266,",0x",K267,",0x",K268,",0x",K269,",0x",K270,",0x",K271,",0x",K272,",0x",K273,", //",C264)</f>
        <v>0x88,0x88,0xC8,0xA8,0x98,0x88,0x88,0x88,0x00,0x00, //N</v>
      </c>
    </row>
    <row r="265" spans="1:13" ht="12" customHeight="1">
      <c r="A265" s="38">
        <v>2</v>
      </c>
      <c r="B265" s="41"/>
      <c r="C265" s="41"/>
      <c r="D265" s="38">
        <v>1</v>
      </c>
      <c r="H265" s="38">
        <v>1</v>
      </c>
      <c r="J265" s="38">
        <f t="shared" si="26"/>
        <v>136</v>
      </c>
      <c r="K265" s="38" t="str">
        <f t="shared" si="33"/>
        <v>88</v>
      </c>
      <c r="M265" s="42"/>
    </row>
    <row r="266" spans="1:13" ht="12" customHeight="1">
      <c r="A266" s="38">
        <v>3</v>
      </c>
      <c r="B266" s="41"/>
      <c r="C266" s="41"/>
      <c r="D266" s="38">
        <v>1</v>
      </c>
      <c r="E266" s="38">
        <v>1</v>
      </c>
      <c r="H266" s="38">
        <v>1</v>
      </c>
      <c r="J266" s="38">
        <f t="shared" si="26"/>
        <v>200</v>
      </c>
      <c r="K266" s="38" t="str">
        <f t="shared" si="33"/>
        <v>C8</v>
      </c>
      <c r="M266" s="42"/>
    </row>
    <row r="267" spans="1:13" ht="12" customHeight="1">
      <c r="A267" s="38">
        <v>4</v>
      </c>
      <c r="B267" s="41"/>
      <c r="C267" s="41"/>
      <c r="D267" s="38">
        <v>1</v>
      </c>
      <c r="F267" s="38">
        <v>1</v>
      </c>
      <c r="H267" s="38">
        <v>1</v>
      </c>
      <c r="J267" s="38">
        <f t="shared" ref="J267:J330" si="35">D267*D$2+E267*E$2+F267*F$2+G267*G$2+H267*H$2</f>
        <v>168</v>
      </c>
      <c r="K267" s="38" t="str">
        <f t="shared" si="33"/>
        <v>A8</v>
      </c>
      <c r="M267" s="42"/>
    </row>
    <row r="268" spans="1:13" ht="12" customHeight="1">
      <c r="A268" s="38">
        <v>5</v>
      </c>
      <c r="B268" s="41"/>
      <c r="C268" s="41"/>
      <c r="D268" s="38">
        <v>1</v>
      </c>
      <c r="G268" s="38">
        <v>1</v>
      </c>
      <c r="H268" s="38">
        <v>1</v>
      </c>
      <c r="J268" s="38">
        <f t="shared" si="35"/>
        <v>152</v>
      </c>
      <c r="K268" s="38" t="str">
        <f t="shared" si="33"/>
        <v>98</v>
      </c>
      <c r="M268" s="42"/>
    </row>
    <row r="269" spans="1:13" ht="12" customHeight="1">
      <c r="A269" s="38">
        <v>6</v>
      </c>
      <c r="B269" s="41"/>
      <c r="C269" s="41"/>
      <c r="D269" s="38">
        <v>1</v>
      </c>
      <c r="H269" s="38">
        <v>1</v>
      </c>
      <c r="J269" s="38">
        <f t="shared" si="35"/>
        <v>136</v>
      </c>
      <c r="K269" s="38" t="str">
        <f t="shared" si="33"/>
        <v>88</v>
      </c>
      <c r="M269" s="42"/>
    </row>
    <row r="270" spans="1:13" ht="12" customHeight="1">
      <c r="A270" s="38">
        <v>7</v>
      </c>
      <c r="B270" s="41"/>
      <c r="C270" s="41"/>
      <c r="D270" s="38">
        <v>1</v>
      </c>
      <c r="H270" s="38">
        <v>1</v>
      </c>
      <c r="J270" s="38">
        <f t="shared" si="35"/>
        <v>136</v>
      </c>
      <c r="K270" s="38" t="str">
        <f t="shared" si="33"/>
        <v>88</v>
      </c>
      <c r="M270" s="42"/>
    </row>
    <row r="271" spans="1:13" ht="12" customHeight="1">
      <c r="A271" s="38">
        <v>8</v>
      </c>
      <c r="B271" s="41"/>
      <c r="C271" s="41"/>
      <c r="D271" s="38">
        <v>1</v>
      </c>
      <c r="H271" s="38">
        <v>1</v>
      </c>
      <c r="J271" s="38">
        <f t="shared" si="35"/>
        <v>136</v>
      </c>
      <c r="K271" s="38" t="str">
        <f t="shared" si="33"/>
        <v>88</v>
      </c>
      <c r="M271" s="42"/>
    </row>
    <row r="272" spans="1:13" ht="12" customHeight="1">
      <c r="A272" s="38">
        <v>9</v>
      </c>
      <c r="B272" s="41"/>
      <c r="C272" s="41"/>
      <c r="J272" s="38">
        <f t="shared" si="35"/>
        <v>0</v>
      </c>
      <c r="K272" s="38" t="str">
        <f t="shared" si="33"/>
        <v>00</v>
      </c>
      <c r="M272" s="42"/>
    </row>
    <row r="273" spans="1:13" ht="12" customHeight="1">
      <c r="A273" s="38">
        <v>10</v>
      </c>
      <c r="B273" s="41"/>
      <c r="C273" s="41"/>
      <c r="J273" s="38">
        <f t="shared" si="35"/>
        <v>0</v>
      </c>
      <c r="K273" s="38" t="str">
        <f t="shared" si="33"/>
        <v>00</v>
      </c>
      <c r="M273" s="42"/>
    </row>
    <row r="274" spans="1:13" ht="12" customHeight="1">
      <c r="A274" s="38">
        <v>1</v>
      </c>
      <c r="B274" s="41">
        <v>110</v>
      </c>
      <c r="C274" s="41" t="s">
        <v>162</v>
      </c>
      <c r="J274" s="38">
        <f t="shared" si="35"/>
        <v>0</v>
      </c>
      <c r="K274" s="38" t="str">
        <f t="shared" si="33"/>
        <v>00</v>
      </c>
      <c r="M274" s="42" t="str">
        <f t="shared" ref="M274" si="36">CONCATENATE("0x",K274,",0x",K275,",0x",K276,",0x",K277,",0x",K278,",0x",K279,",0x",K280,",0x",K281,",0x",K282,",0x",K283,", //",C274)</f>
        <v>0x00,0x00,0x00,0x58,0x68,0x48,0x48,0x48,0x00,0x00, //n</v>
      </c>
    </row>
    <row r="275" spans="1:13" ht="12" customHeight="1">
      <c r="A275" s="38">
        <v>2</v>
      </c>
      <c r="B275" s="41"/>
      <c r="C275" s="41"/>
      <c r="J275" s="38">
        <f t="shared" si="35"/>
        <v>0</v>
      </c>
      <c r="K275" s="38" t="str">
        <f t="shared" si="33"/>
        <v>00</v>
      </c>
      <c r="M275" s="42"/>
    </row>
    <row r="276" spans="1:13" ht="12" customHeight="1">
      <c r="A276" s="38">
        <v>3</v>
      </c>
      <c r="B276" s="41"/>
      <c r="C276" s="41"/>
      <c r="J276" s="38">
        <f t="shared" si="35"/>
        <v>0</v>
      </c>
      <c r="K276" s="38" t="str">
        <f t="shared" si="33"/>
        <v>00</v>
      </c>
      <c r="M276" s="42"/>
    </row>
    <row r="277" spans="1:13" ht="12" customHeight="1">
      <c r="A277" s="38">
        <v>4</v>
      </c>
      <c r="B277" s="41"/>
      <c r="C277" s="41"/>
      <c r="E277" s="38">
        <v>1</v>
      </c>
      <c r="G277" s="38">
        <v>1</v>
      </c>
      <c r="H277" s="38">
        <v>1</v>
      </c>
      <c r="J277" s="38">
        <f t="shared" si="35"/>
        <v>88</v>
      </c>
      <c r="K277" s="38" t="str">
        <f t="shared" si="33"/>
        <v>58</v>
      </c>
      <c r="M277" s="42"/>
    </row>
    <row r="278" spans="1:13" ht="12" customHeight="1">
      <c r="A278" s="38">
        <v>5</v>
      </c>
      <c r="B278" s="41"/>
      <c r="C278" s="41"/>
      <c r="E278" s="38">
        <v>1</v>
      </c>
      <c r="F278" s="38">
        <v>1</v>
      </c>
      <c r="H278" s="38">
        <v>1</v>
      </c>
      <c r="J278" s="38">
        <f t="shared" si="35"/>
        <v>104</v>
      </c>
      <c r="K278" s="38" t="str">
        <f t="shared" si="33"/>
        <v>68</v>
      </c>
      <c r="M278" s="42"/>
    </row>
    <row r="279" spans="1:13" ht="12" customHeight="1">
      <c r="A279" s="38">
        <v>6</v>
      </c>
      <c r="B279" s="41"/>
      <c r="C279" s="41"/>
      <c r="E279" s="38">
        <v>1</v>
      </c>
      <c r="H279" s="38">
        <v>1</v>
      </c>
      <c r="J279" s="38">
        <f t="shared" si="35"/>
        <v>72</v>
      </c>
      <c r="K279" s="38" t="str">
        <f t="shared" si="33"/>
        <v>48</v>
      </c>
      <c r="M279" s="42"/>
    </row>
    <row r="280" spans="1:13" ht="12" customHeight="1">
      <c r="A280" s="38">
        <v>7</v>
      </c>
      <c r="B280" s="41"/>
      <c r="C280" s="41"/>
      <c r="E280" s="38">
        <v>1</v>
      </c>
      <c r="H280" s="38">
        <v>1</v>
      </c>
      <c r="J280" s="38">
        <f t="shared" si="35"/>
        <v>72</v>
      </c>
      <c r="K280" s="38" t="str">
        <f t="shared" si="33"/>
        <v>48</v>
      </c>
      <c r="M280" s="42"/>
    </row>
    <row r="281" spans="1:13" ht="12" customHeight="1">
      <c r="A281" s="38">
        <v>8</v>
      </c>
      <c r="B281" s="41"/>
      <c r="C281" s="41"/>
      <c r="E281" s="38">
        <v>1</v>
      </c>
      <c r="H281" s="38">
        <v>1</v>
      </c>
      <c r="J281" s="38">
        <f t="shared" si="35"/>
        <v>72</v>
      </c>
      <c r="K281" s="38" t="str">
        <f t="shared" si="33"/>
        <v>48</v>
      </c>
      <c r="M281" s="42"/>
    </row>
    <row r="282" spans="1:13" ht="12" customHeight="1">
      <c r="A282" s="38">
        <v>9</v>
      </c>
      <c r="B282" s="41"/>
      <c r="C282" s="41"/>
      <c r="J282" s="38">
        <f t="shared" si="35"/>
        <v>0</v>
      </c>
      <c r="K282" s="38" t="str">
        <f t="shared" si="33"/>
        <v>00</v>
      </c>
      <c r="M282" s="42"/>
    </row>
    <row r="283" spans="1:13" ht="12" customHeight="1">
      <c r="A283" s="38">
        <v>10</v>
      </c>
      <c r="B283" s="41"/>
      <c r="C283" s="41"/>
      <c r="J283" s="38">
        <f t="shared" si="35"/>
        <v>0</v>
      </c>
      <c r="K283" s="38" t="str">
        <f t="shared" si="33"/>
        <v>00</v>
      </c>
      <c r="M283" s="42"/>
    </row>
    <row r="284" spans="1:13" ht="12" customHeight="1">
      <c r="A284" s="38">
        <v>1</v>
      </c>
      <c r="B284" s="41">
        <v>79</v>
      </c>
      <c r="C284" s="41" t="s">
        <v>132</v>
      </c>
      <c r="E284" s="38">
        <v>1</v>
      </c>
      <c r="F284" s="38">
        <v>1</v>
      </c>
      <c r="G284" s="38">
        <v>1</v>
      </c>
      <c r="J284" s="38">
        <f t="shared" si="35"/>
        <v>112</v>
      </c>
      <c r="K284" s="38" t="str">
        <f t="shared" si="33"/>
        <v>70</v>
      </c>
      <c r="M284" s="42" t="str">
        <f t="shared" ref="M284" si="37">CONCATENATE("0x",K284,",0x",K285,",0x",K286,",0x",K287,",0x",K288,",0x",K289,",0x",K290,",0x",K291,",0x",K292,",0x",K293,", //",C284)</f>
        <v>0x70,0x88,0x88,0x88,0x88,0x88,0x88,0x70,0x00,0x00, //O</v>
      </c>
    </row>
    <row r="285" spans="1:13" ht="12" customHeight="1">
      <c r="A285" s="38">
        <v>2</v>
      </c>
      <c r="B285" s="41"/>
      <c r="C285" s="41"/>
      <c r="D285" s="38">
        <v>1</v>
      </c>
      <c r="H285" s="38">
        <v>1</v>
      </c>
      <c r="J285" s="38">
        <f t="shared" si="35"/>
        <v>136</v>
      </c>
      <c r="K285" s="38" t="str">
        <f t="shared" si="33"/>
        <v>88</v>
      </c>
      <c r="M285" s="42"/>
    </row>
    <row r="286" spans="1:13" ht="12" customHeight="1">
      <c r="A286" s="38">
        <v>3</v>
      </c>
      <c r="B286" s="41"/>
      <c r="C286" s="41"/>
      <c r="D286" s="38">
        <v>1</v>
      </c>
      <c r="H286" s="38">
        <v>1</v>
      </c>
      <c r="J286" s="38">
        <f t="shared" si="35"/>
        <v>136</v>
      </c>
      <c r="K286" s="38" t="str">
        <f t="shared" si="33"/>
        <v>88</v>
      </c>
      <c r="M286" s="42"/>
    </row>
    <row r="287" spans="1:13" ht="12" customHeight="1">
      <c r="A287" s="38">
        <v>4</v>
      </c>
      <c r="B287" s="41"/>
      <c r="C287" s="41"/>
      <c r="D287" s="38">
        <v>1</v>
      </c>
      <c r="H287" s="38">
        <v>1</v>
      </c>
      <c r="J287" s="38">
        <f t="shared" si="35"/>
        <v>136</v>
      </c>
      <c r="K287" s="38" t="str">
        <f t="shared" si="33"/>
        <v>88</v>
      </c>
      <c r="M287" s="42"/>
    </row>
    <row r="288" spans="1:13" ht="12" customHeight="1">
      <c r="A288" s="38">
        <v>5</v>
      </c>
      <c r="B288" s="41"/>
      <c r="C288" s="41"/>
      <c r="D288" s="38">
        <v>1</v>
      </c>
      <c r="H288" s="38">
        <v>1</v>
      </c>
      <c r="J288" s="38">
        <f t="shared" si="35"/>
        <v>136</v>
      </c>
      <c r="K288" s="38" t="str">
        <f t="shared" si="33"/>
        <v>88</v>
      </c>
      <c r="M288" s="42"/>
    </row>
    <row r="289" spans="1:13" ht="12" customHeight="1">
      <c r="A289" s="38">
        <v>6</v>
      </c>
      <c r="B289" s="41"/>
      <c r="C289" s="41"/>
      <c r="D289" s="38">
        <v>1</v>
      </c>
      <c r="H289" s="38">
        <v>1</v>
      </c>
      <c r="J289" s="38">
        <f t="shared" si="35"/>
        <v>136</v>
      </c>
      <c r="K289" s="38" t="str">
        <f t="shared" si="33"/>
        <v>88</v>
      </c>
      <c r="M289" s="42"/>
    </row>
    <row r="290" spans="1:13" ht="12" customHeight="1">
      <c r="A290" s="38">
        <v>7</v>
      </c>
      <c r="B290" s="41"/>
      <c r="C290" s="41"/>
      <c r="D290" s="38">
        <v>1</v>
      </c>
      <c r="H290" s="38">
        <v>1</v>
      </c>
      <c r="J290" s="38">
        <f t="shared" si="35"/>
        <v>136</v>
      </c>
      <c r="K290" s="38" t="str">
        <f t="shared" si="33"/>
        <v>88</v>
      </c>
      <c r="M290" s="42"/>
    </row>
    <row r="291" spans="1:13" ht="12" customHeight="1">
      <c r="A291" s="38">
        <v>8</v>
      </c>
      <c r="B291" s="41"/>
      <c r="C291" s="41"/>
      <c r="E291" s="38">
        <v>1</v>
      </c>
      <c r="F291" s="38">
        <v>1</v>
      </c>
      <c r="G291" s="38">
        <v>1</v>
      </c>
      <c r="J291" s="38">
        <f t="shared" si="35"/>
        <v>112</v>
      </c>
      <c r="K291" s="38" t="str">
        <f t="shared" si="33"/>
        <v>70</v>
      </c>
      <c r="M291" s="42"/>
    </row>
    <row r="292" spans="1:13" ht="12" customHeight="1">
      <c r="A292" s="38">
        <v>9</v>
      </c>
      <c r="B292" s="41"/>
      <c r="C292" s="41"/>
      <c r="J292" s="38">
        <f t="shared" si="35"/>
        <v>0</v>
      </c>
      <c r="K292" s="38" t="str">
        <f t="shared" si="33"/>
        <v>00</v>
      </c>
      <c r="M292" s="42"/>
    </row>
    <row r="293" spans="1:13" ht="12" customHeight="1">
      <c r="A293" s="38">
        <v>10</v>
      </c>
      <c r="B293" s="41"/>
      <c r="C293" s="41"/>
      <c r="J293" s="38">
        <f t="shared" si="35"/>
        <v>0</v>
      </c>
      <c r="K293" s="38" t="str">
        <f t="shared" si="33"/>
        <v>00</v>
      </c>
      <c r="M293" s="42"/>
    </row>
    <row r="294" spans="1:13" ht="12" customHeight="1">
      <c r="A294" s="38">
        <v>1</v>
      </c>
      <c r="B294" s="41">
        <v>111</v>
      </c>
      <c r="C294" s="41" t="s">
        <v>163</v>
      </c>
      <c r="J294" s="38">
        <f t="shared" si="35"/>
        <v>0</v>
      </c>
      <c r="K294" s="38" t="str">
        <f t="shared" si="33"/>
        <v>00</v>
      </c>
      <c r="M294" s="42" t="str">
        <f t="shared" ref="M294" si="38">CONCATENATE("0x",K294,",0x",K295,",0x",K296,",0x",K297,",0x",K298,",0x",K299,",0x",K300,",0x",K301,",0x",K302,",0x",K303,", //",C294)</f>
        <v>0x00,0x00,0x00,0x30,0x48,0x48,0x48,0x30,0x00,0x00, //o</v>
      </c>
    </row>
    <row r="295" spans="1:13" ht="12" customHeight="1">
      <c r="A295" s="38">
        <v>2</v>
      </c>
      <c r="B295" s="41"/>
      <c r="C295" s="41"/>
      <c r="J295" s="38">
        <f t="shared" si="35"/>
        <v>0</v>
      </c>
      <c r="K295" s="38" t="str">
        <f t="shared" si="33"/>
        <v>00</v>
      </c>
      <c r="M295" s="42"/>
    </row>
    <row r="296" spans="1:13" ht="12" customHeight="1">
      <c r="A296" s="38">
        <v>3</v>
      </c>
      <c r="B296" s="41"/>
      <c r="C296" s="41"/>
      <c r="J296" s="38">
        <f t="shared" si="35"/>
        <v>0</v>
      </c>
      <c r="K296" s="38" t="str">
        <f t="shared" si="33"/>
        <v>00</v>
      </c>
      <c r="M296" s="42"/>
    </row>
    <row r="297" spans="1:13" ht="12" customHeight="1">
      <c r="A297" s="38">
        <v>4</v>
      </c>
      <c r="B297" s="41"/>
      <c r="C297" s="41"/>
      <c r="F297" s="38">
        <v>1</v>
      </c>
      <c r="G297" s="38">
        <v>1</v>
      </c>
      <c r="J297" s="38">
        <f t="shared" si="35"/>
        <v>48</v>
      </c>
      <c r="K297" s="38" t="str">
        <f t="shared" si="33"/>
        <v>30</v>
      </c>
      <c r="M297" s="42"/>
    </row>
    <row r="298" spans="1:13" ht="12" customHeight="1">
      <c r="A298" s="38">
        <v>5</v>
      </c>
      <c r="B298" s="41"/>
      <c r="C298" s="41"/>
      <c r="E298" s="38">
        <v>1</v>
      </c>
      <c r="H298" s="38">
        <v>1</v>
      </c>
      <c r="J298" s="38">
        <f t="shared" si="35"/>
        <v>72</v>
      </c>
      <c r="K298" s="38" t="str">
        <f t="shared" si="33"/>
        <v>48</v>
      </c>
      <c r="M298" s="42"/>
    </row>
    <row r="299" spans="1:13" ht="12" customHeight="1">
      <c r="A299" s="38">
        <v>6</v>
      </c>
      <c r="B299" s="41"/>
      <c r="C299" s="41"/>
      <c r="E299" s="38">
        <v>1</v>
      </c>
      <c r="H299" s="38">
        <v>1</v>
      </c>
      <c r="J299" s="38">
        <f t="shared" si="35"/>
        <v>72</v>
      </c>
      <c r="K299" s="38" t="str">
        <f t="shared" si="33"/>
        <v>48</v>
      </c>
      <c r="M299" s="42"/>
    </row>
    <row r="300" spans="1:13" ht="12" customHeight="1">
      <c r="A300" s="38">
        <v>7</v>
      </c>
      <c r="B300" s="41"/>
      <c r="C300" s="41"/>
      <c r="E300" s="38">
        <v>1</v>
      </c>
      <c r="H300" s="38">
        <v>1</v>
      </c>
      <c r="J300" s="38">
        <f t="shared" si="35"/>
        <v>72</v>
      </c>
      <c r="K300" s="38" t="str">
        <f t="shared" si="33"/>
        <v>48</v>
      </c>
      <c r="M300" s="42"/>
    </row>
    <row r="301" spans="1:13" ht="12" customHeight="1">
      <c r="A301" s="38">
        <v>8</v>
      </c>
      <c r="B301" s="41"/>
      <c r="C301" s="41"/>
      <c r="F301" s="38">
        <v>1</v>
      </c>
      <c r="G301" s="38">
        <v>1</v>
      </c>
      <c r="J301" s="38">
        <f t="shared" si="35"/>
        <v>48</v>
      </c>
      <c r="K301" s="38" t="str">
        <f t="shared" si="33"/>
        <v>30</v>
      </c>
      <c r="M301" s="42"/>
    </row>
    <row r="302" spans="1:13" ht="12" customHeight="1">
      <c r="A302" s="38">
        <v>9</v>
      </c>
      <c r="B302" s="41"/>
      <c r="C302" s="41"/>
      <c r="J302" s="38">
        <f t="shared" si="35"/>
        <v>0</v>
      </c>
      <c r="K302" s="38" t="str">
        <f t="shared" si="33"/>
        <v>00</v>
      </c>
      <c r="M302" s="42"/>
    </row>
    <row r="303" spans="1:13" ht="12" customHeight="1">
      <c r="A303" s="38">
        <v>10</v>
      </c>
      <c r="B303" s="41"/>
      <c r="C303" s="41"/>
      <c r="J303" s="38">
        <f t="shared" si="35"/>
        <v>0</v>
      </c>
      <c r="K303" s="38" t="str">
        <f t="shared" si="33"/>
        <v>00</v>
      </c>
      <c r="M303" s="42"/>
    </row>
    <row r="304" spans="1:13" ht="12" customHeight="1">
      <c r="A304" s="38">
        <v>1</v>
      </c>
      <c r="B304" s="41">
        <v>80</v>
      </c>
      <c r="C304" s="41" t="s">
        <v>133</v>
      </c>
      <c r="D304" s="38">
        <v>1</v>
      </c>
      <c r="E304" s="38">
        <v>1</v>
      </c>
      <c r="F304" s="38">
        <v>1</v>
      </c>
      <c r="G304" s="38">
        <v>1</v>
      </c>
      <c r="J304" s="38">
        <f t="shared" si="35"/>
        <v>240</v>
      </c>
      <c r="K304" s="38" t="str">
        <f t="shared" si="33"/>
        <v>F0</v>
      </c>
      <c r="M304" s="42" t="str">
        <f t="shared" ref="M304" si="39">CONCATENATE("0x",K304,",0x",K305,",0x",K306,",0x",K307,",0x",K308,",0x",K309,",0x",K310,",0x",K311,",0x",K312,",0x",K313,", //",C304)</f>
        <v>0xF0,0x88,0x88,0xF0,0x80,0x80,0x80,0x80,0x00,0x00, //P</v>
      </c>
    </row>
    <row r="305" spans="1:13" ht="12" customHeight="1">
      <c r="A305" s="38">
        <v>2</v>
      </c>
      <c r="B305" s="41"/>
      <c r="C305" s="41"/>
      <c r="D305" s="38">
        <v>1</v>
      </c>
      <c r="H305" s="38">
        <v>1</v>
      </c>
      <c r="J305" s="38">
        <f t="shared" si="35"/>
        <v>136</v>
      </c>
      <c r="K305" s="38" t="str">
        <f t="shared" si="33"/>
        <v>88</v>
      </c>
      <c r="M305" s="42"/>
    </row>
    <row r="306" spans="1:13" ht="12" customHeight="1">
      <c r="A306" s="38">
        <v>3</v>
      </c>
      <c r="B306" s="41"/>
      <c r="C306" s="41"/>
      <c r="D306" s="38">
        <v>1</v>
      </c>
      <c r="H306" s="38">
        <v>1</v>
      </c>
      <c r="J306" s="38">
        <f t="shared" si="35"/>
        <v>136</v>
      </c>
      <c r="K306" s="38" t="str">
        <f t="shared" si="33"/>
        <v>88</v>
      </c>
      <c r="M306" s="42"/>
    </row>
    <row r="307" spans="1:13" ht="12" customHeight="1">
      <c r="A307" s="38">
        <v>4</v>
      </c>
      <c r="B307" s="41"/>
      <c r="C307" s="41"/>
      <c r="D307" s="38">
        <v>1</v>
      </c>
      <c r="E307" s="38">
        <v>1</v>
      </c>
      <c r="F307" s="38">
        <v>1</v>
      </c>
      <c r="G307" s="38">
        <v>1</v>
      </c>
      <c r="J307" s="38">
        <f t="shared" si="35"/>
        <v>240</v>
      </c>
      <c r="K307" s="38" t="str">
        <f t="shared" si="33"/>
        <v>F0</v>
      </c>
      <c r="M307" s="42"/>
    </row>
    <row r="308" spans="1:13" ht="12" customHeight="1">
      <c r="A308" s="38">
        <v>5</v>
      </c>
      <c r="B308" s="41"/>
      <c r="C308" s="41"/>
      <c r="D308" s="38">
        <v>1</v>
      </c>
      <c r="J308" s="38">
        <f t="shared" si="35"/>
        <v>128</v>
      </c>
      <c r="K308" s="38" t="str">
        <f t="shared" si="33"/>
        <v>80</v>
      </c>
      <c r="M308" s="42"/>
    </row>
    <row r="309" spans="1:13" ht="12" customHeight="1">
      <c r="A309" s="38">
        <v>6</v>
      </c>
      <c r="B309" s="41"/>
      <c r="C309" s="41"/>
      <c r="D309" s="38">
        <v>1</v>
      </c>
      <c r="J309" s="38">
        <f t="shared" si="35"/>
        <v>128</v>
      </c>
      <c r="K309" s="38" t="str">
        <f t="shared" si="33"/>
        <v>80</v>
      </c>
      <c r="M309" s="42"/>
    </row>
    <row r="310" spans="1:13" ht="12" customHeight="1">
      <c r="A310" s="38">
        <v>7</v>
      </c>
      <c r="B310" s="41"/>
      <c r="C310" s="41"/>
      <c r="D310" s="38">
        <v>1</v>
      </c>
      <c r="J310" s="38">
        <f t="shared" si="35"/>
        <v>128</v>
      </c>
      <c r="K310" s="38" t="str">
        <f t="shared" si="33"/>
        <v>80</v>
      </c>
      <c r="M310" s="42"/>
    </row>
    <row r="311" spans="1:13" ht="12" customHeight="1">
      <c r="A311" s="38">
        <v>8</v>
      </c>
      <c r="B311" s="41"/>
      <c r="C311" s="41"/>
      <c r="D311" s="38">
        <v>1</v>
      </c>
      <c r="J311" s="38">
        <f t="shared" si="35"/>
        <v>128</v>
      </c>
      <c r="K311" s="38" t="str">
        <f t="shared" si="33"/>
        <v>80</v>
      </c>
      <c r="M311" s="42"/>
    </row>
    <row r="312" spans="1:13" ht="12" customHeight="1">
      <c r="A312" s="38">
        <v>9</v>
      </c>
      <c r="B312" s="41"/>
      <c r="C312" s="41"/>
      <c r="J312" s="38">
        <f t="shared" si="35"/>
        <v>0</v>
      </c>
      <c r="K312" s="38" t="str">
        <f t="shared" si="33"/>
        <v>00</v>
      </c>
      <c r="M312" s="42"/>
    </row>
    <row r="313" spans="1:13" ht="12" customHeight="1">
      <c r="A313" s="38">
        <v>10</v>
      </c>
      <c r="B313" s="41"/>
      <c r="C313" s="41"/>
      <c r="J313" s="38">
        <f t="shared" si="35"/>
        <v>0</v>
      </c>
      <c r="K313" s="38" t="str">
        <f t="shared" si="33"/>
        <v>00</v>
      </c>
      <c r="M313" s="42"/>
    </row>
    <row r="314" spans="1:13" ht="12" customHeight="1">
      <c r="A314" s="38">
        <v>1</v>
      </c>
      <c r="B314" s="41">
        <v>112</v>
      </c>
      <c r="C314" s="41" t="s">
        <v>164</v>
      </c>
      <c r="J314" s="38">
        <f t="shared" si="35"/>
        <v>0</v>
      </c>
      <c r="K314" s="38" t="str">
        <f t="shared" si="33"/>
        <v>00</v>
      </c>
      <c r="M314" s="42" t="str">
        <f t="shared" ref="M314" si="40">CONCATENATE("0x",K314,",0x",K315,",0x",K316,",0x",K317,",0x",K318,",0x",K319,",0x",K320,",0x",K321,",0x",K322,",0x",K323,", //",C314)</f>
        <v>0x00,0x00,0x00,0x70,0x48,0x48,0x48,0x70,0x40,0x40, //p</v>
      </c>
    </row>
    <row r="315" spans="1:13" ht="12" customHeight="1">
      <c r="A315" s="38">
        <v>2</v>
      </c>
      <c r="B315" s="41"/>
      <c r="C315" s="41"/>
      <c r="J315" s="38">
        <f t="shared" si="35"/>
        <v>0</v>
      </c>
      <c r="K315" s="38" t="str">
        <f t="shared" si="33"/>
        <v>00</v>
      </c>
      <c r="M315" s="42"/>
    </row>
    <row r="316" spans="1:13" ht="12" customHeight="1">
      <c r="A316" s="38">
        <v>3</v>
      </c>
      <c r="B316" s="41"/>
      <c r="C316" s="41"/>
      <c r="J316" s="38">
        <f t="shared" si="35"/>
        <v>0</v>
      </c>
      <c r="K316" s="38" t="str">
        <f t="shared" si="33"/>
        <v>00</v>
      </c>
      <c r="M316" s="42"/>
    </row>
    <row r="317" spans="1:13" ht="12" customHeight="1">
      <c r="A317" s="38">
        <v>4</v>
      </c>
      <c r="B317" s="41"/>
      <c r="C317" s="41"/>
      <c r="E317" s="38">
        <v>1</v>
      </c>
      <c r="F317" s="38">
        <v>1</v>
      </c>
      <c r="G317" s="38">
        <v>1</v>
      </c>
      <c r="J317" s="38">
        <f t="shared" si="35"/>
        <v>112</v>
      </c>
      <c r="K317" s="38" t="str">
        <f t="shared" si="33"/>
        <v>70</v>
      </c>
      <c r="M317" s="42"/>
    </row>
    <row r="318" spans="1:13" ht="12" customHeight="1">
      <c r="A318" s="38">
        <v>5</v>
      </c>
      <c r="B318" s="41"/>
      <c r="C318" s="41"/>
      <c r="E318" s="38">
        <v>1</v>
      </c>
      <c r="H318" s="38">
        <v>1</v>
      </c>
      <c r="J318" s="38">
        <f t="shared" si="35"/>
        <v>72</v>
      </c>
      <c r="K318" s="38" t="str">
        <f t="shared" si="33"/>
        <v>48</v>
      </c>
      <c r="M318" s="42"/>
    </row>
    <row r="319" spans="1:13" ht="12" customHeight="1">
      <c r="A319" s="38">
        <v>6</v>
      </c>
      <c r="B319" s="41"/>
      <c r="C319" s="41"/>
      <c r="E319" s="38">
        <v>1</v>
      </c>
      <c r="H319" s="38">
        <v>1</v>
      </c>
      <c r="J319" s="38">
        <f t="shared" si="35"/>
        <v>72</v>
      </c>
      <c r="K319" s="38" t="str">
        <f t="shared" si="33"/>
        <v>48</v>
      </c>
      <c r="M319" s="42"/>
    </row>
    <row r="320" spans="1:13" ht="12" customHeight="1">
      <c r="A320" s="38">
        <v>7</v>
      </c>
      <c r="B320" s="41"/>
      <c r="C320" s="41"/>
      <c r="E320" s="38">
        <v>1</v>
      </c>
      <c r="H320" s="38">
        <v>1</v>
      </c>
      <c r="J320" s="38">
        <f t="shared" si="35"/>
        <v>72</v>
      </c>
      <c r="K320" s="38" t="str">
        <f t="shared" si="33"/>
        <v>48</v>
      </c>
      <c r="M320" s="42"/>
    </row>
    <row r="321" spans="1:13" ht="12" customHeight="1">
      <c r="A321" s="38">
        <v>8</v>
      </c>
      <c r="B321" s="41"/>
      <c r="C321" s="41"/>
      <c r="E321" s="38">
        <v>1</v>
      </c>
      <c r="F321" s="38">
        <v>1</v>
      </c>
      <c r="G321" s="38">
        <v>1</v>
      </c>
      <c r="J321" s="38">
        <f t="shared" si="35"/>
        <v>112</v>
      </c>
      <c r="K321" s="38" t="str">
        <f t="shared" si="33"/>
        <v>70</v>
      </c>
      <c r="M321" s="42"/>
    </row>
    <row r="322" spans="1:13" ht="12" customHeight="1">
      <c r="A322" s="38">
        <v>9</v>
      </c>
      <c r="B322" s="41"/>
      <c r="C322" s="41"/>
      <c r="E322" s="38">
        <v>1</v>
      </c>
      <c r="J322" s="38">
        <f t="shared" si="35"/>
        <v>64</v>
      </c>
      <c r="K322" s="38" t="str">
        <f t="shared" si="33"/>
        <v>40</v>
      </c>
      <c r="M322" s="42"/>
    </row>
    <row r="323" spans="1:13" ht="12" customHeight="1">
      <c r="A323" s="38">
        <v>10</v>
      </c>
      <c r="B323" s="41"/>
      <c r="C323" s="41"/>
      <c r="E323" s="38">
        <v>1</v>
      </c>
      <c r="J323" s="38">
        <f t="shared" si="35"/>
        <v>64</v>
      </c>
      <c r="K323" s="38" t="str">
        <f t="shared" si="33"/>
        <v>40</v>
      </c>
      <c r="M323" s="42"/>
    </row>
    <row r="324" spans="1:13" ht="12" customHeight="1">
      <c r="A324" s="38">
        <v>1</v>
      </c>
      <c r="B324" s="41">
        <v>81</v>
      </c>
      <c r="C324" s="41" t="s">
        <v>134</v>
      </c>
      <c r="E324" s="38">
        <v>1</v>
      </c>
      <c r="F324" s="38">
        <v>1</v>
      </c>
      <c r="G324" s="38">
        <v>1</v>
      </c>
      <c r="J324" s="38">
        <f t="shared" si="35"/>
        <v>112</v>
      </c>
      <c r="K324" s="38" t="str">
        <f t="shared" si="33"/>
        <v>70</v>
      </c>
      <c r="M324" s="42" t="str">
        <f t="shared" ref="M324" si="41">CONCATENATE("0x",K324,",0x",K325,",0x",K326,",0x",K327,",0x",K328,",0x",K329,",0x",K330,",0x",K331,",0x",K332,",0x",K333,", //",C324)</f>
        <v>0x70,0x88,0x88,0x88,0x88,0x88,0x90,0x70,0x10,0x00, //Q</v>
      </c>
    </row>
    <row r="325" spans="1:13" ht="12" customHeight="1">
      <c r="A325" s="38">
        <v>2</v>
      </c>
      <c r="B325" s="41"/>
      <c r="C325" s="41"/>
      <c r="D325" s="38">
        <v>1</v>
      </c>
      <c r="H325" s="38">
        <v>1</v>
      </c>
      <c r="J325" s="38">
        <f t="shared" si="35"/>
        <v>136</v>
      </c>
      <c r="K325" s="38" t="str">
        <f t="shared" ref="K325:K388" si="42">DEC2HEX(J325,2)</f>
        <v>88</v>
      </c>
      <c r="M325" s="42"/>
    </row>
    <row r="326" spans="1:13" ht="12" customHeight="1">
      <c r="A326" s="38">
        <v>3</v>
      </c>
      <c r="B326" s="41"/>
      <c r="C326" s="41"/>
      <c r="D326" s="38">
        <v>1</v>
      </c>
      <c r="H326" s="38">
        <v>1</v>
      </c>
      <c r="J326" s="38">
        <f t="shared" si="35"/>
        <v>136</v>
      </c>
      <c r="K326" s="38" t="str">
        <f t="shared" si="42"/>
        <v>88</v>
      </c>
      <c r="M326" s="42"/>
    </row>
    <row r="327" spans="1:13" ht="12" customHeight="1">
      <c r="A327" s="38">
        <v>4</v>
      </c>
      <c r="B327" s="41"/>
      <c r="C327" s="41"/>
      <c r="D327" s="38">
        <v>1</v>
      </c>
      <c r="H327" s="38">
        <v>1</v>
      </c>
      <c r="J327" s="38">
        <f t="shared" si="35"/>
        <v>136</v>
      </c>
      <c r="K327" s="38" t="str">
        <f t="shared" si="42"/>
        <v>88</v>
      </c>
      <c r="M327" s="42"/>
    </row>
    <row r="328" spans="1:13" ht="12" customHeight="1">
      <c r="A328" s="38">
        <v>5</v>
      </c>
      <c r="B328" s="41"/>
      <c r="C328" s="41"/>
      <c r="D328" s="38">
        <v>1</v>
      </c>
      <c r="H328" s="38">
        <v>1</v>
      </c>
      <c r="J328" s="38">
        <f t="shared" si="35"/>
        <v>136</v>
      </c>
      <c r="K328" s="38" t="str">
        <f t="shared" si="42"/>
        <v>88</v>
      </c>
      <c r="M328" s="42"/>
    </row>
    <row r="329" spans="1:13" ht="12" customHeight="1">
      <c r="A329" s="38">
        <v>6</v>
      </c>
      <c r="B329" s="41"/>
      <c r="C329" s="41"/>
      <c r="D329" s="38">
        <v>1</v>
      </c>
      <c r="H329" s="38">
        <v>1</v>
      </c>
      <c r="J329" s="38">
        <f t="shared" si="35"/>
        <v>136</v>
      </c>
      <c r="K329" s="38" t="str">
        <f t="shared" si="42"/>
        <v>88</v>
      </c>
      <c r="M329" s="42"/>
    </row>
    <row r="330" spans="1:13" ht="12" customHeight="1">
      <c r="A330" s="38">
        <v>7</v>
      </c>
      <c r="B330" s="41"/>
      <c r="C330" s="41"/>
      <c r="D330" s="38">
        <v>1</v>
      </c>
      <c r="G330" s="38">
        <v>1</v>
      </c>
      <c r="J330" s="38">
        <f t="shared" si="35"/>
        <v>144</v>
      </c>
      <c r="K330" s="38" t="str">
        <f t="shared" si="42"/>
        <v>90</v>
      </c>
      <c r="M330" s="42"/>
    </row>
    <row r="331" spans="1:13" ht="12" customHeight="1">
      <c r="A331" s="38">
        <v>8</v>
      </c>
      <c r="B331" s="41"/>
      <c r="C331" s="41"/>
      <c r="E331" s="38">
        <v>1</v>
      </c>
      <c r="F331" s="38">
        <v>1</v>
      </c>
      <c r="G331" s="38">
        <v>1</v>
      </c>
      <c r="J331" s="38">
        <f t="shared" ref="J331:J397" si="43">D331*D$2+E331*E$2+F331*F$2+G331*G$2+H331*H$2</f>
        <v>112</v>
      </c>
      <c r="K331" s="38" t="str">
        <f t="shared" si="42"/>
        <v>70</v>
      </c>
      <c r="M331" s="42"/>
    </row>
    <row r="332" spans="1:13" ht="12" customHeight="1">
      <c r="A332" s="38">
        <v>9</v>
      </c>
      <c r="B332" s="41"/>
      <c r="C332" s="41"/>
      <c r="G332" s="38">
        <v>1</v>
      </c>
      <c r="J332" s="38">
        <f t="shared" si="43"/>
        <v>16</v>
      </c>
      <c r="K332" s="38" t="str">
        <f t="shared" si="42"/>
        <v>10</v>
      </c>
      <c r="M332" s="42"/>
    </row>
    <row r="333" spans="1:13" ht="12" customHeight="1">
      <c r="A333" s="38">
        <v>10</v>
      </c>
      <c r="B333" s="41"/>
      <c r="C333" s="41"/>
      <c r="J333" s="38">
        <f t="shared" si="43"/>
        <v>0</v>
      </c>
      <c r="K333" s="38" t="str">
        <f t="shared" si="42"/>
        <v>00</v>
      </c>
      <c r="M333" s="42"/>
    </row>
    <row r="334" spans="1:13" ht="12" customHeight="1">
      <c r="A334" s="38">
        <v>1</v>
      </c>
      <c r="B334" s="41">
        <v>113</v>
      </c>
      <c r="C334" s="41" t="s">
        <v>165</v>
      </c>
      <c r="J334" s="38">
        <f t="shared" si="43"/>
        <v>0</v>
      </c>
      <c r="K334" s="38" t="str">
        <f t="shared" si="42"/>
        <v>00</v>
      </c>
      <c r="M334" s="42" t="str">
        <f t="shared" ref="M334" si="44">CONCATENATE("0x",K334,",0x",K335,",0x",K336,",0x",K337,",0x",K338,",0x",K339,",0x",K340,",0x",K341,",0x",K342,",0x",K343,", //",C334)</f>
        <v>0x00,0x00,0x00,0x30,0x48,0x48,0x48,0x38,0x08,0x08, //q</v>
      </c>
    </row>
    <row r="335" spans="1:13" ht="12" customHeight="1">
      <c r="A335" s="38">
        <v>2</v>
      </c>
      <c r="B335" s="41"/>
      <c r="C335" s="41"/>
      <c r="J335" s="38">
        <f t="shared" si="43"/>
        <v>0</v>
      </c>
      <c r="K335" s="38" t="str">
        <f t="shared" si="42"/>
        <v>00</v>
      </c>
      <c r="M335" s="42"/>
    </row>
    <row r="336" spans="1:13" ht="12" customHeight="1">
      <c r="A336" s="38">
        <v>3</v>
      </c>
      <c r="B336" s="41"/>
      <c r="C336" s="41"/>
      <c r="J336" s="38">
        <f t="shared" si="43"/>
        <v>0</v>
      </c>
      <c r="K336" s="38" t="str">
        <f t="shared" si="42"/>
        <v>00</v>
      </c>
      <c r="M336" s="42"/>
    </row>
    <row r="337" spans="1:13" ht="12" customHeight="1">
      <c r="A337" s="38">
        <v>4</v>
      </c>
      <c r="B337" s="41"/>
      <c r="C337" s="41"/>
      <c r="F337" s="38">
        <v>1</v>
      </c>
      <c r="G337" s="38">
        <v>1</v>
      </c>
      <c r="J337" s="38">
        <f t="shared" si="43"/>
        <v>48</v>
      </c>
      <c r="K337" s="38" t="str">
        <f t="shared" si="42"/>
        <v>30</v>
      </c>
      <c r="M337" s="42"/>
    </row>
    <row r="338" spans="1:13" ht="12" customHeight="1">
      <c r="A338" s="38">
        <v>5</v>
      </c>
      <c r="B338" s="41"/>
      <c r="C338" s="41"/>
      <c r="E338" s="38">
        <v>1</v>
      </c>
      <c r="H338" s="38">
        <v>1</v>
      </c>
      <c r="J338" s="38">
        <f t="shared" si="43"/>
        <v>72</v>
      </c>
      <c r="K338" s="38" t="str">
        <f t="shared" si="42"/>
        <v>48</v>
      </c>
      <c r="M338" s="42"/>
    </row>
    <row r="339" spans="1:13" ht="12" customHeight="1">
      <c r="A339" s="38">
        <v>6</v>
      </c>
      <c r="B339" s="41"/>
      <c r="C339" s="41"/>
      <c r="E339" s="38">
        <v>1</v>
      </c>
      <c r="H339" s="38">
        <v>1</v>
      </c>
      <c r="J339" s="38">
        <f t="shared" si="43"/>
        <v>72</v>
      </c>
      <c r="K339" s="38" t="str">
        <f t="shared" si="42"/>
        <v>48</v>
      </c>
      <c r="M339" s="42"/>
    </row>
    <row r="340" spans="1:13" ht="12" customHeight="1">
      <c r="A340" s="38">
        <v>7</v>
      </c>
      <c r="B340" s="41"/>
      <c r="C340" s="41"/>
      <c r="E340" s="38">
        <v>1</v>
      </c>
      <c r="H340" s="38">
        <v>1</v>
      </c>
      <c r="J340" s="38">
        <f t="shared" si="43"/>
        <v>72</v>
      </c>
      <c r="K340" s="38" t="str">
        <f t="shared" si="42"/>
        <v>48</v>
      </c>
      <c r="M340" s="42"/>
    </row>
    <row r="341" spans="1:13" ht="12" customHeight="1">
      <c r="A341" s="38">
        <v>8</v>
      </c>
      <c r="B341" s="41"/>
      <c r="C341" s="41"/>
      <c r="F341" s="38">
        <v>1</v>
      </c>
      <c r="G341" s="38">
        <v>1</v>
      </c>
      <c r="H341" s="38">
        <v>1</v>
      </c>
      <c r="J341" s="38">
        <f t="shared" si="43"/>
        <v>56</v>
      </c>
      <c r="K341" s="38" t="str">
        <f t="shared" si="42"/>
        <v>38</v>
      </c>
      <c r="M341" s="42"/>
    </row>
    <row r="342" spans="1:13" ht="12" customHeight="1">
      <c r="A342" s="38">
        <v>9</v>
      </c>
      <c r="B342" s="41"/>
      <c r="C342" s="41"/>
      <c r="H342" s="38">
        <v>1</v>
      </c>
      <c r="J342" s="38">
        <f t="shared" si="43"/>
        <v>8</v>
      </c>
      <c r="K342" s="38" t="str">
        <f t="shared" si="42"/>
        <v>08</v>
      </c>
      <c r="M342" s="42"/>
    </row>
    <row r="343" spans="1:13" ht="12" customHeight="1">
      <c r="A343" s="38">
        <v>10</v>
      </c>
      <c r="B343" s="41"/>
      <c r="C343" s="41"/>
      <c r="H343" s="38">
        <v>1</v>
      </c>
      <c r="J343" s="38">
        <f t="shared" si="43"/>
        <v>8</v>
      </c>
      <c r="K343" s="38" t="str">
        <f t="shared" si="42"/>
        <v>08</v>
      </c>
      <c r="M343" s="42"/>
    </row>
    <row r="344" spans="1:13" ht="12" customHeight="1">
      <c r="A344" s="38">
        <v>1</v>
      </c>
      <c r="B344" s="41">
        <v>82</v>
      </c>
      <c r="C344" s="41" t="s">
        <v>135</v>
      </c>
      <c r="D344" s="38">
        <v>1</v>
      </c>
      <c r="E344" s="38">
        <v>1</v>
      </c>
      <c r="F344" s="38">
        <v>1</v>
      </c>
      <c r="G344" s="38">
        <v>1</v>
      </c>
      <c r="J344" s="38">
        <f t="shared" si="43"/>
        <v>240</v>
      </c>
      <c r="K344" s="38" t="str">
        <f t="shared" si="42"/>
        <v>F0</v>
      </c>
      <c r="M344" s="42" t="str">
        <f t="shared" ref="M344" si="45">CONCATENATE("0x",K344,",0x",K345,",0x",K346,",0x",K347,",0x",K348,",0x",K349,",0x",K350,",0x",K351,",0x",K352,",0x",K353,", //",C344)</f>
        <v>0xF0,0x88,0x88,0xF0,0xA0,0x90,0x88,0x88,0x00,0x00, //R</v>
      </c>
    </row>
    <row r="345" spans="1:13" ht="12" customHeight="1">
      <c r="A345" s="38">
        <v>2</v>
      </c>
      <c r="B345" s="41"/>
      <c r="C345" s="41"/>
      <c r="D345" s="38">
        <v>1</v>
      </c>
      <c r="H345" s="38">
        <v>1</v>
      </c>
      <c r="J345" s="38">
        <f t="shared" si="43"/>
        <v>136</v>
      </c>
      <c r="K345" s="38" t="str">
        <f t="shared" si="42"/>
        <v>88</v>
      </c>
      <c r="M345" s="42"/>
    </row>
    <row r="346" spans="1:13" ht="12" customHeight="1">
      <c r="A346" s="38">
        <v>3</v>
      </c>
      <c r="B346" s="41"/>
      <c r="C346" s="41"/>
      <c r="D346" s="38">
        <v>1</v>
      </c>
      <c r="H346" s="38">
        <v>1</v>
      </c>
      <c r="J346" s="38">
        <f t="shared" si="43"/>
        <v>136</v>
      </c>
      <c r="K346" s="38" t="str">
        <f t="shared" si="42"/>
        <v>88</v>
      </c>
      <c r="M346" s="42"/>
    </row>
    <row r="347" spans="1:13" ht="12" customHeight="1">
      <c r="A347" s="38">
        <v>4</v>
      </c>
      <c r="B347" s="41"/>
      <c r="C347" s="41"/>
      <c r="D347" s="38">
        <v>1</v>
      </c>
      <c r="E347" s="38">
        <v>1</v>
      </c>
      <c r="F347" s="38">
        <v>1</v>
      </c>
      <c r="G347" s="38">
        <v>1</v>
      </c>
      <c r="J347" s="38">
        <f t="shared" si="43"/>
        <v>240</v>
      </c>
      <c r="K347" s="38" t="str">
        <f t="shared" si="42"/>
        <v>F0</v>
      </c>
      <c r="M347" s="42"/>
    </row>
    <row r="348" spans="1:13" ht="12" customHeight="1">
      <c r="A348" s="38">
        <v>5</v>
      </c>
      <c r="B348" s="41"/>
      <c r="C348" s="41"/>
      <c r="D348" s="38">
        <v>1</v>
      </c>
      <c r="F348" s="38">
        <v>1</v>
      </c>
      <c r="J348" s="38">
        <f t="shared" si="43"/>
        <v>160</v>
      </c>
      <c r="K348" s="38" t="str">
        <f t="shared" si="42"/>
        <v>A0</v>
      </c>
      <c r="M348" s="42"/>
    </row>
    <row r="349" spans="1:13" ht="12" customHeight="1">
      <c r="A349" s="38">
        <v>6</v>
      </c>
      <c r="B349" s="41"/>
      <c r="C349" s="41"/>
      <c r="D349" s="38">
        <v>1</v>
      </c>
      <c r="G349" s="38">
        <v>1</v>
      </c>
      <c r="J349" s="38">
        <f t="shared" si="43"/>
        <v>144</v>
      </c>
      <c r="K349" s="38" t="str">
        <f t="shared" si="42"/>
        <v>90</v>
      </c>
      <c r="M349" s="42"/>
    </row>
    <row r="350" spans="1:13" ht="12" customHeight="1">
      <c r="A350" s="38">
        <v>7</v>
      </c>
      <c r="B350" s="41"/>
      <c r="C350" s="41"/>
      <c r="D350" s="38">
        <v>1</v>
      </c>
      <c r="H350" s="38">
        <v>1</v>
      </c>
      <c r="J350" s="38">
        <f t="shared" si="43"/>
        <v>136</v>
      </c>
      <c r="K350" s="38" t="str">
        <f t="shared" si="42"/>
        <v>88</v>
      </c>
      <c r="M350" s="42"/>
    </row>
    <row r="351" spans="1:13" ht="12" customHeight="1">
      <c r="A351" s="38">
        <v>8</v>
      </c>
      <c r="B351" s="41"/>
      <c r="C351" s="41"/>
      <c r="D351" s="38">
        <v>1</v>
      </c>
      <c r="H351" s="38">
        <v>1</v>
      </c>
      <c r="J351" s="38">
        <f t="shared" si="43"/>
        <v>136</v>
      </c>
      <c r="K351" s="38" t="str">
        <f t="shared" si="42"/>
        <v>88</v>
      </c>
      <c r="M351" s="42"/>
    </row>
    <row r="352" spans="1:13" ht="12" customHeight="1">
      <c r="A352" s="38">
        <v>9</v>
      </c>
      <c r="B352" s="41"/>
      <c r="C352" s="41"/>
      <c r="J352" s="38">
        <f t="shared" si="43"/>
        <v>0</v>
      </c>
      <c r="K352" s="38" t="str">
        <f t="shared" si="42"/>
        <v>00</v>
      </c>
      <c r="M352" s="42"/>
    </row>
    <row r="353" spans="1:13" ht="12" customHeight="1">
      <c r="A353" s="38">
        <v>10</v>
      </c>
      <c r="B353" s="41"/>
      <c r="C353" s="41"/>
      <c r="J353" s="38">
        <f t="shared" si="43"/>
        <v>0</v>
      </c>
      <c r="K353" s="38" t="str">
        <f t="shared" si="42"/>
        <v>00</v>
      </c>
      <c r="M353" s="42"/>
    </row>
    <row r="354" spans="1:13" ht="12" customHeight="1">
      <c r="A354" s="38">
        <v>1</v>
      </c>
      <c r="B354" s="41">
        <v>114</v>
      </c>
      <c r="C354" s="41" t="s">
        <v>166</v>
      </c>
      <c r="J354" s="38">
        <f t="shared" si="43"/>
        <v>0</v>
      </c>
      <c r="K354" s="38" t="str">
        <f t="shared" si="42"/>
        <v>00</v>
      </c>
      <c r="M354" s="42" t="str">
        <f t="shared" ref="M354" si="46">CONCATENATE("0x",K354,",0x",K355,",0x",K356,",0x",K357,",0x",K358,",0x",K359,",0x",K360,",0x",K361,",0x",K362,",0x",K363,", //",C354)</f>
        <v>0x00,0x00,0x00,0x28,0x30,0x20,0x20,0x20,0x00,0x00, //r</v>
      </c>
    </row>
    <row r="355" spans="1:13" ht="12" customHeight="1">
      <c r="A355" s="38">
        <v>2</v>
      </c>
      <c r="B355" s="41"/>
      <c r="C355" s="41"/>
      <c r="J355" s="38">
        <f t="shared" si="43"/>
        <v>0</v>
      </c>
      <c r="K355" s="38" t="str">
        <f t="shared" si="42"/>
        <v>00</v>
      </c>
      <c r="M355" s="42"/>
    </row>
    <row r="356" spans="1:13" ht="12" customHeight="1">
      <c r="A356" s="38">
        <v>3</v>
      </c>
      <c r="B356" s="41"/>
      <c r="C356" s="41"/>
      <c r="J356" s="38">
        <f t="shared" si="43"/>
        <v>0</v>
      </c>
      <c r="K356" s="38" t="str">
        <f t="shared" si="42"/>
        <v>00</v>
      </c>
      <c r="M356" s="42"/>
    </row>
    <row r="357" spans="1:13" ht="12" customHeight="1">
      <c r="A357" s="38">
        <v>4</v>
      </c>
      <c r="B357" s="41"/>
      <c r="C357" s="41"/>
      <c r="F357" s="38">
        <v>1</v>
      </c>
      <c r="H357" s="38">
        <v>1</v>
      </c>
      <c r="J357" s="38">
        <f t="shared" si="43"/>
        <v>40</v>
      </c>
      <c r="K357" s="38" t="str">
        <f t="shared" si="42"/>
        <v>28</v>
      </c>
      <c r="M357" s="42"/>
    </row>
    <row r="358" spans="1:13" ht="12" customHeight="1">
      <c r="A358" s="38">
        <v>5</v>
      </c>
      <c r="B358" s="41"/>
      <c r="C358" s="41"/>
      <c r="F358" s="38">
        <v>1</v>
      </c>
      <c r="G358" s="38">
        <v>1</v>
      </c>
      <c r="J358" s="38">
        <f t="shared" si="43"/>
        <v>48</v>
      </c>
      <c r="K358" s="38" t="str">
        <f t="shared" si="42"/>
        <v>30</v>
      </c>
      <c r="M358" s="42"/>
    </row>
    <row r="359" spans="1:13" ht="12" customHeight="1">
      <c r="A359" s="38">
        <v>6</v>
      </c>
      <c r="B359" s="41"/>
      <c r="C359" s="41"/>
      <c r="F359" s="38">
        <v>1</v>
      </c>
      <c r="J359" s="38">
        <f t="shared" si="43"/>
        <v>32</v>
      </c>
      <c r="K359" s="38" t="str">
        <f t="shared" si="42"/>
        <v>20</v>
      </c>
      <c r="M359" s="42"/>
    </row>
    <row r="360" spans="1:13" ht="12" customHeight="1">
      <c r="A360" s="38">
        <v>7</v>
      </c>
      <c r="B360" s="41"/>
      <c r="C360" s="41"/>
      <c r="F360" s="38">
        <v>1</v>
      </c>
      <c r="J360" s="38">
        <f t="shared" si="43"/>
        <v>32</v>
      </c>
      <c r="K360" s="38" t="str">
        <f t="shared" si="42"/>
        <v>20</v>
      </c>
      <c r="M360" s="42"/>
    </row>
    <row r="361" spans="1:13" ht="12" customHeight="1">
      <c r="A361" s="38">
        <v>8</v>
      </c>
      <c r="B361" s="41"/>
      <c r="C361" s="41"/>
      <c r="F361" s="38">
        <v>1</v>
      </c>
      <c r="J361" s="38">
        <f t="shared" si="43"/>
        <v>32</v>
      </c>
      <c r="K361" s="38" t="str">
        <f t="shared" si="42"/>
        <v>20</v>
      </c>
      <c r="M361" s="42"/>
    </row>
    <row r="362" spans="1:13" ht="12" customHeight="1">
      <c r="A362" s="38">
        <v>9</v>
      </c>
      <c r="B362" s="41"/>
      <c r="C362" s="41"/>
      <c r="J362" s="38">
        <f t="shared" si="43"/>
        <v>0</v>
      </c>
      <c r="K362" s="38" t="str">
        <f t="shared" si="42"/>
        <v>00</v>
      </c>
      <c r="M362" s="42"/>
    </row>
    <row r="363" spans="1:13" ht="12" customHeight="1">
      <c r="A363" s="38">
        <v>10</v>
      </c>
      <c r="B363" s="41"/>
      <c r="C363" s="41"/>
      <c r="J363" s="38">
        <f t="shared" si="43"/>
        <v>0</v>
      </c>
      <c r="K363" s="38" t="str">
        <f t="shared" si="42"/>
        <v>00</v>
      </c>
      <c r="M363" s="42"/>
    </row>
    <row r="364" spans="1:13" ht="12" customHeight="1">
      <c r="A364" s="38">
        <v>1</v>
      </c>
      <c r="B364" s="41">
        <v>83</v>
      </c>
      <c r="C364" s="41" t="s">
        <v>136</v>
      </c>
      <c r="E364" s="38">
        <v>1</v>
      </c>
      <c r="F364" s="38">
        <v>1</v>
      </c>
      <c r="G364" s="38">
        <v>1</v>
      </c>
      <c r="J364" s="38">
        <f t="shared" si="43"/>
        <v>112</v>
      </c>
      <c r="K364" s="38" t="str">
        <f t="shared" si="42"/>
        <v>70</v>
      </c>
      <c r="M364" s="42" t="str">
        <f t="shared" ref="M364" si="47">CONCATENATE("0x",K364,",0x",K365,",0x",K366,",0x",K367,",0x",K368,",0x",K369,",0x",K370,",0x",K371,",0x",K372,",0x",K373,", //",C364)</f>
        <v>0x70,0x88,0x80,0x70,0x08,0x08,0x88,0x70,0x00,0x00, //S</v>
      </c>
    </row>
    <row r="365" spans="1:13" ht="12" customHeight="1">
      <c r="A365" s="38">
        <v>2</v>
      </c>
      <c r="B365" s="41"/>
      <c r="C365" s="41"/>
      <c r="D365" s="38">
        <v>1</v>
      </c>
      <c r="H365" s="38">
        <v>1</v>
      </c>
      <c r="J365" s="38">
        <f t="shared" si="43"/>
        <v>136</v>
      </c>
      <c r="K365" s="38" t="str">
        <f t="shared" si="42"/>
        <v>88</v>
      </c>
      <c r="M365" s="42"/>
    </row>
    <row r="366" spans="1:13" ht="12" customHeight="1">
      <c r="A366" s="38">
        <v>3</v>
      </c>
      <c r="B366" s="41"/>
      <c r="C366" s="41"/>
      <c r="D366" s="38">
        <v>1</v>
      </c>
      <c r="J366" s="38">
        <f t="shared" si="43"/>
        <v>128</v>
      </c>
      <c r="K366" s="38" t="str">
        <f t="shared" si="42"/>
        <v>80</v>
      </c>
      <c r="M366" s="42"/>
    </row>
    <row r="367" spans="1:13" ht="12" customHeight="1">
      <c r="A367" s="38">
        <v>4</v>
      </c>
      <c r="B367" s="41"/>
      <c r="C367" s="41"/>
      <c r="E367" s="38">
        <v>1</v>
      </c>
      <c r="F367" s="38">
        <v>1</v>
      </c>
      <c r="G367" s="38">
        <v>1</v>
      </c>
      <c r="J367" s="38">
        <f t="shared" si="43"/>
        <v>112</v>
      </c>
      <c r="K367" s="38" t="str">
        <f t="shared" si="42"/>
        <v>70</v>
      </c>
      <c r="M367" s="42"/>
    </row>
    <row r="368" spans="1:13" ht="12" customHeight="1">
      <c r="A368" s="38">
        <v>5</v>
      </c>
      <c r="B368" s="41"/>
      <c r="C368" s="41"/>
      <c r="H368" s="38">
        <v>1</v>
      </c>
      <c r="J368" s="38">
        <f t="shared" si="43"/>
        <v>8</v>
      </c>
      <c r="K368" s="38" t="str">
        <f t="shared" si="42"/>
        <v>08</v>
      </c>
      <c r="M368" s="42"/>
    </row>
    <row r="369" spans="1:13" ht="12" customHeight="1">
      <c r="A369" s="38">
        <v>6</v>
      </c>
      <c r="B369" s="41"/>
      <c r="C369" s="41"/>
      <c r="H369" s="38">
        <v>1</v>
      </c>
      <c r="J369" s="38">
        <f t="shared" si="43"/>
        <v>8</v>
      </c>
      <c r="K369" s="38" t="str">
        <f t="shared" si="42"/>
        <v>08</v>
      </c>
      <c r="M369" s="42"/>
    </row>
    <row r="370" spans="1:13" ht="12" customHeight="1">
      <c r="A370" s="38">
        <v>7</v>
      </c>
      <c r="B370" s="41"/>
      <c r="C370" s="41"/>
      <c r="D370" s="38">
        <v>1</v>
      </c>
      <c r="H370" s="38">
        <v>1</v>
      </c>
      <c r="J370" s="38">
        <f t="shared" si="43"/>
        <v>136</v>
      </c>
      <c r="K370" s="38" t="str">
        <f t="shared" si="42"/>
        <v>88</v>
      </c>
      <c r="M370" s="42"/>
    </row>
    <row r="371" spans="1:13" ht="12" customHeight="1">
      <c r="A371" s="38">
        <v>8</v>
      </c>
      <c r="B371" s="41"/>
      <c r="C371" s="41"/>
      <c r="E371" s="38">
        <v>1</v>
      </c>
      <c r="F371" s="38">
        <v>1</v>
      </c>
      <c r="G371" s="38">
        <v>1</v>
      </c>
      <c r="J371" s="38">
        <f t="shared" si="43"/>
        <v>112</v>
      </c>
      <c r="K371" s="38" t="str">
        <f t="shared" si="42"/>
        <v>70</v>
      </c>
      <c r="M371" s="42"/>
    </row>
    <row r="372" spans="1:13" ht="12" customHeight="1">
      <c r="A372" s="38">
        <v>9</v>
      </c>
      <c r="B372" s="41"/>
      <c r="C372" s="41"/>
      <c r="J372" s="38">
        <f t="shared" si="43"/>
        <v>0</v>
      </c>
      <c r="K372" s="38" t="str">
        <f t="shared" si="42"/>
        <v>00</v>
      </c>
      <c r="M372" s="42"/>
    </row>
    <row r="373" spans="1:13" ht="12" customHeight="1">
      <c r="A373" s="38">
        <v>10</v>
      </c>
      <c r="B373" s="41"/>
      <c r="C373" s="41"/>
      <c r="J373" s="38">
        <f t="shared" si="43"/>
        <v>0</v>
      </c>
      <c r="K373" s="38" t="str">
        <f t="shared" si="42"/>
        <v>00</v>
      </c>
      <c r="M373" s="42"/>
    </row>
    <row r="374" spans="1:13" ht="12" customHeight="1">
      <c r="A374" s="38">
        <v>1</v>
      </c>
      <c r="B374" s="41">
        <v>115</v>
      </c>
      <c r="C374" s="41" t="s">
        <v>167</v>
      </c>
      <c r="J374" s="38">
        <f t="shared" si="43"/>
        <v>0</v>
      </c>
      <c r="K374" s="38" t="str">
        <f t="shared" si="42"/>
        <v>00</v>
      </c>
      <c r="M374" s="42" t="str">
        <f t="shared" ref="M374" si="48">CONCATENATE("0x",K374,",0x",K375,",0x",K376,",0x",K377,",0x",K378,",0x",K379,",0x",K380,",0x",K381,",0x",K382,",0x",K383,", //",C374)</f>
        <v>0x00,0x00,0x00,0x38,0x40,0x30,0x08,0x70,0x00,0x00, //s</v>
      </c>
    </row>
    <row r="375" spans="1:13" ht="12" customHeight="1">
      <c r="A375" s="38">
        <v>2</v>
      </c>
      <c r="B375" s="41"/>
      <c r="C375" s="41"/>
      <c r="J375" s="38">
        <f t="shared" si="43"/>
        <v>0</v>
      </c>
      <c r="K375" s="38" t="str">
        <f t="shared" si="42"/>
        <v>00</v>
      </c>
      <c r="M375" s="42"/>
    </row>
    <row r="376" spans="1:13" ht="12" customHeight="1">
      <c r="A376" s="38">
        <v>3</v>
      </c>
      <c r="B376" s="41"/>
      <c r="C376" s="41"/>
      <c r="J376" s="38">
        <f t="shared" si="43"/>
        <v>0</v>
      </c>
      <c r="K376" s="38" t="str">
        <f t="shared" si="42"/>
        <v>00</v>
      </c>
      <c r="M376" s="42"/>
    </row>
    <row r="377" spans="1:13" ht="12" customHeight="1">
      <c r="A377" s="38">
        <v>4</v>
      </c>
      <c r="B377" s="41"/>
      <c r="C377" s="41"/>
      <c r="F377" s="38">
        <v>1</v>
      </c>
      <c r="G377" s="38">
        <v>1</v>
      </c>
      <c r="H377" s="38">
        <v>1</v>
      </c>
      <c r="J377" s="38">
        <f t="shared" si="43"/>
        <v>56</v>
      </c>
      <c r="K377" s="38" t="str">
        <f t="shared" si="42"/>
        <v>38</v>
      </c>
      <c r="M377" s="42"/>
    </row>
    <row r="378" spans="1:13" ht="12" customHeight="1">
      <c r="A378" s="38">
        <v>5</v>
      </c>
      <c r="B378" s="41"/>
      <c r="C378" s="41"/>
      <c r="E378" s="38">
        <v>1</v>
      </c>
      <c r="J378" s="38">
        <f t="shared" si="43"/>
        <v>64</v>
      </c>
      <c r="K378" s="38" t="str">
        <f t="shared" si="42"/>
        <v>40</v>
      </c>
      <c r="M378" s="42"/>
    </row>
    <row r="379" spans="1:13" ht="12" customHeight="1">
      <c r="A379" s="38">
        <v>6</v>
      </c>
      <c r="B379" s="41"/>
      <c r="C379" s="41"/>
      <c r="F379" s="38">
        <v>1</v>
      </c>
      <c r="G379" s="38">
        <v>1</v>
      </c>
      <c r="J379" s="38">
        <f t="shared" si="43"/>
        <v>48</v>
      </c>
      <c r="K379" s="38" t="str">
        <f t="shared" si="42"/>
        <v>30</v>
      </c>
      <c r="M379" s="42"/>
    </row>
    <row r="380" spans="1:13" ht="12" customHeight="1">
      <c r="A380" s="38">
        <v>7</v>
      </c>
      <c r="B380" s="41"/>
      <c r="C380" s="41"/>
      <c r="H380" s="38">
        <v>1</v>
      </c>
      <c r="J380" s="38">
        <f t="shared" si="43"/>
        <v>8</v>
      </c>
      <c r="K380" s="38" t="str">
        <f t="shared" si="42"/>
        <v>08</v>
      </c>
      <c r="M380" s="42"/>
    </row>
    <row r="381" spans="1:13" ht="12" customHeight="1">
      <c r="A381" s="38">
        <v>8</v>
      </c>
      <c r="B381" s="41"/>
      <c r="C381" s="41"/>
      <c r="E381" s="38">
        <v>1</v>
      </c>
      <c r="F381" s="38">
        <v>1</v>
      </c>
      <c r="G381" s="38">
        <v>1</v>
      </c>
      <c r="J381" s="38">
        <f t="shared" si="43"/>
        <v>112</v>
      </c>
      <c r="K381" s="38" t="str">
        <f t="shared" si="42"/>
        <v>70</v>
      </c>
      <c r="M381" s="42"/>
    </row>
    <row r="382" spans="1:13" ht="12" customHeight="1">
      <c r="A382" s="38">
        <v>9</v>
      </c>
      <c r="B382" s="41"/>
      <c r="C382" s="41"/>
      <c r="J382" s="38">
        <f t="shared" si="43"/>
        <v>0</v>
      </c>
      <c r="K382" s="38" t="str">
        <f t="shared" si="42"/>
        <v>00</v>
      </c>
      <c r="M382" s="42"/>
    </row>
    <row r="383" spans="1:13" ht="12" customHeight="1">
      <c r="A383" s="38">
        <v>10</v>
      </c>
      <c r="B383" s="41"/>
      <c r="C383" s="41"/>
      <c r="J383" s="38">
        <f t="shared" si="43"/>
        <v>0</v>
      </c>
      <c r="K383" s="38" t="str">
        <f t="shared" si="42"/>
        <v>00</v>
      </c>
      <c r="M383" s="42"/>
    </row>
    <row r="384" spans="1:13" ht="12" customHeight="1">
      <c r="A384" s="38">
        <v>1</v>
      </c>
      <c r="B384" s="41">
        <v>84</v>
      </c>
      <c r="C384" s="41" t="s">
        <v>137</v>
      </c>
      <c r="D384" s="38">
        <v>1</v>
      </c>
      <c r="E384" s="38">
        <v>1</v>
      </c>
      <c r="F384" s="38">
        <v>1</v>
      </c>
      <c r="G384" s="38">
        <v>1</v>
      </c>
      <c r="H384" s="38">
        <v>1</v>
      </c>
      <c r="J384" s="38">
        <f t="shared" si="43"/>
        <v>248</v>
      </c>
      <c r="K384" s="38" t="str">
        <f t="shared" si="42"/>
        <v>F8</v>
      </c>
      <c r="M384" s="42" t="str">
        <f t="shared" ref="M384" si="49">CONCATENATE("0x",K384,",0x",K385,",0x",K386,",0x",K387,",0x",K388,",0x",K389,",0x",K390,",0x",K391,",0x",K392,",0x",K393,", //",C384)</f>
        <v>0xF8,0x20,0x20,0x20,0x20,0x20,0x20,0x20,0x00,0x00, //T</v>
      </c>
    </row>
    <row r="385" spans="1:13" ht="12" customHeight="1">
      <c r="A385" s="38">
        <v>2</v>
      </c>
      <c r="B385" s="41"/>
      <c r="C385" s="41"/>
      <c r="F385" s="38">
        <v>1</v>
      </c>
      <c r="J385" s="38">
        <f t="shared" si="43"/>
        <v>32</v>
      </c>
      <c r="K385" s="38" t="str">
        <f t="shared" si="42"/>
        <v>20</v>
      </c>
      <c r="M385" s="42"/>
    </row>
    <row r="386" spans="1:13" ht="12" customHeight="1">
      <c r="A386" s="38">
        <v>3</v>
      </c>
      <c r="B386" s="41"/>
      <c r="C386" s="41"/>
      <c r="F386" s="38">
        <v>1</v>
      </c>
      <c r="J386" s="38">
        <f t="shared" si="43"/>
        <v>32</v>
      </c>
      <c r="K386" s="38" t="str">
        <f t="shared" si="42"/>
        <v>20</v>
      </c>
      <c r="M386" s="42"/>
    </row>
    <row r="387" spans="1:13" ht="12" customHeight="1">
      <c r="A387" s="38">
        <v>4</v>
      </c>
      <c r="B387" s="41"/>
      <c r="C387" s="41"/>
      <c r="F387" s="38">
        <v>1</v>
      </c>
      <c r="J387" s="38">
        <f t="shared" si="43"/>
        <v>32</v>
      </c>
      <c r="K387" s="38" t="str">
        <f t="shared" si="42"/>
        <v>20</v>
      </c>
      <c r="M387" s="42"/>
    </row>
    <row r="388" spans="1:13" ht="12" customHeight="1">
      <c r="A388" s="38">
        <v>5</v>
      </c>
      <c r="B388" s="41"/>
      <c r="C388" s="41"/>
      <c r="F388" s="38">
        <v>1</v>
      </c>
      <c r="J388" s="38">
        <f t="shared" si="43"/>
        <v>32</v>
      </c>
      <c r="K388" s="38" t="str">
        <f t="shared" si="42"/>
        <v>20</v>
      </c>
      <c r="M388" s="42"/>
    </row>
    <row r="389" spans="1:13" ht="12" customHeight="1">
      <c r="A389" s="38">
        <v>6</v>
      </c>
      <c r="B389" s="41"/>
      <c r="C389" s="41"/>
      <c r="F389" s="38">
        <v>1</v>
      </c>
      <c r="J389" s="38">
        <f t="shared" si="43"/>
        <v>32</v>
      </c>
      <c r="K389" s="38" t="str">
        <f t="shared" ref="K389:K452" si="50">DEC2HEX(J389,2)</f>
        <v>20</v>
      </c>
      <c r="M389" s="42"/>
    </row>
    <row r="390" spans="1:13" ht="12" customHeight="1">
      <c r="A390" s="38">
        <v>7</v>
      </c>
      <c r="B390" s="41"/>
      <c r="C390" s="41"/>
      <c r="F390" s="38">
        <v>1</v>
      </c>
      <c r="J390" s="38">
        <f t="shared" si="43"/>
        <v>32</v>
      </c>
      <c r="K390" s="38" t="str">
        <f t="shared" si="50"/>
        <v>20</v>
      </c>
      <c r="M390" s="42"/>
    </row>
    <row r="391" spans="1:13" ht="12" customHeight="1">
      <c r="A391" s="38">
        <v>8</v>
      </c>
      <c r="B391" s="41"/>
      <c r="C391" s="41"/>
      <c r="F391" s="38">
        <v>1</v>
      </c>
      <c r="J391" s="38">
        <f t="shared" si="43"/>
        <v>32</v>
      </c>
      <c r="K391" s="38" t="str">
        <f t="shared" si="50"/>
        <v>20</v>
      </c>
      <c r="M391" s="42"/>
    </row>
    <row r="392" spans="1:13" ht="12" customHeight="1">
      <c r="A392" s="38">
        <v>9</v>
      </c>
      <c r="B392" s="41"/>
      <c r="C392" s="41"/>
      <c r="J392" s="38">
        <f t="shared" si="43"/>
        <v>0</v>
      </c>
      <c r="K392" s="38" t="str">
        <f t="shared" si="50"/>
        <v>00</v>
      </c>
      <c r="M392" s="42"/>
    </row>
    <row r="393" spans="1:13" ht="12" customHeight="1">
      <c r="A393" s="38">
        <v>10</v>
      </c>
      <c r="B393" s="41"/>
      <c r="C393" s="41"/>
      <c r="J393" s="38">
        <f t="shared" si="43"/>
        <v>0</v>
      </c>
      <c r="K393" s="38" t="str">
        <f t="shared" si="50"/>
        <v>00</v>
      </c>
      <c r="M393" s="42"/>
    </row>
    <row r="394" spans="1:13" ht="12" customHeight="1">
      <c r="A394" s="38">
        <v>1</v>
      </c>
      <c r="B394" s="41">
        <v>116</v>
      </c>
      <c r="C394" s="41" t="s">
        <v>168</v>
      </c>
      <c r="J394" s="38">
        <f t="shared" si="43"/>
        <v>0</v>
      </c>
      <c r="K394" s="38" t="str">
        <f t="shared" si="50"/>
        <v>00</v>
      </c>
      <c r="M394" s="42" t="str">
        <f t="shared" ref="M394" si="51">CONCATENATE("0x",K394,",0x",K395,",0x",K396,",0x",K397,",0x",K398,",0x",K399,",0x",K400,",0x",K401,",0x",K402,",0x",K403,", //",C394)</f>
        <v>0x00,0x10,0x10,0x38,0x10,0x10,0x10,0x18,0x00,0x00, //t</v>
      </c>
    </row>
    <row r="395" spans="1:13" ht="12" customHeight="1">
      <c r="A395" s="38">
        <v>2</v>
      </c>
      <c r="B395" s="41"/>
      <c r="C395" s="41"/>
      <c r="G395" s="38">
        <v>1</v>
      </c>
      <c r="J395" s="38">
        <f t="shared" si="43"/>
        <v>16</v>
      </c>
      <c r="K395" s="38" t="str">
        <f t="shared" si="50"/>
        <v>10</v>
      </c>
      <c r="M395" s="42"/>
    </row>
    <row r="396" spans="1:13" ht="12" customHeight="1">
      <c r="A396" s="38">
        <v>3</v>
      </c>
      <c r="B396" s="41"/>
      <c r="C396" s="41"/>
      <c r="G396" s="38">
        <v>1</v>
      </c>
      <c r="J396" s="38">
        <f t="shared" si="43"/>
        <v>16</v>
      </c>
      <c r="K396" s="38" t="str">
        <f t="shared" si="50"/>
        <v>10</v>
      </c>
      <c r="M396" s="42"/>
    </row>
    <row r="397" spans="1:13" ht="12" customHeight="1">
      <c r="A397" s="38">
        <v>4</v>
      </c>
      <c r="B397" s="41"/>
      <c r="C397" s="41"/>
      <c r="F397" s="38">
        <v>1</v>
      </c>
      <c r="G397" s="38">
        <v>1</v>
      </c>
      <c r="H397" s="38">
        <v>1</v>
      </c>
      <c r="J397" s="38">
        <f t="shared" si="43"/>
        <v>56</v>
      </c>
      <c r="K397" s="38" t="str">
        <f t="shared" si="50"/>
        <v>38</v>
      </c>
      <c r="M397" s="42"/>
    </row>
    <row r="398" spans="1:13" ht="12" customHeight="1">
      <c r="A398" s="38">
        <v>5</v>
      </c>
      <c r="B398" s="41"/>
      <c r="C398" s="41"/>
      <c r="G398" s="38">
        <v>1</v>
      </c>
      <c r="J398" s="38">
        <f t="shared" ref="J398:J461" si="52">D398*D$2+E398*E$2+F398*F$2+G398*G$2+H398*H$2</f>
        <v>16</v>
      </c>
      <c r="K398" s="38" t="str">
        <f t="shared" si="50"/>
        <v>10</v>
      </c>
      <c r="M398" s="42"/>
    </row>
    <row r="399" spans="1:13" ht="12" customHeight="1">
      <c r="A399" s="38">
        <v>6</v>
      </c>
      <c r="B399" s="41"/>
      <c r="C399" s="41"/>
      <c r="G399" s="38">
        <v>1</v>
      </c>
      <c r="J399" s="38">
        <f t="shared" si="52"/>
        <v>16</v>
      </c>
      <c r="K399" s="38" t="str">
        <f t="shared" si="50"/>
        <v>10</v>
      </c>
      <c r="M399" s="42"/>
    </row>
    <row r="400" spans="1:13" ht="12" customHeight="1">
      <c r="A400" s="38">
        <v>7</v>
      </c>
      <c r="B400" s="41"/>
      <c r="C400" s="41"/>
      <c r="G400" s="38">
        <v>1</v>
      </c>
      <c r="J400" s="38">
        <f t="shared" si="52"/>
        <v>16</v>
      </c>
      <c r="K400" s="38" t="str">
        <f t="shared" si="50"/>
        <v>10</v>
      </c>
      <c r="M400" s="42"/>
    </row>
    <row r="401" spans="1:13" ht="12" customHeight="1">
      <c r="A401" s="38">
        <v>8</v>
      </c>
      <c r="B401" s="41"/>
      <c r="C401" s="41"/>
      <c r="G401" s="38">
        <v>1</v>
      </c>
      <c r="H401" s="38">
        <v>1</v>
      </c>
      <c r="J401" s="38">
        <f t="shared" si="52"/>
        <v>24</v>
      </c>
      <c r="K401" s="38" t="str">
        <f t="shared" si="50"/>
        <v>18</v>
      </c>
      <c r="M401" s="42"/>
    </row>
    <row r="402" spans="1:13" ht="12" customHeight="1">
      <c r="A402" s="38">
        <v>9</v>
      </c>
      <c r="B402" s="41"/>
      <c r="C402" s="41"/>
      <c r="J402" s="38">
        <f t="shared" si="52"/>
        <v>0</v>
      </c>
      <c r="K402" s="38" t="str">
        <f t="shared" si="50"/>
        <v>00</v>
      </c>
      <c r="M402" s="42"/>
    </row>
    <row r="403" spans="1:13" ht="12" customHeight="1">
      <c r="A403" s="38">
        <v>10</v>
      </c>
      <c r="B403" s="41"/>
      <c r="C403" s="41"/>
      <c r="J403" s="38">
        <f t="shared" si="52"/>
        <v>0</v>
      </c>
      <c r="K403" s="38" t="str">
        <f t="shared" si="50"/>
        <v>00</v>
      </c>
      <c r="M403" s="42"/>
    </row>
    <row r="404" spans="1:13" ht="12" customHeight="1">
      <c r="A404" s="38">
        <v>1</v>
      </c>
      <c r="B404" s="41">
        <v>85</v>
      </c>
      <c r="C404" s="41" t="s">
        <v>138</v>
      </c>
      <c r="D404" s="38">
        <v>1</v>
      </c>
      <c r="H404" s="38">
        <v>1</v>
      </c>
      <c r="J404" s="38">
        <f t="shared" si="52"/>
        <v>136</v>
      </c>
      <c r="K404" s="38" t="str">
        <f t="shared" si="50"/>
        <v>88</v>
      </c>
      <c r="M404" s="42" t="str">
        <f t="shared" ref="M404" si="53">CONCATENATE("0x",K404,",0x",K405,",0x",K406,",0x",K407,",0x",K408,",0x",K409,",0x",K410,",0x",K411,",0x",K412,",0x",K413,", //",C404)</f>
        <v>0x88,0x88,0x88,0x88,0x88,0x88,0x88,0x70,0x00,0x00, //U</v>
      </c>
    </row>
    <row r="405" spans="1:13" ht="12" customHeight="1">
      <c r="A405" s="38">
        <v>2</v>
      </c>
      <c r="B405" s="41"/>
      <c r="C405" s="41"/>
      <c r="D405" s="38">
        <v>1</v>
      </c>
      <c r="H405" s="38">
        <v>1</v>
      </c>
      <c r="J405" s="38">
        <f t="shared" si="52"/>
        <v>136</v>
      </c>
      <c r="K405" s="38" t="str">
        <f t="shared" si="50"/>
        <v>88</v>
      </c>
      <c r="M405" s="42"/>
    </row>
    <row r="406" spans="1:13" ht="12" customHeight="1">
      <c r="A406" s="38">
        <v>3</v>
      </c>
      <c r="B406" s="41"/>
      <c r="C406" s="41"/>
      <c r="D406" s="38">
        <v>1</v>
      </c>
      <c r="H406" s="38">
        <v>1</v>
      </c>
      <c r="J406" s="38">
        <f t="shared" si="52"/>
        <v>136</v>
      </c>
      <c r="K406" s="38" t="str">
        <f t="shared" si="50"/>
        <v>88</v>
      </c>
      <c r="M406" s="42"/>
    </row>
    <row r="407" spans="1:13" ht="12" customHeight="1">
      <c r="A407" s="38">
        <v>4</v>
      </c>
      <c r="B407" s="41"/>
      <c r="C407" s="41"/>
      <c r="D407" s="38">
        <v>1</v>
      </c>
      <c r="H407" s="38">
        <v>1</v>
      </c>
      <c r="J407" s="38">
        <f t="shared" si="52"/>
        <v>136</v>
      </c>
      <c r="K407" s="38" t="str">
        <f t="shared" si="50"/>
        <v>88</v>
      </c>
      <c r="M407" s="42"/>
    </row>
    <row r="408" spans="1:13" ht="12" customHeight="1">
      <c r="A408" s="38">
        <v>5</v>
      </c>
      <c r="B408" s="41"/>
      <c r="C408" s="41"/>
      <c r="D408" s="38">
        <v>1</v>
      </c>
      <c r="H408" s="38">
        <v>1</v>
      </c>
      <c r="J408" s="38">
        <f t="shared" si="52"/>
        <v>136</v>
      </c>
      <c r="K408" s="38" t="str">
        <f t="shared" si="50"/>
        <v>88</v>
      </c>
      <c r="M408" s="42"/>
    </row>
    <row r="409" spans="1:13" ht="12" customHeight="1">
      <c r="A409" s="38">
        <v>6</v>
      </c>
      <c r="B409" s="41"/>
      <c r="C409" s="41"/>
      <c r="D409" s="38">
        <v>1</v>
      </c>
      <c r="H409" s="38">
        <v>1</v>
      </c>
      <c r="J409" s="38">
        <f t="shared" si="52"/>
        <v>136</v>
      </c>
      <c r="K409" s="38" t="str">
        <f t="shared" si="50"/>
        <v>88</v>
      </c>
      <c r="M409" s="42"/>
    </row>
    <row r="410" spans="1:13" ht="12" customHeight="1">
      <c r="A410" s="38">
        <v>7</v>
      </c>
      <c r="B410" s="41"/>
      <c r="C410" s="41"/>
      <c r="D410" s="38">
        <v>1</v>
      </c>
      <c r="H410" s="38">
        <v>1</v>
      </c>
      <c r="J410" s="38">
        <f t="shared" si="52"/>
        <v>136</v>
      </c>
      <c r="K410" s="38" t="str">
        <f t="shared" si="50"/>
        <v>88</v>
      </c>
      <c r="M410" s="42"/>
    </row>
    <row r="411" spans="1:13" ht="12" customHeight="1">
      <c r="A411" s="38">
        <v>8</v>
      </c>
      <c r="B411" s="41"/>
      <c r="C411" s="41"/>
      <c r="E411" s="38">
        <v>1</v>
      </c>
      <c r="F411" s="38">
        <v>1</v>
      </c>
      <c r="G411" s="38">
        <v>1</v>
      </c>
      <c r="J411" s="38">
        <f t="shared" si="52"/>
        <v>112</v>
      </c>
      <c r="K411" s="38" t="str">
        <f t="shared" si="50"/>
        <v>70</v>
      </c>
      <c r="M411" s="42"/>
    </row>
    <row r="412" spans="1:13" ht="12" customHeight="1">
      <c r="A412" s="38">
        <v>9</v>
      </c>
      <c r="B412" s="41"/>
      <c r="C412" s="41"/>
      <c r="J412" s="38">
        <f t="shared" si="52"/>
        <v>0</v>
      </c>
      <c r="K412" s="38" t="str">
        <f t="shared" si="50"/>
        <v>00</v>
      </c>
      <c r="M412" s="42"/>
    </row>
    <row r="413" spans="1:13" ht="12" customHeight="1">
      <c r="A413" s="38">
        <v>10</v>
      </c>
      <c r="B413" s="41"/>
      <c r="C413" s="41"/>
      <c r="J413" s="38">
        <f t="shared" si="52"/>
        <v>0</v>
      </c>
      <c r="K413" s="38" t="str">
        <f t="shared" si="50"/>
        <v>00</v>
      </c>
      <c r="M413" s="42"/>
    </row>
    <row r="414" spans="1:13" ht="12" customHeight="1">
      <c r="A414" s="38">
        <v>1</v>
      </c>
      <c r="B414" s="41">
        <v>117</v>
      </c>
      <c r="C414" s="41" t="s">
        <v>169</v>
      </c>
      <c r="J414" s="38">
        <f t="shared" si="52"/>
        <v>0</v>
      </c>
      <c r="K414" s="38" t="str">
        <f t="shared" si="50"/>
        <v>00</v>
      </c>
      <c r="M414" s="42" t="str">
        <f t="shared" ref="M414" si="54">CONCATENATE("0x",K414,",0x",K415,",0x",K416,",0x",K417,",0x",K418,",0x",K419,",0x",K420,",0x",K421,",0x",K422,",0x",K423,", //",C414)</f>
        <v>0x00,0x00,0x00,0x48,0x48,0x48,0x48,0x30,0x00,0x00, //u</v>
      </c>
    </row>
    <row r="415" spans="1:13" ht="12" customHeight="1">
      <c r="A415" s="38">
        <v>2</v>
      </c>
      <c r="B415" s="41"/>
      <c r="C415" s="41"/>
      <c r="J415" s="38">
        <f t="shared" si="52"/>
        <v>0</v>
      </c>
      <c r="K415" s="38" t="str">
        <f t="shared" si="50"/>
        <v>00</v>
      </c>
      <c r="M415" s="42"/>
    </row>
    <row r="416" spans="1:13" ht="12" customHeight="1">
      <c r="A416" s="38">
        <v>3</v>
      </c>
      <c r="B416" s="41"/>
      <c r="C416" s="41"/>
      <c r="J416" s="38">
        <f t="shared" si="52"/>
        <v>0</v>
      </c>
      <c r="K416" s="38" t="str">
        <f t="shared" si="50"/>
        <v>00</v>
      </c>
      <c r="M416" s="42"/>
    </row>
    <row r="417" spans="1:13" ht="12" customHeight="1">
      <c r="A417" s="38">
        <v>4</v>
      </c>
      <c r="B417" s="41"/>
      <c r="C417" s="41"/>
      <c r="E417" s="38">
        <v>1</v>
      </c>
      <c r="H417" s="38">
        <v>1</v>
      </c>
      <c r="J417" s="38">
        <f t="shared" si="52"/>
        <v>72</v>
      </c>
      <c r="K417" s="38" t="str">
        <f t="shared" si="50"/>
        <v>48</v>
      </c>
      <c r="M417" s="42"/>
    </row>
    <row r="418" spans="1:13" ht="12" customHeight="1">
      <c r="A418" s="38">
        <v>5</v>
      </c>
      <c r="B418" s="41"/>
      <c r="C418" s="41"/>
      <c r="E418" s="38">
        <v>1</v>
      </c>
      <c r="H418" s="38">
        <v>1</v>
      </c>
      <c r="J418" s="38">
        <f t="shared" si="52"/>
        <v>72</v>
      </c>
      <c r="K418" s="38" t="str">
        <f t="shared" si="50"/>
        <v>48</v>
      </c>
      <c r="M418" s="42"/>
    </row>
    <row r="419" spans="1:13" ht="12" customHeight="1">
      <c r="A419" s="38">
        <v>6</v>
      </c>
      <c r="B419" s="41"/>
      <c r="C419" s="41"/>
      <c r="E419" s="38">
        <v>1</v>
      </c>
      <c r="H419" s="38">
        <v>1</v>
      </c>
      <c r="J419" s="38">
        <f t="shared" si="52"/>
        <v>72</v>
      </c>
      <c r="K419" s="38" t="str">
        <f t="shared" si="50"/>
        <v>48</v>
      </c>
      <c r="M419" s="42"/>
    </row>
    <row r="420" spans="1:13" ht="12" customHeight="1">
      <c r="A420" s="38">
        <v>7</v>
      </c>
      <c r="B420" s="41"/>
      <c r="C420" s="41"/>
      <c r="E420" s="38">
        <v>1</v>
      </c>
      <c r="H420" s="38">
        <v>1</v>
      </c>
      <c r="J420" s="38">
        <f t="shared" si="52"/>
        <v>72</v>
      </c>
      <c r="K420" s="38" t="str">
        <f t="shared" si="50"/>
        <v>48</v>
      </c>
      <c r="M420" s="42"/>
    </row>
    <row r="421" spans="1:13" ht="12" customHeight="1">
      <c r="A421" s="38">
        <v>8</v>
      </c>
      <c r="B421" s="41"/>
      <c r="C421" s="41"/>
      <c r="F421" s="38">
        <v>1</v>
      </c>
      <c r="G421" s="38">
        <v>1</v>
      </c>
      <c r="J421" s="38">
        <f t="shared" si="52"/>
        <v>48</v>
      </c>
      <c r="K421" s="38" t="str">
        <f t="shared" si="50"/>
        <v>30</v>
      </c>
      <c r="M421" s="42"/>
    </row>
    <row r="422" spans="1:13" ht="12" customHeight="1">
      <c r="A422" s="38">
        <v>9</v>
      </c>
      <c r="B422" s="41"/>
      <c r="C422" s="41"/>
      <c r="J422" s="38">
        <f t="shared" si="52"/>
        <v>0</v>
      </c>
      <c r="K422" s="38" t="str">
        <f t="shared" si="50"/>
        <v>00</v>
      </c>
      <c r="M422" s="42"/>
    </row>
    <row r="423" spans="1:13" ht="12" customHeight="1">
      <c r="A423" s="38">
        <v>10</v>
      </c>
      <c r="B423" s="41"/>
      <c r="C423" s="41"/>
      <c r="J423" s="38">
        <f t="shared" si="52"/>
        <v>0</v>
      </c>
      <c r="K423" s="38" t="str">
        <f t="shared" si="50"/>
        <v>00</v>
      </c>
      <c r="M423" s="42"/>
    </row>
    <row r="424" spans="1:13" ht="12" customHeight="1">
      <c r="A424" s="38">
        <v>1</v>
      </c>
      <c r="B424" s="41">
        <v>86</v>
      </c>
      <c r="C424" s="41" t="s">
        <v>139</v>
      </c>
      <c r="D424" s="38">
        <v>1</v>
      </c>
      <c r="H424" s="38">
        <v>1</v>
      </c>
      <c r="J424" s="38">
        <f t="shared" si="52"/>
        <v>136</v>
      </c>
      <c r="K424" s="38" t="str">
        <f t="shared" si="50"/>
        <v>88</v>
      </c>
      <c r="M424" s="42" t="str">
        <f t="shared" ref="M424" si="55">CONCATENATE("0x",K424,",0x",K425,",0x",K426,",0x",K427,",0x",K428,",0x",K429,",0x",K430,",0x",K431,",0x",K432,",0x",K433,", //",C424)</f>
        <v>0x88,0x88,0x88,0x88,0x50,0x50,0x20,0x20,0x00,0x00, //V</v>
      </c>
    </row>
    <row r="425" spans="1:13" ht="12" customHeight="1">
      <c r="A425" s="38">
        <v>2</v>
      </c>
      <c r="B425" s="41"/>
      <c r="C425" s="41"/>
      <c r="D425" s="38">
        <v>1</v>
      </c>
      <c r="H425" s="38">
        <v>1</v>
      </c>
      <c r="J425" s="38">
        <f t="shared" si="52"/>
        <v>136</v>
      </c>
      <c r="K425" s="38" t="str">
        <f t="shared" si="50"/>
        <v>88</v>
      </c>
      <c r="M425" s="42"/>
    </row>
    <row r="426" spans="1:13" ht="12" customHeight="1">
      <c r="A426" s="38">
        <v>3</v>
      </c>
      <c r="B426" s="41"/>
      <c r="C426" s="41"/>
      <c r="D426" s="38">
        <v>1</v>
      </c>
      <c r="H426" s="38">
        <v>1</v>
      </c>
      <c r="J426" s="38">
        <f t="shared" si="52"/>
        <v>136</v>
      </c>
      <c r="K426" s="38" t="str">
        <f t="shared" si="50"/>
        <v>88</v>
      </c>
      <c r="M426" s="42"/>
    </row>
    <row r="427" spans="1:13" ht="12" customHeight="1">
      <c r="A427" s="38">
        <v>4</v>
      </c>
      <c r="B427" s="41"/>
      <c r="C427" s="41"/>
      <c r="D427" s="38">
        <v>1</v>
      </c>
      <c r="H427" s="38">
        <v>1</v>
      </c>
      <c r="J427" s="38">
        <f t="shared" si="52"/>
        <v>136</v>
      </c>
      <c r="K427" s="38" t="str">
        <f t="shared" si="50"/>
        <v>88</v>
      </c>
      <c r="M427" s="42"/>
    </row>
    <row r="428" spans="1:13" ht="12" customHeight="1">
      <c r="A428" s="38">
        <v>5</v>
      </c>
      <c r="B428" s="41"/>
      <c r="C428" s="41"/>
      <c r="E428" s="38">
        <v>1</v>
      </c>
      <c r="G428" s="38">
        <v>1</v>
      </c>
      <c r="J428" s="38">
        <f t="shared" si="52"/>
        <v>80</v>
      </c>
      <c r="K428" s="38" t="str">
        <f t="shared" si="50"/>
        <v>50</v>
      </c>
      <c r="M428" s="42"/>
    </row>
    <row r="429" spans="1:13" ht="12" customHeight="1">
      <c r="A429" s="38">
        <v>6</v>
      </c>
      <c r="B429" s="41"/>
      <c r="C429" s="41"/>
      <c r="E429" s="38">
        <v>1</v>
      </c>
      <c r="G429" s="38">
        <v>1</v>
      </c>
      <c r="J429" s="38">
        <f t="shared" si="52"/>
        <v>80</v>
      </c>
      <c r="K429" s="38" t="str">
        <f t="shared" si="50"/>
        <v>50</v>
      </c>
      <c r="M429" s="42"/>
    </row>
    <row r="430" spans="1:13" ht="12" customHeight="1">
      <c r="A430" s="38">
        <v>7</v>
      </c>
      <c r="B430" s="41"/>
      <c r="C430" s="41"/>
      <c r="F430" s="38">
        <v>1</v>
      </c>
      <c r="J430" s="38">
        <f t="shared" si="52"/>
        <v>32</v>
      </c>
      <c r="K430" s="38" t="str">
        <f t="shared" si="50"/>
        <v>20</v>
      </c>
      <c r="M430" s="42"/>
    </row>
    <row r="431" spans="1:13" ht="12" customHeight="1">
      <c r="A431" s="38">
        <v>8</v>
      </c>
      <c r="B431" s="41"/>
      <c r="C431" s="41"/>
      <c r="F431" s="38">
        <v>1</v>
      </c>
      <c r="J431" s="38">
        <f t="shared" si="52"/>
        <v>32</v>
      </c>
      <c r="K431" s="38" t="str">
        <f t="shared" si="50"/>
        <v>20</v>
      </c>
      <c r="M431" s="42"/>
    </row>
    <row r="432" spans="1:13" ht="12" customHeight="1">
      <c r="A432" s="38">
        <v>9</v>
      </c>
      <c r="B432" s="41"/>
      <c r="C432" s="41"/>
      <c r="J432" s="38">
        <f t="shared" si="52"/>
        <v>0</v>
      </c>
      <c r="K432" s="38" t="str">
        <f t="shared" si="50"/>
        <v>00</v>
      </c>
      <c r="M432" s="42"/>
    </row>
    <row r="433" spans="1:13" ht="12" customHeight="1">
      <c r="A433" s="38">
        <v>10</v>
      </c>
      <c r="B433" s="41"/>
      <c r="C433" s="41"/>
      <c r="J433" s="38">
        <f t="shared" si="52"/>
        <v>0</v>
      </c>
      <c r="K433" s="38" t="str">
        <f t="shared" si="50"/>
        <v>00</v>
      </c>
      <c r="M433" s="42"/>
    </row>
    <row r="434" spans="1:13" ht="12" customHeight="1">
      <c r="A434" s="38">
        <v>1</v>
      </c>
      <c r="B434" s="41">
        <v>118</v>
      </c>
      <c r="C434" s="41" t="s">
        <v>170</v>
      </c>
      <c r="J434" s="38">
        <f t="shared" si="52"/>
        <v>0</v>
      </c>
      <c r="K434" s="38" t="str">
        <f t="shared" si="50"/>
        <v>00</v>
      </c>
      <c r="M434" s="42" t="str">
        <f t="shared" ref="M434" si="56">CONCATENATE("0x",K434,",0x",K435,",0x",K436,",0x",K437,",0x",K438,",0x",K439,",0x",K440,",0x",K441,",0x",K442,",0x",K443,", //",C434)</f>
        <v>0x00,0x00,0x00,0x88,0x88,0x50,0x50,0x20,0x00,0x00, //v</v>
      </c>
    </row>
    <row r="435" spans="1:13" ht="12" customHeight="1">
      <c r="A435" s="38">
        <v>2</v>
      </c>
      <c r="B435" s="41"/>
      <c r="C435" s="41"/>
      <c r="J435" s="38">
        <f t="shared" si="52"/>
        <v>0</v>
      </c>
      <c r="K435" s="38" t="str">
        <f t="shared" si="50"/>
        <v>00</v>
      </c>
      <c r="M435" s="42"/>
    </row>
    <row r="436" spans="1:13" ht="12" customHeight="1">
      <c r="A436" s="38">
        <v>3</v>
      </c>
      <c r="B436" s="41"/>
      <c r="C436" s="41"/>
      <c r="J436" s="38">
        <f t="shared" si="52"/>
        <v>0</v>
      </c>
      <c r="K436" s="38" t="str">
        <f t="shared" si="50"/>
        <v>00</v>
      </c>
      <c r="M436" s="42"/>
    </row>
    <row r="437" spans="1:13" ht="12" customHeight="1">
      <c r="A437" s="38">
        <v>4</v>
      </c>
      <c r="B437" s="41"/>
      <c r="C437" s="41"/>
      <c r="D437" s="38">
        <v>1</v>
      </c>
      <c r="H437" s="38">
        <v>1</v>
      </c>
      <c r="J437" s="38">
        <f t="shared" si="52"/>
        <v>136</v>
      </c>
      <c r="K437" s="38" t="str">
        <f t="shared" si="50"/>
        <v>88</v>
      </c>
      <c r="M437" s="42"/>
    </row>
    <row r="438" spans="1:13" ht="12" customHeight="1">
      <c r="A438" s="38">
        <v>5</v>
      </c>
      <c r="B438" s="41"/>
      <c r="C438" s="41"/>
      <c r="D438" s="38">
        <v>1</v>
      </c>
      <c r="H438" s="38">
        <v>1</v>
      </c>
      <c r="J438" s="38">
        <f t="shared" si="52"/>
        <v>136</v>
      </c>
      <c r="K438" s="38" t="str">
        <f t="shared" si="50"/>
        <v>88</v>
      </c>
      <c r="M438" s="42"/>
    </row>
    <row r="439" spans="1:13" ht="12" customHeight="1">
      <c r="A439" s="38">
        <v>6</v>
      </c>
      <c r="B439" s="41"/>
      <c r="C439" s="41"/>
      <c r="E439" s="38">
        <v>1</v>
      </c>
      <c r="G439" s="38">
        <v>1</v>
      </c>
      <c r="J439" s="38">
        <f t="shared" si="52"/>
        <v>80</v>
      </c>
      <c r="K439" s="38" t="str">
        <f t="shared" si="50"/>
        <v>50</v>
      </c>
      <c r="M439" s="42"/>
    </row>
    <row r="440" spans="1:13" ht="12" customHeight="1">
      <c r="A440" s="38">
        <v>7</v>
      </c>
      <c r="B440" s="41"/>
      <c r="C440" s="41"/>
      <c r="E440" s="38">
        <v>1</v>
      </c>
      <c r="G440" s="38">
        <v>1</v>
      </c>
      <c r="J440" s="38">
        <f t="shared" si="52"/>
        <v>80</v>
      </c>
      <c r="K440" s="38" t="str">
        <f t="shared" si="50"/>
        <v>50</v>
      </c>
      <c r="M440" s="42"/>
    </row>
    <row r="441" spans="1:13" ht="12" customHeight="1">
      <c r="A441" s="38">
        <v>8</v>
      </c>
      <c r="B441" s="41"/>
      <c r="C441" s="41"/>
      <c r="F441" s="38">
        <v>1</v>
      </c>
      <c r="J441" s="38">
        <f t="shared" si="52"/>
        <v>32</v>
      </c>
      <c r="K441" s="38" t="str">
        <f t="shared" si="50"/>
        <v>20</v>
      </c>
      <c r="M441" s="42"/>
    </row>
    <row r="442" spans="1:13" ht="12" customHeight="1">
      <c r="A442" s="38">
        <v>9</v>
      </c>
      <c r="B442" s="41"/>
      <c r="C442" s="41"/>
      <c r="J442" s="38">
        <f t="shared" si="52"/>
        <v>0</v>
      </c>
      <c r="K442" s="38" t="str">
        <f t="shared" si="50"/>
        <v>00</v>
      </c>
      <c r="M442" s="42"/>
    </row>
    <row r="443" spans="1:13" ht="12" customHeight="1">
      <c r="A443" s="38">
        <v>10</v>
      </c>
      <c r="B443" s="41"/>
      <c r="C443" s="41"/>
      <c r="J443" s="38">
        <f t="shared" si="52"/>
        <v>0</v>
      </c>
      <c r="K443" s="38" t="str">
        <f t="shared" si="50"/>
        <v>00</v>
      </c>
      <c r="M443" s="42"/>
    </row>
    <row r="444" spans="1:13" ht="12" customHeight="1">
      <c r="A444" s="38">
        <v>1</v>
      </c>
      <c r="B444" s="41">
        <v>87</v>
      </c>
      <c r="C444" s="41" t="s">
        <v>140</v>
      </c>
      <c r="D444" s="38">
        <v>1</v>
      </c>
      <c r="H444" s="38">
        <v>1</v>
      </c>
      <c r="J444" s="38">
        <f t="shared" si="52"/>
        <v>136</v>
      </c>
      <c r="K444" s="38" t="str">
        <f t="shared" si="50"/>
        <v>88</v>
      </c>
      <c r="M444" s="42" t="str">
        <f t="shared" ref="M444" si="57">CONCATENATE("0x",K444,",0x",K445,",0x",K446,",0x",K447,",0x",K448,",0x",K449,",0x",K450,",0x",K451,",0x",K452,",0x",K453,", //",C444)</f>
        <v>0x88,0x88,0xA8,0xA8,0xA8,0xA8,0x50,0x50,0x00,0x00, //W</v>
      </c>
    </row>
    <row r="445" spans="1:13" ht="12" customHeight="1">
      <c r="A445" s="38">
        <v>2</v>
      </c>
      <c r="B445" s="41"/>
      <c r="C445" s="41"/>
      <c r="D445" s="38">
        <v>1</v>
      </c>
      <c r="H445" s="38">
        <v>1</v>
      </c>
      <c r="J445" s="38">
        <f t="shared" si="52"/>
        <v>136</v>
      </c>
      <c r="K445" s="38" t="str">
        <f t="shared" si="50"/>
        <v>88</v>
      </c>
      <c r="M445" s="42"/>
    </row>
    <row r="446" spans="1:13" ht="12" customHeight="1">
      <c r="A446" s="38">
        <v>3</v>
      </c>
      <c r="B446" s="41"/>
      <c r="C446" s="41"/>
      <c r="D446" s="38">
        <v>1</v>
      </c>
      <c r="F446" s="38">
        <v>1</v>
      </c>
      <c r="H446" s="38">
        <v>1</v>
      </c>
      <c r="J446" s="38">
        <f t="shared" si="52"/>
        <v>168</v>
      </c>
      <c r="K446" s="38" t="str">
        <f t="shared" si="50"/>
        <v>A8</v>
      </c>
      <c r="M446" s="42"/>
    </row>
    <row r="447" spans="1:13" ht="12" customHeight="1">
      <c r="A447" s="38">
        <v>4</v>
      </c>
      <c r="B447" s="41"/>
      <c r="C447" s="41"/>
      <c r="D447" s="38">
        <v>1</v>
      </c>
      <c r="F447" s="38">
        <v>1</v>
      </c>
      <c r="H447" s="38">
        <v>1</v>
      </c>
      <c r="J447" s="38">
        <f t="shared" si="52"/>
        <v>168</v>
      </c>
      <c r="K447" s="38" t="str">
        <f t="shared" si="50"/>
        <v>A8</v>
      </c>
      <c r="M447" s="42"/>
    </row>
    <row r="448" spans="1:13" ht="12" customHeight="1">
      <c r="A448" s="38">
        <v>5</v>
      </c>
      <c r="B448" s="41"/>
      <c r="C448" s="41"/>
      <c r="D448" s="38">
        <v>1</v>
      </c>
      <c r="F448" s="38">
        <v>1</v>
      </c>
      <c r="H448" s="38">
        <v>1</v>
      </c>
      <c r="J448" s="38">
        <f t="shared" si="52"/>
        <v>168</v>
      </c>
      <c r="K448" s="38" t="str">
        <f t="shared" si="50"/>
        <v>A8</v>
      </c>
      <c r="M448" s="42"/>
    </row>
    <row r="449" spans="1:13" ht="12" customHeight="1">
      <c r="A449" s="38">
        <v>6</v>
      </c>
      <c r="B449" s="41"/>
      <c r="C449" s="41"/>
      <c r="D449" s="38">
        <v>1</v>
      </c>
      <c r="F449" s="38">
        <v>1</v>
      </c>
      <c r="H449" s="38">
        <v>1</v>
      </c>
      <c r="J449" s="38">
        <f t="shared" si="52"/>
        <v>168</v>
      </c>
      <c r="K449" s="38" t="str">
        <f t="shared" si="50"/>
        <v>A8</v>
      </c>
      <c r="M449" s="42"/>
    </row>
    <row r="450" spans="1:13" ht="12" customHeight="1">
      <c r="A450" s="38">
        <v>7</v>
      </c>
      <c r="B450" s="41"/>
      <c r="C450" s="41"/>
      <c r="E450" s="38">
        <v>1</v>
      </c>
      <c r="G450" s="38">
        <v>1</v>
      </c>
      <c r="J450" s="38">
        <f t="shared" si="52"/>
        <v>80</v>
      </c>
      <c r="K450" s="38" t="str">
        <f t="shared" si="50"/>
        <v>50</v>
      </c>
      <c r="M450" s="42"/>
    </row>
    <row r="451" spans="1:13" ht="12" customHeight="1">
      <c r="A451" s="38">
        <v>8</v>
      </c>
      <c r="B451" s="41"/>
      <c r="C451" s="41"/>
      <c r="E451" s="38">
        <v>1</v>
      </c>
      <c r="G451" s="38">
        <v>1</v>
      </c>
      <c r="J451" s="38">
        <f t="shared" si="52"/>
        <v>80</v>
      </c>
      <c r="K451" s="38" t="str">
        <f t="shared" si="50"/>
        <v>50</v>
      </c>
      <c r="M451" s="42"/>
    </row>
    <row r="452" spans="1:13" ht="12" customHeight="1">
      <c r="A452" s="38">
        <v>9</v>
      </c>
      <c r="B452" s="41"/>
      <c r="C452" s="41"/>
      <c r="J452" s="38">
        <f t="shared" si="52"/>
        <v>0</v>
      </c>
      <c r="K452" s="38" t="str">
        <f t="shared" si="50"/>
        <v>00</v>
      </c>
      <c r="M452" s="42"/>
    </row>
    <row r="453" spans="1:13" ht="12" customHeight="1">
      <c r="A453" s="38">
        <v>10</v>
      </c>
      <c r="B453" s="41"/>
      <c r="C453" s="41"/>
      <c r="J453" s="38">
        <f t="shared" si="52"/>
        <v>0</v>
      </c>
      <c r="K453" s="38" t="str">
        <f t="shared" ref="K453:K516" si="58">DEC2HEX(J453,2)</f>
        <v>00</v>
      </c>
      <c r="M453" s="42"/>
    </row>
    <row r="454" spans="1:13" ht="12" customHeight="1">
      <c r="A454" s="38">
        <v>1</v>
      </c>
      <c r="B454" s="41">
        <v>119</v>
      </c>
      <c r="C454" s="41" t="s">
        <v>171</v>
      </c>
      <c r="J454" s="38">
        <f t="shared" si="52"/>
        <v>0</v>
      </c>
      <c r="K454" s="38" t="str">
        <f t="shared" si="58"/>
        <v>00</v>
      </c>
      <c r="M454" s="42" t="str">
        <f t="shared" ref="M454" si="59">CONCATENATE("0x",K454,",0x",K455,",0x",K456,",0x",K457,",0x",K458,",0x",K459,",0x",K460,",0x",K461,",0x",K462,",0x",K463,", //",C454)</f>
        <v>0x00,0x00,0x00,0x88,0x88,0xA8,0xA8,0x50,0x00,0x00, //w</v>
      </c>
    </row>
    <row r="455" spans="1:13" ht="12" customHeight="1">
      <c r="A455" s="38">
        <v>2</v>
      </c>
      <c r="B455" s="41"/>
      <c r="C455" s="41"/>
      <c r="J455" s="38">
        <f t="shared" si="52"/>
        <v>0</v>
      </c>
      <c r="K455" s="38" t="str">
        <f t="shared" si="58"/>
        <v>00</v>
      </c>
      <c r="M455" s="42"/>
    </row>
    <row r="456" spans="1:13" ht="12" customHeight="1">
      <c r="A456" s="38">
        <v>3</v>
      </c>
      <c r="B456" s="41"/>
      <c r="C456" s="41"/>
      <c r="J456" s="38">
        <f t="shared" si="52"/>
        <v>0</v>
      </c>
      <c r="K456" s="38" t="str">
        <f t="shared" si="58"/>
        <v>00</v>
      </c>
      <c r="M456" s="42"/>
    </row>
    <row r="457" spans="1:13" ht="12" customHeight="1">
      <c r="A457" s="38">
        <v>4</v>
      </c>
      <c r="B457" s="41"/>
      <c r="C457" s="41"/>
      <c r="D457" s="38">
        <v>1</v>
      </c>
      <c r="H457" s="38">
        <v>1</v>
      </c>
      <c r="J457" s="38">
        <f t="shared" si="52"/>
        <v>136</v>
      </c>
      <c r="K457" s="38" t="str">
        <f t="shared" si="58"/>
        <v>88</v>
      </c>
      <c r="M457" s="42"/>
    </row>
    <row r="458" spans="1:13" ht="12" customHeight="1">
      <c r="A458" s="38">
        <v>5</v>
      </c>
      <c r="B458" s="41"/>
      <c r="C458" s="41"/>
      <c r="D458" s="38">
        <v>1</v>
      </c>
      <c r="H458" s="38">
        <v>1</v>
      </c>
      <c r="J458" s="38">
        <f t="shared" si="52"/>
        <v>136</v>
      </c>
      <c r="K458" s="38" t="str">
        <f t="shared" si="58"/>
        <v>88</v>
      </c>
      <c r="M458" s="42"/>
    </row>
    <row r="459" spans="1:13" ht="12" customHeight="1">
      <c r="A459" s="38">
        <v>6</v>
      </c>
      <c r="B459" s="41"/>
      <c r="C459" s="41"/>
      <c r="D459" s="38">
        <v>1</v>
      </c>
      <c r="F459" s="38">
        <v>1</v>
      </c>
      <c r="H459" s="38">
        <v>1</v>
      </c>
      <c r="J459" s="38">
        <f t="shared" si="52"/>
        <v>168</v>
      </c>
      <c r="K459" s="38" t="str">
        <f t="shared" si="58"/>
        <v>A8</v>
      </c>
      <c r="M459" s="42"/>
    </row>
    <row r="460" spans="1:13" ht="12" customHeight="1">
      <c r="A460" s="38">
        <v>7</v>
      </c>
      <c r="B460" s="41"/>
      <c r="C460" s="41"/>
      <c r="D460" s="38">
        <v>1</v>
      </c>
      <c r="F460" s="38">
        <v>1</v>
      </c>
      <c r="H460" s="38">
        <v>1</v>
      </c>
      <c r="J460" s="38">
        <f t="shared" si="52"/>
        <v>168</v>
      </c>
      <c r="K460" s="38" t="str">
        <f t="shared" si="58"/>
        <v>A8</v>
      </c>
      <c r="M460" s="42"/>
    </row>
    <row r="461" spans="1:13" ht="12" customHeight="1">
      <c r="A461" s="38">
        <v>8</v>
      </c>
      <c r="B461" s="41"/>
      <c r="C461" s="41"/>
      <c r="E461" s="38">
        <v>1</v>
      </c>
      <c r="G461" s="38">
        <v>1</v>
      </c>
      <c r="J461" s="38">
        <f t="shared" si="52"/>
        <v>80</v>
      </c>
      <c r="K461" s="38" t="str">
        <f t="shared" si="58"/>
        <v>50</v>
      </c>
      <c r="M461" s="42"/>
    </row>
    <row r="462" spans="1:13" ht="12" customHeight="1">
      <c r="A462" s="38">
        <v>9</v>
      </c>
      <c r="B462" s="41"/>
      <c r="C462" s="41"/>
      <c r="J462" s="38">
        <f t="shared" ref="J462:J525" si="60">D462*D$2+E462*E$2+F462*F$2+G462*G$2+H462*H$2</f>
        <v>0</v>
      </c>
      <c r="K462" s="38" t="str">
        <f t="shared" si="58"/>
        <v>00</v>
      </c>
      <c r="M462" s="42"/>
    </row>
    <row r="463" spans="1:13" ht="12" customHeight="1">
      <c r="A463" s="38">
        <v>10</v>
      </c>
      <c r="B463" s="41"/>
      <c r="C463" s="41"/>
      <c r="J463" s="38">
        <f t="shared" si="60"/>
        <v>0</v>
      </c>
      <c r="K463" s="38" t="str">
        <f t="shared" si="58"/>
        <v>00</v>
      </c>
      <c r="M463" s="42"/>
    </row>
    <row r="464" spans="1:13" ht="12" customHeight="1">
      <c r="A464" s="38">
        <v>1</v>
      </c>
      <c r="B464" s="41">
        <v>88</v>
      </c>
      <c r="C464" s="41" t="s">
        <v>141</v>
      </c>
      <c r="D464" s="38">
        <v>1</v>
      </c>
      <c r="H464" s="38">
        <v>1</v>
      </c>
      <c r="J464" s="38">
        <f t="shared" si="60"/>
        <v>136</v>
      </c>
      <c r="K464" s="38" t="str">
        <f t="shared" si="58"/>
        <v>88</v>
      </c>
      <c r="M464" s="42" t="str">
        <f t="shared" ref="M464" si="61">CONCATENATE("0x",K464,",0x",K465,",0x",K466,",0x",K467,",0x",K468,",0x",K469,",0x",K470,",0x",K471,",0x",K472,",0x",K473,", //",C464)</f>
        <v>0x88,0x88,0x50,0x20,0x20,0x50,0x88,0x88,0x00,0x00, //X</v>
      </c>
    </row>
    <row r="465" spans="1:13" ht="12" customHeight="1">
      <c r="A465" s="38">
        <v>2</v>
      </c>
      <c r="B465" s="41"/>
      <c r="C465" s="41"/>
      <c r="D465" s="38">
        <v>1</v>
      </c>
      <c r="H465" s="38">
        <v>1</v>
      </c>
      <c r="J465" s="38">
        <f t="shared" si="60"/>
        <v>136</v>
      </c>
      <c r="K465" s="38" t="str">
        <f t="shared" si="58"/>
        <v>88</v>
      </c>
      <c r="M465" s="42"/>
    </row>
    <row r="466" spans="1:13" ht="12" customHeight="1">
      <c r="A466" s="38">
        <v>3</v>
      </c>
      <c r="B466" s="41"/>
      <c r="C466" s="41"/>
      <c r="E466" s="38">
        <v>1</v>
      </c>
      <c r="G466" s="38">
        <v>1</v>
      </c>
      <c r="J466" s="38">
        <f t="shared" si="60"/>
        <v>80</v>
      </c>
      <c r="K466" s="38" t="str">
        <f t="shared" si="58"/>
        <v>50</v>
      </c>
      <c r="M466" s="42"/>
    </row>
    <row r="467" spans="1:13" ht="12" customHeight="1">
      <c r="A467" s="38">
        <v>4</v>
      </c>
      <c r="B467" s="41"/>
      <c r="C467" s="41"/>
      <c r="F467" s="38">
        <v>1</v>
      </c>
      <c r="J467" s="38">
        <f t="shared" si="60"/>
        <v>32</v>
      </c>
      <c r="K467" s="38" t="str">
        <f t="shared" si="58"/>
        <v>20</v>
      </c>
      <c r="M467" s="42"/>
    </row>
    <row r="468" spans="1:13" ht="12" customHeight="1">
      <c r="A468" s="38">
        <v>5</v>
      </c>
      <c r="B468" s="41"/>
      <c r="C468" s="41"/>
      <c r="F468" s="38">
        <v>1</v>
      </c>
      <c r="J468" s="38">
        <f t="shared" si="60"/>
        <v>32</v>
      </c>
      <c r="K468" s="38" t="str">
        <f t="shared" si="58"/>
        <v>20</v>
      </c>
      <c r="M468" s="42"/>
    </row>
    <row r="469" spans="1:13" ht="12" customHeight="1">
      <c r="A469" s="38">
        <v>6</v>
      </c>
      <c r="B469" s="41"/>
      <c r="C469" s="41"/>
      <c r="E469" s="38">
        <v>1</v>
      </c>
      <c r="G469" s="38">
        <v>1</v>
      </c>
      <c r="J469" s="38">
        <f t="shared" si="60"/>
        <v>80</v>
      </c>
      <c r="K469" s="38" t="str">
        <f t="shared" si="58"/>
        <v>50</v>
      </c>
      <c r="M469" s="42"/>
    </row>
    <row r="470" spans="1:13" ht="12" customHeight="1">
      <c r="A470" s="38">
        <v>7</v>
      </c>
      <c r="B470" s="41"/>
      <c r="C470" s="41"/>
      <c r="D470" s="38">
        <v>1</v>
      </c>
      <c r="H470" s="38">
        <v>1</v>
      </c>
      <c r="J470" s="38">
        <f t="shared" si="60"/>
        <v>136</v>
      </c>
      <c r="K470" s="38" t="str">
        <f t="shared" si="58"/>
        <v>88</v>
      </c>
      <c r="M470" s="42"/>
    </row>
    <row r="471" spans="1:13" ht="12" customHeight="1">
      <c r="A471" s="38">
        <v>8</v>
      </c>
      <c r="B471" s="41"/>
      <c r="C471" s="41"/>
      <c r="D471" s="38">
        <v>1</v>
      </c>
      <c r="H471" s="38">
        <v>1</v>
      </c>
      <c r="J471" s="38">
        <f t="shared" si="60"/>
        <v>136</v>
      </c>
      <c r="K471" s="38" t="str">
        <f t="shared" si="58"/>
        <v>88</v>
      </c>
      <c r="M471" s="42"/>
    </row>
    <row r="472" spans="1:13" ht="12" customHeight="1">
      <c r="A472" s="38">
        <v>9</v>
      </c>
      <c r="B472" s="41"/>
      <c r="C472" s="41"/>
      <c r="J472" s="38">
        <f t="shared" si="60"/>
        <v>0</v>
      </c>
      <c r="K472" s="38" t="str">
        <f t="shared" si="58"/>
        <v>00</v>
      </c>
      <c r="M472" s="42"/>
    </row>
    <row r="473" spans="1:13" ht="12" customHeight="1">
      <c r="A473" s="38">
        <v>10</v>
      </c>
      <c r="B473" s="41"/>
      <c r="C473" s="41"/>
      <c r="J473" s="38">
        <f t="shared" si="60"/>
        <v>0</v>
      </c>
      <c r="K473" s="38" t="str">
        <f t="shared" si="58"/>
        <v>00</v>
      </c>
      <c r="M473" s="42"/>
    </row>
    <row r="474" spans="1:13" ht="12" customHeight="1">
      <c r="A474" s="38">
        <v>1</v>
      </c>
      <c r="B474" s="41">
        <v>120</v>
      </c>
      <c r="C474" s="41" t="s">
        <v>172</v>
      </c>
      <c r="J474" s="38">
        <f t="shared" si="60"/>
        <v>0</v>
      </c>
      <c r="K474" s="38" t="str">
        <f t="shared" si="58"/>
        <v>00</v>
      </c>
      <c r="M474" s="42" t="str">
        <f t="shared" ref="M474" si="62">CONCATENATE("0x",K474,",0x",K475,",0x",K476,",0x",K477,",0x",K478,",0x",K479,",0x",K480,",0x",K481,",0x",K482,",0x",K483,", //",C474)</f>
        <v>0x00,0x00,0x00,0x88,0x50,0x20,0x50,0x88,0x00,0x00, //x</v>
      </c>
    </row>
    <row r="475" spans="1:13" ht="12" customHeight="1">
      <c r="A475" s="38">
        <v>2</v>
      </c>
      <c r="B475" s="41"/>
      <c r="C475" s="41"/>
      <c r="J475" s="38">
        <f t="shared" si="60"/>
        <v>0</v>
      </c>
      <c r="K475" s="38" t="str">
        <f t="shared" si="58"/>
        <v>00</v>
      </c>
      <c r="M475" s="42"/>
    </row>
    <row r="476" spans="1:13" ht="12" customHeight="1">
      <c r="A476" s="38">
        <v>3</v>
      </c>
      <c r="B476" s="41"/>
      <c r="C476" s="41"/>
      <c r="J476" s="38">
        <f t="shared" si="60"/>
        <v>0</v>
      </c>
      <c r="K476" s="38" t="str">
        <f t="shared" si="58"/>
        <v>00</v>
      </c>
      <c r="M476" s="42"/>
    </row>
    <row r="477" spans="1:13" ht="12" customHeight="1">
      <c r="A477" s="38">
        <v>4</v>
      </c>
      <c r="B477" s="41"/>
      <c r="C477" s="41"/>
      <c r="D477" s="38">
        <v>1</v>
      </c>
      <c r="H477" s="38">
        <v>1</v>
      </c>
      <c r="J477" s="38">
        <f t="shared" si="60"/>
        <v>136</v>
      </c>
      <c r="K477" s="38" t="str">
        <f t="shared" si="58"/>
        <v>88</v>
      </c>
      <c r="M477" s="42"/>
    </row>
    <row r="478" spans="1:13" ht="12" customHeight="1">
      <c r="A478" s="38">
        <v>5</v>
      </c>
      <c r="B478" s="41"/>
      <c r="C478" s="41"/>
      <c r="E478" s="38">
        <v>1</v>
      </c>
      <c r="G478" s="38">
        <v>1</v>
      </c>
      <c r="J478" s="38">
        <f t="shared" si="60"/>
        <v>80</v>
      </c>
      <c r="K478" s="38" t="str">
        <f t="shared" si="58"/>
        <v>50</v>
      </c>
      <c r="M478" s="42"/>
    </row>
    <row r="479" spans="1:13" ht="12" customHeight="1">
      <c r="A479" s="38">
        <v>6</v>
      </c>
      <c r="B479" s="41"/>
      <c r="C479" s="41"/>
      <c r="F479" s="38">
        <v>1</v>
      </c>
      <c r="J479" s="38">
        <f t="shared" si="60"/>
        <v>32</v>
      </c>
      <c r="K479" s="38" t="str">
        <f t="shared" si="58"/>
        <v>20</v>
      </c>
      <c r="M479" s="42"/>
    </row>
    <row r="480" spans="1:13" ht="12" customHeight="1">
      <c r="A480" s="38">
        <v>7</v>
      </c>
      <c r="B480" s="41"/>
      <c r="C480" s="41"/>
      <c r="E480" s="38">
        <v>1</v>
      </c>
      <c r="G480" s="38">
        <v>1</v>
      </c>
      <c r="J480" s="38">
        <f t="shared" si="60"/>
        <v>80</v>
      </c>
      <c r="K480" s="38" t="str">
        <f t="shared" si="58"/>
        <v>50</v>
      </c>
      <c r="M480" s="42"/>
    </row>
    <row r="481" spans="1:13" ht="12" customHeight="1">
      <c r="A481" s="38">
        <v>8</v>
      </c>
      <c r="B481" s="41"/>
      <c r="C481" s="41"/>
      <c r="D481" s="38">
        <v>1</v>
      </c>
      <c r="H481" s="38">
        <v>1</v>
      </c>
      <c r="J481" s="38">
        <f t="shared" si="60"/>
        <v>136</v>
      </c>
      <c r="K481" s="38" t="str">
        <f t="shared" si="58"/>
        <v>88</v>
      </c>
      <c r="M481" s="42"/>
    </row>
    <row r="482" spans="1:13" ht="12" customHeight="1">
      <c r="A482" s="38">
        <v>9</v>
      </c>
      <c r="B482" s="41"/>
      <c r="C482" s="41"/>
      <c r="J482" s="38">
        <f t="shared" si="60"/>
        <v>0</v>
      </c>
      <c r="K482" s="38" t="str">
        <f t="shared" si="58"/>
        <v>00</v>
      </c>
      <c r="M482" s="42"/>
    </row>
    <row r="483" spans="1:13" ht="12" customHeight="1">
      <c r="A483" s="38">
        <v>10</v>
      </c>
      <c r="B483" s="41"/>
      <c r="C483" s="41"/>
      <c r="J483" s="38">
        <f t="shared" si="60"/>
        <v>0</v>
      </c>
      <c r="K483" s="38" t="str">
        <f t="shared" si="58"/>
        <v>00</v>
      </c>
      <c r="M483" s="42"/>
    </row>
    <row r="484" spans="1:13" ht="12" customHeight="1">
      <c r="A484" s="38">
        <v>1</v>
      </c>
      <c r="B484" s="41">
        <v>89</v>
      </c>
      <c r="C484" s="41" t="s">
        <v>142</v>
      </c>
      <c r="D484" s="38">
        <v>1</v>
      </c>
      <c r="H484" s="38">
        <v>1</v>
      </c>
      <c r="J484" s="38">
        <f t="shared" si="60"/>
        <v>136</v>
      </c>
      <c r="K484" s="38" t="str">
        <f t="shared" si="58"/>
        <v>88</v>
      </c>
      <c r="M484" s="42" t="str">
        <f t="shared" ref="M484" si="63">CONCATENATE("0x",K484,",0x",K485,",0x",K486,",0x",K487,",0x",K488,",0x",K489,",0x",K490,",0x",K491,",0x",K492,",0x",K493,", //",C484)</f>
        <v>0x88,0x88,0x50,0x50,0x20,0x20,0x20,0x20,0x00,0x00, //Y</v>
      </c>
    </row>
    <row r="485" spans="1:13" ht="12" customHeight="1">
      <c r="A485" s="38">
        <v>2</v>
      </c>
      <c r="B485" s="41"/>
      <c r="C485" s="41"/>
      <c r="D485" s="38">
        <v>1</v>
      </c>
      <c r="H485" s="38">
        <v>1</v>
      </c>
      <c r="J485" s="38">
        <f t="shared" si="60"/>
        <v>136</v>
      </c>
      <c r="K485" s="38" t="str">
        <f t="shared" si="58"/>
        <v>88</v>
      </c>
      <c r="M485" s="42"/>
    </row>
    <row r="486" spans="1:13" ht="12" customHeight="1">
      <c r="A486" s="38">
        <v>3</v>
      </c>
      <c r="B486" s="41"/>
      <c r="C486" s="41"/>
      <c r="E486" s="38">
        <v>1</v>
      </c>
      <c r="G486" s="38">
        <v>1</v>
      </c>
      <c r="J486" s="38">
        <f t="shared" si="60"/>
        <v>80</v>
      </c>
      <c r="K486" s="38" t="str">
        <f t="shared" si="58"/>
        <v>50</v>
      </c>
      <c r="M486" s="42"/>
    </row>
    <row r="487" spans="1:13" ht="12" customHeight="1">
      <c r="A487" s="38">
        <v>4</v>
      </c>
      <c r="B487" s="41"/>
      <c r="C487" s="41"/>
      <c r="E487" s="38">
        <v>1</v>
      </c>
      <c r="G487" s="38">
        <v>1</v>
      </c>
      <c r="J487" s="38">
        <f t="shared" si="60"/>
        <v>80</v>
      </c>
      <c r="K487" s="38" t="str">
        <f t="shared" si="58"/>
        <v>50</v>
      </c>
      <c r="M487" s="42"/>
    </row>
    <row r="488" spans="1:13" ht="12" customHeight="1">
      <c r="A488" s="38">
        <v>5</v>
      </c>
      <c r="B488" s="41"/>
      <c r="C488" s="41"/>
      <c r="F488" s="38">
        <v>1</v>
      </c>
      <c r="J488" s="38">
        <f t="shared" si="60"/>
        <v>32</v>
      </c>
      <c r="K488" s="38" t="str">
        <f t="shared" si="58"/>
        <v>20</v>
      </c>
      <c r="M488" s="42"/>
    </row>
    <row r="489" spans="1:13" ht="12" customHeight="1">
      <c r="A489" s="38">
        <v>6</v>
      </c>
      <c r="B489" s="41"/>
      <c r="C489" s="41"/>
      <c r="F489" s="38">
        <v>1</v>
      </c>
      <c r="J489" s="38">
        <f t="shared" si="60"/>
        <v>32</v>
      </c>
      <c r="K489" s="38" t="str">
        <f t="shared" si="58"/>
        <v>20</v>
      </c>
      <c r="M489" s="42"/>
    </row>
    <row r="490" spans="1:13" ht="12" customHeight="1">
      <c r="A490" s="38">
        <v>7</v>
      </c>
      <c r="B490" s="41"/>
      <c r="C490" s="41"/>
      <c r="F490" s="38">
        <v>1</v>
      </c>
      <c r="J490" s="38">
        <f t="shared" si="60"/>
        <v>32</v>
      </c>
      <c r="K490" s="38" t="str">
        <f t="shared" si="58"/>
        <v>20</v>
      </c>
      <c r="M490" s="42"/>
    </row>
    <row r="491" spans="1:13" ht="12" customHeight="1">
      <c r="A491" s="38">
        <v>8</v>
      </c>
      <c r="B491" s="41"/>
      <c r="C491" s="41"/>
      <c r="F491" s="38">
        <v>1</v>
      </c>
      <c r="J491" s="38">
        <f t="shared" si="60"/>
        <v>32</v>
      </c>
      <c r="K491" s="38" t="str">
        <f t="shared" si="58"/>
        <v>20</v>
      </c>
      <c r="M491" s="42"/>
    </row>
    <row r="492" spans="1:13" ht="12" customHeight="1">
      <c r="A492" s="38">
        <v>9</v>
      </c>
      <c r="B492" s="41"/>
      <c r="C492" s="41"/>
      <c r="J492" s="38">
        <f t="shared" si="60"/>
        <v>0</v>
      </c>
      <c r="K492" s="38" t="str">
        <f t="shared" si="58"/>
        <v>00</v>
      </c>
      <c r="M492" s="42"/>
    </row>
    <row r="493" spans="1:13" ht="12" customHeight="1">
      <c r="A493" s="38">
        <v>10</v>
      </c>
      <c r="B493" s="41"/>
      <c r="C493" s="41"/>
      <c r="J493" s="38">
        <f t="shared" si="60"/>
        <v>0</v>
      </c>
      <c r="K493" s="38" t="str">
        <f t="shared" si="58"/>
        <v>00</v>
      </c>
      <c r="M493" s="42"/>
    </row>
    <row r="494" spans="1:13" ht="12" customHeight="1">
      <c r="A494" s="38">
        <v>1</v>
      </c>
      <c r="B494" s="41">
        <v>121</v>
      </c>
      <c r="C494" s="41" t="s">
        <v>173</v>
      </c>
      <c r="J494" s="38">
        <f t="shared" si="60"/>
        <v>0</v>
      </c>
      <c r="K494" s="38" t="str">
        <f t="shared" si="58"/>
        <v>00</v>
      </c>
      <c r="M494" s="42" t="str">
        <f t="shared" ref="M494" si="64">CONCATENATE("0x",K494,",0x",K495,",0x",K496,",0x",K497,",0x",K498,",0x",K499,",0x",K500,",0x",K501,",0x",K502,",0x",K503,", //",C494)</f>
        <v>0x00,0x00,0x00,0x88,0x88,0x50,0x20,0x20,0x40,0x80, //y</v>
      </c>
    </row>
    <row r="495" spans="1:13" ht="12" customHeight="1">
      <c r="A495" s="38">
        <v>2</v>
      </c>
      <c r="B495" s="41"/>
      <c r="C495" s="41"/>
      <c r="J495" s="38">
        <f t="shared" si="60"/>
        <v>0</v>
      </c>
      <c r="K495" s="38" t="str">
        <f t="shared" si="58"/>
        <v>00</v>
      </c>
      <c r="M495" s="42"/>
    </row>
    <row r="496" spans="1:13" ht="12" customHeight="1">
      <c r="A496" s="38">
        <v>3</v>
      </c>
      <c r="B496" s="41"/>
      <c r="C496" s="41"/>
      <c r="J496" s="38">
        <f t="shared" si="60"/>
        <v>0</v>
      </c>
      <c r="K496" s="38" t="str">
        <f t="shared" si="58"/>
        <v>00</v>
      </c>
      <c r="M496" s="42"/>
    </row>
    <row r="497" spans="1:13" ht="12" customHeight="1">
      <c r="A497" s="38">
        <v>4</v>
      </c>
      <c r="B497" s="41"/>
      <c r="C497" s="41"/>
      <c r="D497" s="38">
        <v>1</v>
      </c>
      <c r="H497" s="38">
        <v>1</v>
      </c>
      <c r="J497" s="38">
        <f t="shared" si="60"/>
        <v>136</v>
      </c>
      <c r="K497" s="38" t="str">
        <f t="shared" si="58"/>
        <v>88</v>
      </c>
      <c r="M497" s="42"/>
    </row>
    <row r="498" spans="1:13" ht="12" customHeight="1">
      <c r="A498" s="38">
        <v>5</v>
      </c>
      <c r="B498" s="41"/>
      <c r="C498" s="41"/>
      <c r="D498" s="38">
        <v>1</v>
      </c>
      <c r="H498" s="38">
        <v>1</v>
      </c>
      <c r="J498" s="38">
        <f t="shared" si="60"/>
        <v>136</v>
      </c>
      <c r="K498" s="38" t="str">
        <f t="shared" si="58"/>
        <v>88</v>
      </c>
      <c r="M498" s="42"/>
    </row>
    <row r="499" spans="1:13" ht="12" customHeight="1">
      <c r="A499" s="38">
        <v>6</v>
      </c>
      <c r="B499" s="41"/>
      <c r="C499" s="41"/>
      <c r="E499" s="38">
        <v>1</v>
      </c>
      <c r="G499" s="38">
        <v>1</v>
      </c>
      <c r="J499" s="38">
        <f t="shared" si="60"/>
        <v>80</v>
      </c>
      <c r="K499" s="38" t="str">
        <f t="shared" si="58"/>
        <v>50</v>
      </c>
      <c r="M499" s="42"/>
    </row>
    <row r="500" spans="1:13" ht="12" customHeight="1">
      <c r="A500" s="38">
        <v>7</v>
      </c>
      <c r="B500" s="41"/>
      <c r="C500" s="41"/>
      <c r="F500" s="38">
        <v>1</v>
      </c>
      <c r="J500" s="38">
        <f t="shared" si="60"/>
        <v>32</v>
      </c>
      <c r="K500" s="38" t="str">
        <f t="shared" si="58"/>
        <v>20</v>
      </c>
      <c r="M500" s="42"/>
    </row>
    <row r="501" spans="1:13" ht="12" customHeight="1">
      <c r="A501" s="38">
        <v>8</v>
      </c>
      <c r="B501" s="41"/>
      <c r="C501" s="41"/>
      <c r="F501" s="38">
        <v>1</v>
      </c>
      <c r="J501" s="38">
        <f t="shared" si="60"/>
        <v>32</v>
      </c>
      <c r="K501" s="38" t="str">
        <f t="shared" si="58"/>
        <v>20</v>
      </c>
      <c r="M501" s="42"/>
    </row>
    <row r="502" spans="1:13" ht="12" customHeight="1">
      <c r="A502" s="38">
        <v>9</v>
      </c>
      <c r="B502" s="41"/>
      <c r="C502" s="41"/>
      <c r="E502" s="38">
        <v>1</v>
      </c>
      <c r="J502" s="38">
        <f t="shared" si="60"/>
        <v>64</v>
      </c>
      <c r="K502" s="38" t="str">
        <f t="shared" si="58"/>
        <v>40</v>
      </c>
      <c r="M502" s="42"/>
    </row>
    <row r="503" spans="1:13" ht="12" customHeight="1">
      <c r="A503" s="38">
        <v>10</v>
      </c>
      <c r="B503" s="41"/>
      <c r="C503" s="41"/>
      <c r="D503" s="38">
        <v>1</v>
      </c>
      <c r="J503" s="38">
        <f t="shared" si="60"/>
        <v>128</v>
      </c>
      <c r="K503" s="38" t="str">
        <f t="shared" si="58"/>
        <v>80</v>
      </c>
      <c r="M503" s="42"/>
    </row>
    <row r="504" spans="1:13" ht="12" customHeight="1">
      <c r="A504" s="38">
        <v>1</v>
      </c>
      <c r="B504" s="41">
        <v>90</v>
      </c>
      <c r="C504" s="41" t="s">
        <v>143</v>
      </c>
      <c r="E504" s="38">
        <v>1</v>
      </c>
      <c r="F504" s="38">
        <v>1</v>
      </c>
      <c r="G504" s="38">
        <v>1</v>
      </c>
      <c r="H504" s="38">
        <v>1</v>
      </c>
      <c r="J504" s="38">
        <f t="shared" si="60"/>
        <v>120</v>
      </c>
      <c r="K504" s="38" t="str">
        <f t="shared" si="58"/>
        <v>78</v>
      </c>
      <c r="M504" s="42" t="str">
        <f t="shared" ref="M504" si="65">CONCATENATE("0x",K504,",0x",K505,",0x",K506,",0x",K507,",0x",K508,",0x",K509,",0x",K510,",0x",K511,",0x",K512,",0x",K513,", //",C504)</f>
        <v>0x78,0x08,0x10,0x10,0x20,0x20,0x40,0x78,0x00,0x00, //Z</v>
      </c>
    </row>
    <row r="505" spans="1:13" ht="12" customHeight="1">
      <c r="A505" s="38">
        <v>2</v>
      </c>
      <c r="B505" s="41"/>
      <c r="C505" s="41"/>
      <c r="H505" s="38">
        <v>1</v>
      </c>
      <c r="J505" s="38">
        <f t="shared" si="60"/>
        <v>8</v>
      </c>
      <c r="K505" s="38" t="str">
        <f t="shared" si="58"/>
        <v>08</v>
      </c>
      <c r="M505" s="42"/>
    </row>
    <row r="506" spans="1:13" ht="12" customHeight="1">
      <c r="A506" s="38">
        <v>3</v>
      </c>
      <c r="B506" s="41"/>
      <c r="C506" s="41"/>
      <c r="G506" s="38">
        <v>1</v>
      </c>
      <c r="J506" s="38">
        <f t="shared" si="60"/>
        <v>16</v>
      </c>
      <c r="K506" s="38" t="str">
        <f t="shared" si="58"/>
        <v>10</v>
      </c>
      <c r="M506" s="42"/>
    </row>
    <row r="507" spans="1:13" ht="12" customHeight="1">
      <c r="A507" s="38">
        <v>4</v>
      </c>
      <c r="B507" s="41"/>
      <c r="C507" s="41"/>
      <c r="G507" s="38">
        <v>1</v>
      </c>
      <c r="J507" s="38">
        <f t="shared" si="60"/>
        <v>16</v>
      </c>
      <c r="K507" s="38" t="str">
        <f t="shared" si="58"/>
        <v>10</v>
      </c>
      <c r="M507" s="42"/>
    </row>
    <row r="508" spans="1:13" ht="12" customHeight="1">
      <c r="A508" s="38">
        <v>5</v>
      </c>
      <c r="B508" s="41"/>
      <c r="C508" s="41"/>
      <c r="F508" s="38">
        <v>1</v>
      </c>
      <c r="J508" s="38">
        <f t="shared" si="60"/>
        <v>32</v>
      </c>
      <c r="K508" s="38" t="str">
        <f t="shared" si="58"/>
        <v>20</v>
      </c>
      <c r="M508" s="42"/>
    </row>
    <row r="509" spans="1:13" ht="12" customHeight="1">
      <c r="A509" s="38">
        <v>6</v>
      </c>
      <c r="B509" s="41"/>
      <c r="C509" s="41"/>
      <c r="F509" s="38">
        <v>1</v>
      </c>
      <c r="J509" s="38">
        <f t="shared" si="60"/>
        <v>32</v>
      </c>
      <c r="K509" s="38" t="str">
        <f t="shared" si="58"/>
        <v>20</v>
      </c>
      <c r="M509" s="42"/>
    </row>
    <row r="510" spans="1:13" ht="12" customHeight="1">
      <c r="A510" s="38">
        <v>7</v>
      </c>
      <c r="B510" s="41"/>
      <c r="C510" s="41"/>
      <c r="E510" s="38">
        <v>1</v>
      </c>
      <c r="J510" s="38">
        <f t="shared" si="60"/>
        <v>64</v>
      </c>
      <c r="K510" s="38" t="str">
        <f t="shared" si="58"/>
        <v>40</v>
      </c>
      <c r="M510" s="42"/>
    </row>
    <row r="511" spans="1:13" ht="12" customHeight="1">
      <c r="A511" s="38">
        <v>8</v>
      </c>
      <c r="B511" s="41"/>
      <c r="C511" s="41"/>
      <c r="E511" s="38">
        <v>1</v>
      </c>
      <c r="F511" s="38">
        <v>1</v>
      </c>
      <c r="G511" s="38">
        <v>1</v>
      </c>
      <c r="H511" s="38">
        <v>1</v>
      </c>
      <c r="J511" s="38">
        <f t="shared" si="60"/>
        <v>120</v>
      </c>
      <c r="K511" s="38" t="str">
        <f t="shared" si="58"/>
        <v>78</v>
      </c>
      <c r="M511" s="42"/>
    </row>
    <row r="512" spans="1:13" ht="12" customHeight="1">
      <c r="A512" s="38">
        <v>9</v>
      </c>
      <c r="B512" s="41"/>
      <c r="C512" s="41"/>
      <c r="J512" s="38">
        <f t="shared" si="60"/>
        <v>0</v>
      </c>
      <c r="K512" s="38" t="str">
        <f t="shared" si="58"/>
        <v>00</v>
      </c>
      <c r="M512" s="42"/>
    </row>
    <row r="513" spans="1:13" ht="12" customHeight="1">
      <c r="A513" s="38">
        <v>10</v>
      </c>
      <c r="B513" s="41"/>
      <c r="C513" s="41"/>
      <c r="J513" s="38">
        <f t="shared" si="60"/>
        <v>0</v>
      </c>
      <c r="K513" s="38" t="str">
        <f t="shared" si="58"/>
        <v>00</v>
      </c>
      <c r="M513" s="42"/>
    </row>
    <row r="514" spans="1:13" ht="12" customHeight="1">
      <c r="A514" s="38">
        <v>1</v>
      </c>
      <c r="B514" s="41">
        <v>122</v>
      </c>
      <c r="C514" s="41" t="s">
        <v>174</v>
      </c>
      <c r="J514" s="38">
        <f t="shared" si="60"/>
        <v>0</v>
      </c>
      <c r="K514" s="38" t="str">
        <f t="shared" si="58"/>
        <v>00</v>
      </c>
      <c r="M514" s="42" t="str">
        <f t="shared" ref="M514" si="66">CONCATENATE("0x",K514,",0x",K515,",0x",K516,",0x",K517,",0x",K518,",0x",K519,",0x",K520,",0x",K521,",0x",K522,",0x",K523,", //",C514)</f>
        <v>0x00,0x00,0x00,0x38,0x08,0x10,0x20,0x38,0x00,0x00, //z</v>
      </c>
    </row>
    <row r="515" spans="1:13" ht="12" customHeight="1">
      <c r="A515" s="38">
        <v>2</v>
      </c>
      <c r="B515" s="41"/>
      <c r="C515" s="41"/>
      <c r="J515" s="38">
        <f t="shared" si="60"/>
        <v>0</v>
      </c>
      <c r="K515" s="38" t="str">
        <f t="shared" si="58"/>
        <v>00</v>
      </c>
      <c r="M515" s="42"/>
    </row>
    <row r="516" spans="1:13" ht="12" customHeight="1">
      <c r="A516" s="38">
        <v>3</v>
      </c>
      <c r="B516" s="41"/>
      <c r="C516" s="41"/>
      <c r="J516" s="38">
        <f t="shared" si="60"/>
        <v>0</v>
      </c>
      <c r="K516" s="38" t="str">
        <f t="shared" si="58"/>
        <v>00</v>
      </c>
      <c r="M516" s="42"/>
    </row>
    <row r="517" spans="1:13" ht="12" customHeight="1">
      <c r="A517" s="38">
        <v>4</v>
      </c>
      <c r="B517" s="41"/>
      <c r="C517" s="41"/>
      <c r="F517" s="38">
        <v>1</v>
      </c>
      <c r="G517" s="38">
        <v>1</v>
      </c>
      <c r="H517" s="38">
        <v>1</v>
      </c>
      <c r="J517" s="38">
        <f t="shared" si="60"/>
        <v>56</v>
      </c>
      <c r="K517" s="38" t="str">
        <f t="shared" ref="K517:K580" si="67">DEC2HEX(J517,2)</f>
        <v>38</v>
      </c>
      <c r="M517" s="42"/>
    </row>
    <row r="518" spans="1:13" ht="12" customHeight="1">
      <c r="A518" s="38">
        <v>5</v>
      </c>
      <c r="B518" s="41"/>
      <c r="C518" s="41"/>
      <c r="H518" s="38">
        <v>1</v>
      </c>
      <c r="J518" s="38">
        <f t="shared" si="60"/>
        <v>8</v>
      </c>
      <c r="K518" s="38" t="str">
        <f t="shared" si="67"/>
        <v>08</v>
      </c>
      <c r="M518" s="42"/>
    </row>
    <row r="519" spans="1:13" ht="12" customHeight="1">
      <c r="A519" s="38">
        <v>6</v>
      </c>
      <c r="B519" s="41"/>
      <c r="C519" s="41"/>
      <c r="G519" s="38">
        <v>1</v>
      </c>
      <c r="J519" s="38">
        <f t="shared" si="60"/>
        <v>16</v>
      </c>
      <c r="K519" s="38" t="str">
        <f t="shared" si="67"/>
        <v>10</v>
      </c>
      <c r="M519" s="42"/>
    </row>
    <row r="520" spans="1:13" ht="12" customHeight="1">
      <c r="A520" s="38">
        <v>7</v>
      </c>
      <c r="B520" s="41"/>
      <c r="C520" s="41"/>
      <c r="F520" s="38">
        <v>1</v>
      </c>
      <c r="J520" s="38">
        <f t="shared" si="60"/>
        <v>32</v>
      </c>
      <c r="K520" s="38" t="str">
        <f t="shared" si="67"/>
        <v>20</v>
      </c>
      <c r="M520" s="42"/>
    </row>
    <row r="521" spans="1:13" ht="12" customHeight="1">
      <c r="A521" s="38">
        <v>8</v>
      </c>
      <c r="B521" s="41"/>
      <c r="C521" s="41"/>
      <c r="F521" s="38">
        <v>1</v>
      </c>
      <c r="G521" s="38">
        <v>1</v>
      </c>
      <c r="H521" s="38">
        <v>1</v>
      </c>
      <c r="J521" s="38">
        <f t="shared" si="60"/>
        <v>56</v>
      </c>
      <c r="K521" s="38" t="str">
        <f t="shared" si="67"/>
        <v>38</v>
      </c>
      <c r="M521" s="42"/>
    </row>
    <row r="522" spans="1:13" ht="12" customHeight="1">
      <c r="A522" s="38">
        <v>9</v>
      </c>
      <c r="B522" s="41"/>
      <c r="C522" s="41"/>
      <c r="J522" s="38">
        <f t="shared" si="60"/>
        <v>0</v>
      </c>
      <c r="K522" s="38" t="str">
        <f t="shared" si="67"/>
        <v>00</v>
      </c>
      <c r="M522" s="42"/>
    </row>
    <row r="523" spans="1:13" ht="12" customHeight="1">
      <c r="A523" s="38">
        <v>10</v>
      </c>
      <c r="B523" s="41"/>
      <c r="C523" s="41"/>
      <c r="J523" s="38">
        <f t="shared" si="60"/>
        <v>0</v>
      </c>
      <c r="K523" s="38" t="str">
        <f t="shared" si="67"/>
        <v>00</v>
      </c>
      <c r="M523" s="42"/>
    </row>
    <row r="524" spans="1:13" ht="12" customHeight="1">
      <c r="A524" s="38">
        <v>1</v>
      </c>
      <c r="B524" s="41">
        <v>48</v>
      </c>
      <c r="C524" s="41">
        <v>0</v>
      </c>
      <c r="E524" s="38">
        <v>1</v>
      </c>
      <c r="F524" s="38">
        <v>1</v>
      </c>
      <c r="G524" s="38">
        <v>1</v>
      </c>
      <c r="J524" s="38">
        <f t="shared" si="60"/>
        <v>112</v>
      </c>
      <c r="K524" s="38" t="str">
        <f t="shared" si="67"/>
        <v>70</v>
      </c>
      <c r="M524" s="42" t="str">
        <f t="shared" ref="M524" si="68">CONCATENATE("0x",K524,",0x",K525,",0x",K526,",0x",K527,",0x",K528,",0x",K529,",0x",K530,",0x",K531,",0x",K532,",0x",K533,", //",C524)</f>
        <v>0x70,0x88,0x88,0xA8,0xA8,0x88,0x88,0x70,0x00,0x00, //0</v>
      </c>
    </row>
    <row r="525" spans="1:13" ht="12" customHeight="1">
      <c r="A525" s="38">
        <v>2</v>
      </c>
      <c r="B525" s="41"/>
      <c r="C525" s="41"/>
      <c r="D525" s="38">
        <v>1</v>
      </c>
      <c r="H525" s="38">
        <v>1</v>
      </c>
      <c r="J525" s="38">
        <f t="shared" si="60"/>
        <v>136</v>
      </c>
      <c r="K525" s="38" t="str">
        <f t="shared" si="67"/>
        <v>88</v>
      </c>
      <c r="M525" s="42"/>
    </row>
    <row r="526" spans="1:13" ht="12" customHeight="1">
      <c r="A526" s="38">
        <v>3</v>
      </c>
      <c r="B526" s="41"/>
      <c r="C526" s="41"/>
      <c r="D526" s="38">
        <v>1</v>
      </c>
      <c r="H526" s="38">
        <v>1</v>
      </c>
      <c r="J526" s="38">
        <f t="shared" ref="J526:J589" si="69">D526*D$2+E526*E$2+F526*F$2+G526*G$2+H526*H$2</f>
        <v>136</v>
      </c>
      <c r="K526" s="38" t="str">
        <f t="shared" si="67"/>
        <v>88</v>
      </c>
      <c r="M526" s="42"/>
    </row>
    <row r="527" spans="1:13" ht="12" customHeight="1">
      <c r="A527" s="38">
        <v>4</v>
      </c>
      <c r="B527" s="41"/>
      <c r="C527" s="41"/>
      <c r="D527" s="38">
        <v>1</v>
      </c>
      <c r="F527" s="38">
        <v>1</v>
      </c>
      <c r="H527" s="38">
        <v>1</v>
      </c>
      <c r="J527" s="38">
        <f t="shared" si="69"/>
        <v>168</v>
      </c>
      <c r="K527" s="38" t="str">
        <f t="shared" si="67"/>
        <v>A8</v>
      </c>
      <c r="M527" s="42"/>
    </row>
    <row r="528" spans="1:13" ht="12" customHeight="1">
      <c r="A528" s="38">
        <v>5</v>
      </c>
      <c r="B528" s="41"/>
      <c r="C528" s="41"/>
      <c r="D528" s="38">
        <v>1</v>
      </c>
      <c r="F528" s="38">
        <v>1</v>
      </c>
      <c r="H528" s="38">
        <v>1</v>
      </c>
      <c r="J528" s="38">
        <f t="shared" si="69"/>
        <v>168</v>
      </c>
      <c r="K528" s="38" t="str">
        <f t="shared" si="67"/>
        <v>A8</v>
      </c>
      <c r="M528" s="42"/>
    </row>
    <row r="529" spans="1:13" ht="12" customHeight="1">
      <c r="A529" s="38">
        <v>6</v>
      </c>
      <c r="B529" s="41"/>
      <c r="C529" s="41"/>
      <c r="D529" s="38">
        <v>1</v>
      </c>
      <c r="H529" s="38">
        <v>1</v>
      </c>
      <c r="J529" s="38">
        <f t="shared" si="69"/>
        <v>136</v>
      </c>
      <c r="K529" s="38" t="str">
        <f t="shared" si="67"/>
        <v>88</v>
      </c>
      <c r="M529" s="42"/>
    </row>
    <row r="530" spans="1:13" ht="12" customHeight="1">
      <c r="A530" s="38">
        <v>7</v>
      </c>
      <c r="B530" s="41"/>
      <c r="C530" s="41"/>
      <c r="D530" s="38">
        <v>1</v>
      </c>
      <c r="H530" s="38">
        <v>1</v>
      </c>
      <c r="J530" s="38">
        <f t="shared" si="69"/>
        <v>136</v>
      </c>
      <c r="K530" s="38" t="str">
        <f t="shared" si="67"/>
        <v>88</v>
      </c>
      <c r="M530" s="42"/>
    </row>
    <row r="531" spans="1:13" ht="12" customHeight="1">
      <c r="A531" s="38">
        <v>8</v>
      </c>
      <c r="B531" s="41"/>
      <c r="C531" s="41"/>
      <c r="E531" s="38">
        <v>1</v>
      </c>
      <c r="F531" s="38">
        <v>1</v>
      </c>
      <c r="G531" s="38">
        <v>1</v>
      </c>
      <c r="J531" s="38">
        <f t="shared" si="69"/>
        <v>112</v>
      </c>
      <c r="K531" s="38" t="str">
        <f t="shared" si="67"/>
        <v>70</v>
      </c>
      <c r="M531" s="42"/>
    </row>
    <row r="532" spans="1:13" ht="12" customHeight="1">
      <c r="A532" s="38">
        <v>9</v>
      </c>
      <c r="B532" s="41"/>
      <c r="C532" s="41"/>
      <c r="J532" s="38">
        <f t="shared" si="69"/>
        <v>0</v>
      </c>
      <c r="K532" s="38" t="str">
        <f t="shared" si="67"/>
        <v>00</v>
      </c>
      <c r="M532" s="42"/>
    </row>
    <row r="533" spans="1:13" ht="12" customHeight="1">
      <c r="A533" s="38">
        <v>10</v>
      </c>
      <c r="B533" s="41"/>
      <c r="C533" s="41"/>
      <c r="J533" s="38">
        <f t="shared" si="69"/>
        <v>0</v>
      </c>
      <c r="K533" s="38" t="str">
        <f t="shared" si="67"/>
        <v>00</v>
      </c>
      <c r="M533" s="42"/>
    </row>
    <row r="534" spans="1:13" ht="12" customHeight="1">
      <c r="A534" s="38">
        <v>1</v>
      </c>
      <c r="B534" s="41">
        <v>49</v>
      </c>
      <c r="C534" s="41">
        <v>1</v>
      </c>
      <c r="G534" s="38">
        <v>1</v>
      </c>
      <c r="J534" s="38">
        <f t="shared" si="69"/>
        <v>16</v>
      </c>
      <c r="K534" s="38" t="str">
        <f t="shared" si="67"/>
        <v>10</v>
      </c>
      <c r="M534" s="42" t="str">
        <f t="shared" ref="M534" si="70">CONCATENATE("0x",K534,",0x",K535,",0x",K536,",0x",K537,",0x",K538,",0x",K539,",0x",K540,",0x",K541,",0x",K542,",0x",K543,", //",C534)</f>
        <v>0x10,0x30,0x10,0x10,0x10,0x10,0x10,0x38,0x00,0x00, //1</v>
      </c>
    </row>
    <row r="535" spans="1:13" ht="12" customHeight="1">
      <c r="A535" s="38">
        <v>2</v>
      </c>
      <c r="B535" s="41"/>
      <c r="C535" s="41"/>
      <c r="F535" s="38">
        <v>1</v>
      </c>
      <c r="G535" s="38">
        <v>1</v>
      </c>
      <c r="J535" s="38">
        <f t="shared" si="69"/>
        <v>48</v>
      </c>
      <c r="K535" s="38" t="str">
        <f t="shared" si="67"/>
        <v>30</v>
      </c>
      <c r="M535" s="42"/>
    </row>
    <row r="536" spans="1:13" ht="12" customHeight="1">
      <c r="A536" s="38">
        <v>3</v>
      </c>
      <c r="B536" s="41"/>
      <c r="C536" s="41"/>
      <c r="G536" s="38">
        <v>1</v>
      </c>
      <c r="J536" s="38">
        <f t="shared" si="69"/>
        <v>16</v>
      </c>
      <c r="K536" s="38" t="str">
        <f t="shared" si="67"/>
        <v>10</v>
      </c>
      <c r="M536" s="42"/>
    </row>
    <row r="537" spans="1:13" ht="12" customHeight="1">
      <c r="A537" s="38">
        <v>4</v>
      </c>
      <c r="B537" s="41"/>
      <c r="C537" s="41"/>
      <c r="G537" s="38">
        <v>1</v>
      </c>
      <c r="J537" s="38">
        <f t="shared" si="69"/>
        <v>16</v>
      </c>
      <c r="K537" s="38" t="str">
        <f t="shared" si="67"/>
        <v>10</v>
      </c>
      <c r="M537" s="42"/>
    </row>
    <row r="538" spans="1:13" ht="12" customHeight="1">
      <c r="A538" s="38">
        <v>5</v>
      </c>
      <c r="B538" s="41"/>
      <c r="C538" s="41"/>
      <c r="G538" s="38">
        <v>1</v>
      </c>
      <c r="J538" s="38">
        <f t="shared" si="69"/>
        <v>16</v>
      </c>
      <c r="K538" s="38" t="str">
        <f t="shared" si="67"/>
        <v>10</v>
      </c>
      <c r="M538" s="42"/>
    </row>
    <row r="539" spans="1:13" ht="12" customHeight="1">
      <c r="A539" s="38">
        <v>6</v>
      </c>
      <c r="B539" s="41"/>
      <c r="C539" s="41"/>
      <c r="G539" s="38">
        <v>1</v>
      </c>
      <c r="J539" s="38">
        <f t="shared" si="69"/>
        <v>16</v>
      </c>
      <c r="K539" s="38" t="str">
        <f t="shared" si="67"/>
        <v>10</v>
      </c>
      <c r="M539" s="42"/>
    </row>
    <row r="540" spans="1:13" ht="12" customHeight="1">
      <c r="A540" s="38">
        <v>7</v>
      </c>
      <c r="B540" s="41"/>
      <c r="C540" s="41"/>
      <c r="G540" s="38">
        <v>1</v>
      </c>
      <c r="J540" s="38">
        <f t="shared" si="69"/>
        <v>16</v>
      </c>
      <c r="K540" s="38" t="str">
        <f t="shared" si="67"/>
        <v>10</v>
      </c>
      <c r="M540" s="42"/>
    </row>
    <row r="541" spans="1:13" ht="12" customHeight="1">
      <c r="A541" s="38">
        <v>8</v>
      </c>
      <c r="B541" s="41"/>
      <c r="C541" s="41"/>
      <c r="F541" s="38">
        <v>1</v>
      </c>
      <c r="G541" s="38">
        <v>1</v>
      </c>
      <c r="H541" s="38">
        <v>1</v>
      </c>
      <c r="J541" s="38">
        <f t="shared" si="69"/>
        <v>56</v>
      </c>
      <c r="K541" s="38" t="str">
        <f t="shared" si="67"/>
        <v>38</v>
      </c>
      <c r="M541" s="42"/>
    </row>
    <row r="542" spans="1:13" ht="12" customHeight="1">
      <c r="A542" s="38">
        <v>9</v>
      </c>
      <c r="B542" s="41"/>
      <c r="C542" s="41"/>
      <c r="J542" s="38">
        <f t="shared" si="69"/>
        <v>0</v>
      </c>
      <c r="K542" s="38" t="str">
        <f t="shared" si="67"/>
        <v>00</v>
      </c>
      <c r="M542" s="42"/>
    </row>
    <row r="543" spans="1:13" ht="12" customHeight="1">
      <c r="A543" s="38">
        <v>10</v>
      </c>
      <c r="B543" s="41"/>
      <c r="C543" s="41"/>
      <c r="J543" s="38">
        <f t="shared" si="69"/>
        <v>0</v>
      </c>
      <c r="K543" s="38" t="str">
        <f t="shared" si="67"/>
        <v>00</v>
      </c>
      <c r="M543" s="42"/>
    </row>
    <row r="544" spans="1:13" ht="12" customHeight="1">
      <c r="A544" s="38">
        <v>1</v>
      </c>
      <c r="B544" s="41">
        <v>50</v>
      </c>
      <c r="C544" s="41">
        <v>2</v>
      </c>
      <c r="E544" s="38">
        <v>1</v>
      </c>
      <c r="F544" s="38">
        <v>1</v>
      </c>
      <c r="G544" s="38">
        <v>1</v>
      </c>
      <c r="J544" s="38">
        <f t="shared" si="69"/>
        <v>112</v>
      </c>
      <c r="K544" s="38" t="str">
        <f t="shared" si="67"/>
        <v>70</v>
      </c>
      <c r="M544" s="42" t="str">
        <f t="shared" ref="M544" si="71">CONCATENATE("0x",K544,",0x",K545,",0x",K546,",0x",K547,",0x",K548,",0x",K549,",0x",K550,",0x",K551,",0x",K552,",0x",K553,", //",C544)</f>
        <v>0x70,0x88,0x08,0x10,0x20,0x40,0x80,0xF8,0x00,0x00, //2</v>
      </c>
    </row>
    <row r="545" spans="1:13" ht="12" customHeight="1">
      <c r="A545" s="38">
        <v>2</v>
      </c>
      <c r="B545" s="41"/>
      <c r="C545" s="41"/>
      <c r="D545" s="38">
        <v>1</v>
      </c>
      <c r="H545" s="38">
        <v>1</v>
      </c>
      <c r="J545" s="38">
        <f t="shared" si="69"/>
        <v>136</v>
      </c>
      <c r="K545" s="38" t="str">
        <f t="shared" si="67"/>
        <v>88</v>
      </c>
      <c r="M545" s="42"/>
    </row>
    <row r="546" spans="1:13" ht="12" customHeight="1">
      <c r="A546" s="38">
        <v>3</v>
      </c>
      <c r="B546" s="41"/>
      <c r="C546" s="41"/>
      <c r="H546" s="38">
        <v>1</v>
      </c>
      <c r="J546" s="38">
        <f t="shared" si="69"/>
        <v>8</v>
      </c>
      <c r="K546" s="38" t="str">
        <f t="shared" si="67"/>
        <v>08</v>
      </c>
      <c r="M546" s="42"/>
    </row>
    <row r="547" spans="1:13" ht="12" customHeight="1">
      <c r="A547" s="38">
        <v>4</v>
      </c>
      <c r="B547" s="41"/>
      <c r="C547" s="41"/>
      <c r="G547" s="38">
        <v>1</v>
      </c>
      <c r="J547" s="38">
        <f t="shared" si="69"/>
        <v>16</v>
      </c>
      <c r="K547" s="38" t="str">
        <f t="shared" si="67"/>
        <v>10</v>
      </c>
      <c r="M547" s="42"/>
    </row>
    <row r="548" spans="1:13" ht="12" customHeight="1">
      <c r="A548" s="38">
        <v>5</v>
      </c>
      <c r="B548" s="41"/>
      <c r="C548" s="41"/>
      <c r="F548" s="38">
        <v>1</v>
      </c>
      <c r="J548" s="38">
        <f t="shared" si="69"/>
        <v>32</v>
      </c>
      <c r="K548" s="38" t="str">
        <f t="shared" si="67"/>
        <v>20</v>
      </c>
      <c r="M548" s="42"/>
    </row>
    <row r="549" spans="1:13" ht="12" customHeight="1">
      <c r="A549" s="38">
        <v>6</v>
      </c>
      <c r="B549" s="41"/>
      <c r="C549" s="41"/>
      <c r="E549" s="38">
        <v>1</v>
      </c>
      <c r="J549" s="38">
        <f t="shared" si="69"/>
        <v>64</v>
      </c>
      <c r="K549" s="38" t="str">
        <f t="shared" si="67"/>
        <v>40</v>
      </c>
      <c r="M549" s="42"/>
    </row>
    <row r="550" spans="1:13" ht="12" customHeight="1">
      <c r="A550" s="38">
        <v>7</v>
      </c>
      <c r="B550" s="41"/>
      <c r="C550" s="41"/>
      <c r="D550" s="38">
        <v>1</v>
      </c>
      <c r="J550" s="38">
        <f t="shared" si="69"/>
        <v>128</v>
      </c>
      <c r="K550" s="38" t="str">
        <f t="shared" si="67"/>
        <v>80</v>
      </c>
      <c r="M550" s="42"/>
    </row>
    <row r="551" spans="1:13" ht="12" customHeight="1">
      <c r="A551" s="38">
        <v>8</v>
      </c>
      <c r="B551" s="41"/>
      <c r="C551" s="41"/>
      <c r="D551" s="38">
        <v>1</v>
      </c>
      <c r="E551" s="38">
        <v>1</v>
      </c>
      <c r="F551" s="38">
        <v>1</v>
      </c>
      <c r="G551" s="38">
        <v>1</v>
      </c>
      <c r="H551" s="38">
        <v>1</v>
      </c>
      <c r="J551" s="38">
        <f t="shared" si="69"/>
        <v>248</v>
      </c>
      <c r="K551" s="38" t="str">
        <f t="shared" si="67"/>
        <v>F8</v>
      </c>
      <c r="M551" s="42"/>
    </row>
    <row r="552" spans="1:13" ht="12" customHeight="1">
      <c r="A552" s="38">
        <v>9</v>
      </c>
      <c r="B552" s="41"/>
      <c r="C552" s="41"/>
      <c r="J552" s="38">
        <f t="shared" si="69"/>
        <v>0</v>
      </c>
      <c r="K552" s="38" t="str">
        <f t="shared" si="67"/>
        <v>00</v>
      </c>
      <c r="M552" s="42"/>
    </row>
    <row r="553" spans="1:13" ht="12" customHeight="1">
      <c r="A553" s="38">
        <v>10</v>
      </c>
      <c r="B553" s="41"/>
      <c r="C553" s="41"/>
      <c r="J553" s="38">
        <f t="shared" si="69"/>
        <v>0</v>
      </c>
      <c r="K553" s="38" t="str">
        <f t="shared" si="67"/>
        <v>00</v>
      </c>
      <c r="M553" s="42"/>
    </row>
    <row r="554" spans="1:13" ht="12" customHeight="1">
      <c r="A554" s="38">
        <v>1</v>
      </c>
      <c r="B554" s="41">
        <v>51</v>
      </c>
      <c r="C554" s="41">
        <v>3</v>
      </c>
      <c r="E554" s="38">
        <v>1</v>
      </c>
      <c r="F554" s="38">
        <v>1</v>
      </c>
      <c r="G554" s="38">
        <v>1</v>
      </c>
      <c r="J554" s="38">
        <f t="shared" si="69"/>
        <v>112</v>
      </c>
      <c r="K554" s="38" t="str">
        <f t="shared" si="67"/>
        <v>70</v>
      </c>
      <c r="M554" s="42" t="str">
        <f t="shared" ref="M554" si="72">CONCATENATE("0x",K554,",0x",K555,",0x",K556,",0x",K557,",0x",K558,",0x",K559,",0x",K560,",0x",K561,",0x",K562,",0x",K563,", //",C554)</f>
        <v>0x70,0x88,0x08,0x70,0x08,0x08,0x88,0x70,0x00,0x00, //3</v>
      </c>
    </row>
    <row r="555" spans="1:13" ht="12" customHeight="1">
      <c r="A555" s="38">
        <v>2</v>
      </c>
      <c r="B555" s="41"/>
      <c r="C555" s="41"/>
      <c r="D555" s="38">
        <v>1</v>
      </c>
      <c r="H555" s="38">
        <v>1</v>
      </c>
      <c r="J555" s="38">
        <f t="shared" si="69"/>
        <v>136</v>
      </c>
      <c r="K555" s="38" t="str">
        <f t="shared" si="67"/>
        <v>88</v>
      </c>
      <c r="M555" s="42"/>
    </row>
    <row r="556" spans="1:13" ht="12" customHeight="1">
      <c r="A556" s="38">
        <v>3</v>
      </c>
      <c r="B556" s="41"/>
      <c r="C556" s="41"/>
      <c r="H556" s="38">
        <v>1</v>
      </c>
      <c r="J556" s="38">
        <f t="shared" si="69"/>
        <v>8</v>
      </c>
      <c r="K556" s="38" t="str">
        <f t="shared" si="67"/>
        <v>08</v>
      </c>
      <c r="M556" s="42"/>
    </row>
    <row r="557" spans="1:13" ht="12" customHeight="1">
      <c r="A557" s="38">
        <v>4</v>
      </c>
      <c r="B557" s="41"/>
      <c r="C557" s="41"/>
      <c r="E557" s="38">
        <v>1</v>
      </c>
      <c r="F557" s="38">
        <v>1</v>
      </c>
      <c r="G557" s="38">
        <v>1</v>
      </c>
      <c r="J557" s="38">
        <f t="shared" si="69"/>
        <v>112</v>
      </c>
      <c r="K557" s="38" t="str">
        <f t="shared" si="67"/>
        <v>70</v>
      </c>
      <c r="M557" s="42"/>
    </row>
    <row r="558" spans="1:13" ht="12" customHeight="1">
      <c r="A558" s="38">
        <v>5</v>
      </c>
      <c r="B558" s="41"/>
      <c r="C558" s="41"/>
      <c r="H558" s="38">
        <v>1</v>
      </c>
      <c r="J558" s="38">
        <f t="shared" si="69"/>
        <v>8</v>
      </c>
      <c r="K558" s="38" t="str">
        <f t="shared" si="67"/>
        <v>08</v>
      </c>
      <c r="M558" s="42"/>
    </row>
    <row r="559" spans="1:13" ht="12" customHeight="1">
      <c r="A559" s="38">
        <v>6</v>
      </c>
      <c r="B559" s="41"/>
      <c r="C559" s="41"/>
      <c r="H559" s="38">
        <v>1</v>
      </c>
      <c r="J559" s="38">
        <f t="shared" si="69"/>
        <v>8</v>
      </c>
      <c r="K559" s="38" t="str">
        <f t="shared" si="67"/>
        <v>08</v>
      </c>
      <c r="M559" s="42"/>
    </row>
    <row r="560" spans="1:13" ht="12" customHeight="1">
      <c r="A560" s="38">
        <v>7</v>
      </c>
      <c r="B560" s="41"/>
      <c r="C560" s="41"/>
      <c r="D560" s="38">
        <v>1</v>
      </c>
      <c r="H560" s="38">
        <v>1</v>
      </c>
      <c r="J560" s="38">
        <f t="shared" si="69"/>
        <v>136</v>
      </c>
      <c r="K560" s="38" t="str">
        <f t="shared" si="67"/>
        <v>88</v>
      </c>
      <c r="M560" s="42"/>
    </row>
    <row r="561" spans="1:13" ht="12" customHeight="1">
      <c r="A561" s="38">
        <v>8</v>
      </c>
      <c r="B561" s="41"/>
      <c r="C561" s="41"/>
      <c r="E561" s="38">
        <v>1</v>
      </c>
      <c r="F561" s="38">
        <v>1</v>
      </c>
      <c r="G561" s="38">
        <v>1</v>
      </c>
      <c r="J561" s="38">
        <f t="shared" si="69"/>
        <v>112</v>
      </c>
      <c r="K561" s="38" t="str">
        <f t="shared" si="67"/>
        <v>70</v>
      </c>
      <c r="M561" s="42"/>
    </row>
    <row r="562" spans="1:13" ht="12" customHeight="1">
      <c r="A562" s="38">
        <v>9</v>
      </c>
      <c r="B562" s="41"/>
      <c r="C562" s="41"/>
      <c r="J562" s="38">
        <f t="shared" si="69"/>
        <v>0</v>
      </c>
      <c r="K562" s="38" t="str">
        <f t="shared" si="67"/>
        <v>00</v>
      </c>
      <c r="M562" s="42"/>
    </row>
    <row r="563" spans="1:13" ht="12" customHeight="1">
      <c r="A563" s="38">
        <v>10</v>
      </c>
      <c r="B563" s="41"/>
      <c r="C563" s="41"/>
      <c r="J563" s="38">
        <f t="shared" si="69"/>
        <v>0</v>
      </c>
      <c r="K563" s="38" t="str">
        <f t="shared" si="67"/>
        <v>00</v>
      </c>
      <c r="M563" s="42"/>
    </row>
    <row r="564" spans="1:13" ht="12" customHeight="1">
      <c r="A564" s="38">
        <v>1</v>
      </c>
      <c r="B564" s="41">
        <v>52</v>
      </c>
      <c r="C564" s="41">
        <v>4</v>
      </c>
      <c r="D564" s="38">
        <v>1</v>
      </c>
      <c r="G564" s="38">
        <v>1</v>
      </c>
      <c r="J564" s="38">
        <f t="shared" si="69"/>
        <v>144</v>
      </c>
      <c r="K564" s="38" t="str">
        <f t="shared" si="67"/>
        <v>90</v>
      </c>
      <c r="M564" s="42" t="str">
        <f t="shared" ref="M564" si="73">CONCATENATE("0x",K564,",0x",K565,",0x",K566,",0x",K567,",0x",K568,",0x",K569,",0x",K570,",0x",K571,",0x",K572,",0x",K573,", //",C564)</f>
        <v>0x90,0x90,0x90,0xF8,0x10,0x10,0x10,0x10,0x00,0x00, //4</v>
      </c>
    </row>
    <row r="565" spans="1:13" ht="12" customHeight="1">
      <c r="A565" s="38">
        <v>2</v>
      </c>
      <c r="B565" s="41"/>
      <c r="C565" s="41"/>
      <c r="D565" s="38">
        <v>1</v>
      </c>
      <c r="G565" s="38">
        <v>1</v>
      </c>
      <c r="J565" s="38">
        <f t="shared" si="69"/>
        <v>144</v>
      </c>
      <c r="K565" s="38" t="str">
        <f t="shared" si="67"/>
        <v>90</v>
      </c>
      <c r="M565" s="42"/>
    </row>
    <row r="566" spans="1:13" ht="12" customHeight="1">
      <c r="A566" s="38">
        <v>3</v>
      </c>
      <c r="B566" s="41"/>
      <c r="C566" s="41"/>
      <c r="D566" s="38">
        <v>1</v>
      </c>
      <c r="G566" s="38">
        <v>1</v>
      </c>
      <c r="J566" s="38">
        <f t="shared" si="69"/>
        <v>144</v>
      </c>
      <c r="K566" s="38" t="str">
        <f t="shared" si="67"/>
        <v>90</v>
      </c>
      <c r="M566" s="42"/>
    </row>
    <row r="567" spans="1:13" ht="12" customHeight="1">
      <c r="A567" s="38">
        <v>4</v>
      </c>
      <c r="B567" s="41"/>
      <c r="C567" s="41"/>
      <c r="D567" s="38">
        <v>1</v>
      </c>
      <c r="E567" s="38">
        <v>1</v>
      </c>
      <c r="F567" s="38">
        <v>1</v>
      </c>
      <c r="G567" s="38">
        <v>1</v>
      </c>
      <c r="H567" s="38">
        <v>1</v>
      </c>
      <c r="J567" s="38">
        <f t="shared" si="69"/>
        <v>248</v>
      </c>
      <c r="K567" s="38" t="str">
        <f t="shared" si="67"/>
        <v>F8</v>
      </c>
      <c r="M567" s="42"/>
    </row>
    <row r="568" spans="1:13" ht="12" customHeight="1">
      <c r="A568" s="38">
        <v>5</v>
      </c>
      <c r="B568" s="41"/>
      <c r="C568" s="41"/>
      <c r="G568" s="38">
        <v>1</v>
      </c>
      <c r="J568" s="38">
        <f t="shared" si="69"/>
        <v>16</v>
      </c>
      <c r="K568" s="38" t="str">
        <f t="shared" si="67"/>
        <v>10</v>
      </c>
      <c r="M568" s="42"/>
    </row>
    <row r="569" spans="1:13" ht="12" customHeight="1">
      <c r="A569" s="38">
        <v>6</v>
      </c>
      <c r="B569" s="41"/>
      <c r="C569" s="41"/>
      <c r="G569" s="38">
        <v>1</v>
      </c>
      <c r="J569" s="38">
        <f t="shared" si="69"/>
        <v>16</v>
      </c>
      <c r="K569" s="38" t="str">
        <f t="shared" si="67"/>
        <v>10</v>
      </c>
      <c r="M569" s="42"/>
    </row>
    <row r="570" spans="1:13" ht="12" customHeight="1">
      <c r="A570" s="38">
        <v>7</v>
      </c>
      <c r="B570" s="41"/>
      <c r="C570" s="41"/>
      <c r="G570" s="38">
        <v>1</v>
      </c>
      <c r="J570" s="38">
        <f t="shared" si="69"/>
        <v>16</v>
      </c>
      <c r="K570" s="38" t="str">
        <f t="shared" si="67"/>
        <v>10</v>
      </c>
      <c r="M570" s="42"/>
    </row>
    <row r="571" spans="1:13" ht="12" customHeight="1">
      <c r="A571" s="38">
        <v>8</v>
      </c>
      <c r="B571" s="41"/>
      <c r="C571" s="41"/>
      <c r="G571" s="38">
        <v>1</v>
      </c>
      <c r="J571" s="38">
        <f t="shared" si="69"/>
        <v>16</v>
      </c>
      <c r="K571" s="38" t="str">
        <f t="shared" si="67"/>
        <v>10</v>
      </c>
      <c r="M571" s="42"/>
    </row>
    <row r="572" spans="1:13" ht="12" customHeight="1">
      <c r="A572" s="38">
        <v>9</v>
      </c>
      <c r="B572" s="41"/>
      <c r="C572" s="41"/>
      <c r="J572" s="38">
        <f t="shared" si="69"/>
        <v>0</v>
      </c>
      <c r="K572" s="38" t="str">
        <f t="shared" si="67"/>
        <v>00</v>
      </c>
      <c r="M572" s="42"/>
    </row>
    <row r="573" spans="1:13" ht="12" customHeight="1">
      <c r="A573" s="38">
        <v>10</v>
      </c>
      <c r="B573" s="41"/>
      <c r="C573" s="41"/>
      <c r="J573" s="38">
        <f t="shared" si="69"/>
        <v>0</v>
      </c>
      <c r="K573" s="38" t="str">
        <f t="shared" si="67"/>
        <v>00</v>
      </c>
      <c r="M573" s="42"/>
    </row>
    <row r="574" spans="1:13" ht="12" customHeight="1">
      <c r="A574" s="38">
        <v>1</v>
      </c>
      <c r="B574" s="41">
        <v>53</v>
      </c>
      <c r="C574" s="41">
        <v>5</v>
      </c>
      <c r="D574" s="38">
        <v>1</v>
      </c>
      <c r="E574" s="38">
        <v>1</v>
      </c>
      <c r="F574" s="38">
        <v>1</v>
      </c>
      <c r="G574" s="38">
        <v>1</v>
      </c>
      <c r="H574" s="38">
        <v>1</v>
      </c>
      <c r="J574" s="38">
        <f t="shared" si="69"/>
        <v>248</v>
      </c>
      <c r="K574" s="38" t="str">
        <f t="shared" si="67"/>
        <v>F8</v>
      </c>
      <c r="M574" s="42" t="str">
        <f t="shared" ref="M574" si="74">CONCATENATE("0x",K574,",0x",K575,",0x",K576,",0x",K577,",0x",K578,",0x",K579,",0x",K580,",0x",K581,",0x",K582,",0x",K583,", //",C574)</f>
        <v>0xF8,0x80,0x80,0xF0,0x08,0x08,0x88,0x70,0x00,0x00, //5</v>
      </c>
    </row>
    <row r="575" spans="1:13" ht="12" customHeight="1">
      <c r="A575" s="38">
        <v>2</v>
      </c>
      <c r="B575" s="41"/>
      <c r="C575" s="41"/>
      <c r="D575" s="38">
        <v>1</v>
      </c>
      <c r="J575" s="38">
        <f t="shared" si="69"/>
        <v>128</v>
      </c>
      <c r="K575" s="38" t="str">
        <f t="shared" si="67"/>
        <v>80</v>
      </c>
      <c r="M575" s="42"/>
    </row>
    <row r="576" spans="1:13" ht="12" customHeight="1">
      <c r="A576" s="38">
        <v>3</v>
      </c>
      <c r="B576" s="41"/>
      <c r="C576" s="41"/>
      <c r="D576" s="38">
        <v>1</v>
      </c>
      <c r="J576" s="38">
        <f t="shared" si="69"/>
        <v>128</v>
      </c>
      <c r="K576" s="38" t="str">
        <f t="shared" si="67"/>
        <v>80</v>
      </c>
      <c r="M576" s="42"/>
    </row>
    <row r="577" spans="1:13" ht="12" customHeight="1">
      <c r="A577" s="38">
        <v>4</v>
      </c>
      <c r="B577" s="41"/>
      <c r="C577" s="41"/>
      <c r="D577" s="38">
        <v>1</v>
      </c>
      <c r="E577" s="38">
        <v>1</v>
      </c>
      <c r="F577" s="38">
        <v>1</v>
      </c>
      <c r="G577" s="38">
        <v>1</v>
      </c>
      <c r="J577" s="38">
        <f t="shared" si="69"/>
        <v>240</v>
      </c>
      <c r="K577" s="38" t="str">
        <f t="shared" si="67"/>
        <v>F0</v>
      </c>
      <c r="M577" s="42"/>
    </row>
    <row r="578" spans="1:13" ht="12" customHeight="1">
      <c r="A578" s="38">
        <v>5</v>
      </c>
      <c r="B578" s="41"/>
      <c r="C578" s="41"/>
      <c r="H578" s="38">
        <v>1</v>
      </c>
      <c r="J578" s="38">
        <f t="shared" si="69"/>
        <v>8</v>
      </c>
      <c r="K578" s="38" t="str">
        <f t="shared" si="67"/>
        <v>08</v>
      </c>
      <c r="M578" s="42"/>
    </row>
    <row r="579" spans="1:13" ht="12" customHeight="1">
      <c r="A579" s="38">
        <v>6</v>
      </c>
      <c r="B579" s="41"/>
      <c r="C579" s="41"/>
      <c r="H579" s="38">
        <v>1</v>
      </c>
      <c r="J579" s="38">
        <f t="shared" si="69"/>
        <v>8</v>
      </c>
      <c r="K579" s="38" t="str">
        <f t="shared" si="67"/>
        <v>08</v>
      </c>
      <c r="M579" s="42"/>
    </row>
    <row r="580" spans="1:13" ht="12" customHeight="1">
      <c r="A580" s="38">
        <v>7</v>
      </c>
      <c r="B580" s="41"/>
      <c r="C580" s="41"/>
      <c r="D580" s="38">
        <v>1</v>
      </c>
      <c r="H580" s="38">
        <v>1</v>
      </c>
      <c r="J580" s="38">
        <f t="shared" si="69"/>
        <v>136</v>
      </c>
      <c r="K580" s="38" t="str">
        <f t="shared" si="67"/>
        <v>88</v>
      </c>
      <c r="M580" s="42"/>
    </row>
    <row r="581" spans="1:13" ht="12" customHeight="1">
      <c r="A581" s="38">
        <v>8</v>
      </c>
      <c r="B581" s="41"/>
      <c r="C581" s="41"/>
      <c r="E581" s="38">
        <v>1</v>
      </c>
      <c r="F581" s="38">
        <v>1</v>
      </c>
      <c r="G581" s="38">
        <v>1</v>
      </c>
      <c r="J581" s="38">
        <f t="shared" si="69"/>
        <v>112</v>
      </c>
      <c r="K581" s="38" t="str">
        <f t="shared" ref="K581:K644" si="75">DEC2HEX(J581,2)</f>
        <v>70</v>
      </c>
      <c r="M581" s="42"/>
    </row>
    <row r="582" spans="1:13" ht="12" customHeight="1">
      <c r="A582" s="38">
        <v>9</v>
      </c>
      <c r="B582" s="41"/>
      <c r="C582" s="41"/>
      <c r="J582" s="38">
        <f t="shared" si="69"/>
        <v>0</v>
      </c>
      <c r="K582" s="38" t="str">
        <f t="shared" si="75"/>
        <v>00</v>
      </c>
      <c r="M582" s="42"/>
    </row>
    <row r="583" spans="1:13" ht="12" customHeight="1">
      <c r="A583" s="38">
        <v>10</v>
      </c>
      <c r="B583" s="41"/>
      <c r="C583" s="41"/>
      <c r="J583" s="38">
        <f t="shared" si="69"/>
        <v>0</v>
      </c>
      <c r="K583" s="38" t="str">
        <f t="shared" si="75"/>
        <v>00</v>
      </c>
      <c r="M583" s="42"/>
    </row>
    <row r="584" spans="1:13" ht="12" customHeight="1">
      <c r="A584" s="38">
        <v>1</v>
      </c>
      <c r="B584" s="41">
        <v>54</v>
      </c>
      <c r="C584" s="41">
        <v>6</v>
      </c>
      <c r="E584" s="38">
        <v>1</v>
      </c>
      <c r="F584" s="38">
        <v>1</v>
      </c>
      <c r="G584" s="38">
        <v>1</v>
      </c>
      <c r="J584" s="38">
        <f t="shared" si="69"/>
        <v>112</v>
      </c>
      <c r="K584" s="38" t="str">
        <f t="shared" si="75"/>
        <v>70</v>
      </c>
      <c r="M584" s="42" t="str">
        <f t="shared" ref="M584" si="76">CONCATENATE("0x",K584,",0x",K585,",0x",K586,",0x",K587,",0x",K588,",0x",K589,",0x",K590,",0x",K591,",0x",K592,",0x",K593,", //",C584)</f>
        <v>0x70,0x88,0x80,0xF0,0x88,0x88,0x88,0x70,0x00,0x00, //6</v>
      </c>
    </row>
    <row r="585" spans="1:13" ht="12" customHeight="1">
      <c r="A585" s="38">
        <v>2</v>
      </c>
      <c r="B585" s="41"/>
      <c r="C585" s="41"/>
      <c r="D585" s="38">
        <v>1</v>
      </c>
      <c r="H585" s="38">
        <v>1</v>
      </c>
      <c r="J585" s="38">
        <f t="shared" si="69"/>
        <v>136</v>
      </c>
      <c r="K585" s="38" t="str">
        <f t="shared" si="75"/>
        <v>88</v>
      </c>
      <c r="M585" s="42"/>
    </row>
    <row r="586" spans="1:13" ht="12" customHeight="1">
      <c r="A586" s="38">
        <v>3</v>
      </c>
      <c r="B586" s="41"/>
      <c r="C586" s="41"/>
      <c r="D586" s="38">
        <v>1</v>
      </c>
      <c r="J586" s="38">
        <f t="shared" si="69"/>
        <v>128</v>
      </c>
      <c r="K586" s="38" t="str">
        <f t="shared" si="75"/>
        <v>80</v>
      </c>
      <c r="M586" s="42"/>
    </row>
    <row r="587" spans="1:13" ht="12" customHeight="1">
      <c r="A587" s="38">
        <v>4</v>
      </c>
      <c r="B587" s="41"/>
      <c r="C587" s="41"/>
      <c r="D587" s="38">
        <v>1</v>
      </c>
      <c r="E587" s="38">
        <v>1</v>
      </c>
      <c r="F587" s="38">
        <v>1</v>
      </c>
      <c r="G587" s="38">
        <v>1</v>
      </c>
      <c r="J587" s="38">
        <f t="shared" si="69"/>
        <v>240</v>
      </c>
      <c r="K587" s="38" t="str">
        <f t="shared" si="75"/>
        <v>F0</v>
      </c>
      <c r="M587" s="42"/>
    </row>
    <row r="588" spans="1:13" ht="12" customHeight="1">
      <c r="A588" s="38">
        <v>5</v>
      </c>
      <c r="B588" s="41"/>
      <c r="C588" s="41"/>
      <c r="D588" s="38">
        <v>1</v>
      </c>
      <c r="H588" s="38">
        <v>1</v>
      </c>
      <c r="J588" s="38">
        <f t="shared" si="69"/>
        <v>136</v>
      </c>
      <c r="K588" s="38" t="str">
        <f t="shared" si="75"/>
        <v>88</v>
      </c>
      <c r="M588" s="42"/>
    </row>
    <row r="589" spans="1:13" ht="12" customHeight="1">
      <c r="A589" s="38">
        <v>6</v>
      </c>
      <c r="B589" s="41"/>
      <c r="C589" s="41"/>
      <c r="D589" s="38">
        <v>1</v>
      </c>
      <c r="H589" s="38">
        <v>1</v>
      </c>
      <c r="J589" s="38">
        <f t="shared" si="69"/>
        <v>136</v>
      </c>
      <c r="K589" s="38" t="str">
        <f t="shared" si="75"/>
        <v>88</v>
      </c>
      <c r="M589" s="42"/>
    </row>
    <row r="590" spans="1:13" ht="12" customHeight="1">
      <c r="A590" s="38">
        <v>7</v>
      </c>
      <c r="B590" s="41"/>
      <c r="C590" s="41"/>
      <c r="D590" s="38">
        <v>1</v>
      </c>
      <c r="H590" s="38">
        <v>1</v>
      </c>
      <c r="J590" s="38">
        <f t="shared" ref="J590:J653" si="77">D590*D$2+E590*E$2+F590*F$2+G590*G$2+H590*H$2</f>
        <v>136</v>
      </c>
      <c r="K590" s="38" t="str">
        <f t="shared" si="75"/>
        <v>88</v>
      </c>
      <c r="M590" s="42"/>
    </row>
    <row r="591" spans="1:13" ht="12" customHeight="1">
      <c r="A591" s="38">
        <v>8</v>
      </c>
      <c r="B591" s="41"/>
      <c r="C591" s="41"/>
      <c r="E591" s="38">
        <v>1</v>
      </c>
      <c r="F591" s="38">
        <v>1</v>
      </c>
      <c r="G591" s="38">
        <v>1</v>
      </c>
      <c r="J591" s="38">
        <f t="shared" si="77"/>
        <v>112</v>
      </c>
      <c r="K591" s="38" t="str">
        <f t="shared" si="75"/>
        <v>70</v>
      </c>
      <c r="M591" s="42"/>
    </row>
    <row r="592" spans="1:13" ht="12" customHeight="1">
      <c r="A592" s="38">
        <v>9</v>
      </c>
      <c r="B592" s="41"/>
      <c r="C592" s="41"/>
      <c r="J592" s="38">
        <f t="shared" si="77"/>
        <v>0</v>
      </c>
      <c r="K592" s="38" t="str">
        <f t="shared" si="75"/>
        <v>00</v>
      </c>
      <c r="M592" s="42"/>
    </row>
    <row r="593" spans="1:13" ht="12" customHeight="1">
      <c r="A593" s="38">
        <v>10</v>
      </c>
      <c r="B593" s="41"/>
      <c r="C593" s="41"/>
      <c r="J593" s="38">
        <f t="shared" si="77"/>
        <v>0</v>
      </c>
      <c r="K593" s="38" t="str">
        <f t="shared" si="75"/>
        <v>00</v>
      </c>
      <c r="M593" s="42"/>
    </row>
    <row r="594" spans="1:13" ht="12" customHeight="1">
      <c r="A594" s="38">
        <v>1</v>
      </c>
      <c r="B594" s="41">
        <v>55</v>
      </c>
      <c r="C594" s="41">
        <v>7</v>
      </c>
      <c r="D594" s="38">
        <v>1</v>
      </c>
      <c r="E594" s="38">
        <v>1</v>
      </c>
      <c r="F594" s="38">
        <v>1</v>
      </c>
      <c r="G594" s="38">
        <v>1</v>
      </c>
      <c r="H594" s="38">
        <v>1</v>
      </c>
      <c r="J594" s="38">
        <f t="shared" si="77"/>
        <v>248</v>
      </c>
      <c r="K594" s="38" t="str">
        <f t="shared" si="75"/>
        <v>F8</v>
      </c>
      <c r="M594" s="42" t="str">
        <f t="shared" ref="M594" si="78">CONCATENATE("0x",K594,",0x",K595,",0x",K596,",0x",K597,",0x",K598,",0x",K599,",0x",K600,",0x",K601,",0x",K602,",0x",K603,", //",C594)</f>
        <v>0xF8,0x08,0x08,0x10,0x20,0x40,0x80,0x80,0x00,0x00, //7</v>
      </c>
    </row>
    <row r="595" spans="1:13" ht="12" customHeight="1">
      <c r="A595" s="38">
        <v>2</v>
      </c>
      <c r="B595" s="41"/>
      <c r="C595" s="41"/>
      <c r="H595" s="38">
        <v>1</v>
      </c>
      <c r="J595" s="38">
        <f t="shared" si="77"/>
        <v>8</v>
      </c>
      <c r="K595" s="38" t="str">
        <f t="shared" si="75"/>
        <v>08</v>
      </c>
      <c r="M595" s="42"/>
    </row>
    <row r="596" spans="1:13" ht="12" customHeight="1">
      <c r="A596" s="38">
        <v>3</v>
      </c>
      <c r="B596" s="41"/>
      <c r="C596" s="41"/>
      <c r="H596" s="38">
        <v>1</v>
      </c>
      <c r="J596" s="38">
        <f t="shared" si="77"/>
        <v>8</v>
      </c>
      <c r="K596" s="38" t="str">
        <f t="shared" si="75"/>
        <v>08</v>
      </c>
      <c r="M596" s="42"/>
    </row>
    <row r="597" spans="1:13" ht="12" customHeight="1">
      <c r="A597" s="38">
        <v>4</v>
      </c>
      <c r="B597" s="41"/>
      <c r="C597" s="41"/>
      <c r="G597" s="38">
        <v>1</v>
      </c>
      <c r="J597" s="38">
        <f t="shared" si="77"/>
        <v>16</v>
      </c>
      <c r="K597" s="38" t="str">
        <f t="shared" si="75"/>
        <v>10</v>
      </c>
      <c r="M597" s="42"/>
    </row>
    <row r="598" spans="1:13" ht="12" customHeight="1">
      <c r="A598" s="38">
        <v>5</v>
      </c>
      <c r="B598" s="41"/>
      <c r="C598" s="41"/>
      <c r="F598" s="38">
        <v>1</v>
      </c>
      <c r="J598" s="38">
        <f t="shared" si="77"/>
        <v>32</v>
      </c>
      <c r="K598" s="38" t="str">
        <f t="shared" si="75"/>
        <v>20</v>
      </c>
      <c r="M598" s="42"/>
    </row>
    <row r="599" spans="1:13" ht="12" customHeight="1">
      <c r="A599" s="38">
        <v>6</v>
      </c>
      <c r="B599" s="41"/>
      <c r="C599" s="41"/>
      <c r="E599" s="38">
        <v>1</v>
      </c>
      <c r="J599" s="38">
        <f t="shared" si="77"/>
        <v>64</v>
      </c>
      <c r="K599" s="38" t="str">
        <f t="shared" si="75"/>
        <v>40</v>
      </c>
      <c r="M599" s="42"/>
    </row>
    <row r="600" spans="1:13" ht="12" customHeight="1">
      <c r="A600" s="38">
        <v>7</v>
      </c>
      <c r="B600" s="41"/>
      <c r="C600" s="41"/>
      <c r="D600" s="38">
        <v>1</v>
      </c>
      <c r="J600" s="38">
        <f t="shared" si="77"/>
        <v>128</v>
      </c>
      <c r="K600" s="38" t="str">
        <f t="shared" si="75"/>
        <v>80</v>
      </c>
      <c r="M600" s="42"/>
    </row>
    <row r="601" spans="1:13" ht="12" customHeight="1">
      <c r="A601" s="38">
        <v>8</v>
      </c>
      <c r="B601" s="41"/>
      <c r="C601" s="41"/>
      <c r="D601" s="38">
        <v>1</v>
      </c>
      <c r="J601" s="38">
        <f t="shared" si="77"/>
        <v>128</v>
      </c>
      <c r="K601" s="38" t="str">
        <f t="shared" si="75"/>
        <v>80</v>
      </c>
      <c r="M601" s="42"/>
    </row>
    <row r="602" spans="1:13" ht="12" customHeight="1">
      <c r="A602" s="38">
        <v>9</v>
      </c>
      <c r="B602" s="41"/>
      <c r="C602" s="41"/>
      <c r="J602" s="38">
        <f t="shared" si="77"/>
        <v>0</v>
      </c>
      <c r="K602" s="38" t="str">
        <f t="shared" si="75"/>
        <v>00</v>
      </c>
      <c r="M602" s="42"/>
    </row>
    <row r="603" spans="1:13" ht="12" customHeight="1">
      <c r="A603" s="38">
        <v>10</v>
      </c>
      <c r="B603" s="41"/>
      <c r="C603" s="41"/>
      <c r="J603" s="38">
        <f t="shared" si="77"/>
        <v>0</v>
      </c>
      <c r="K603" s="38" t="str">
        <f t="shared" si="75"/>
        <v>00</v>
      </c>
      <c r="M603" s="42"/>
    </row>
    <row r="604" spans="1:13" ht="12" customHeight="1">
      <c r="A604" s="38">
        <v>1</v>
      </c>
      <c r="B604" s="41">
        <v>56</v>
      </c>
      <c r="C604" s="41">
        <v>8</v>
      </c>
      <c r="E604" s="38">
        <v>1</v>
      </c>
      <c r="F604" s="38">
        <v>1</v>
      </c>
      <c r="G604" s="38">
        <v>1</v>
      </c>
      <c r="J604" s="38">
        <f t="shared" si="77"/>
        <v>112</v>
      </c>
      <c r="K604" s="38" t="str">
        <f t="shared" si="75"/>
        <v>70</v>
      </c>
      <c r="M604" s="42" t="str">
        <f t="shared" ref="M604" si="79">CONCATENATE("0x",K604,",0x",K605,",0x",K606,",0x",K607,",0x",K608,",0x",K609,",0x",K610,",0x",K611,",0x",K612,",0x",K613,", //",C604)</f>
        <v>0x70,0x88,0x88,0x70,0x88,0x88,0x88,0x70,0x00,0x00, //8</v>
      </c>
    </row>
    <row r="605" spans="1:13" ht="12" customHeight="1">
      <c r="A605" s="38">
        <v>2</v>
      </c>
      <c r="B605" s="41"/>
      <c r="C605" s="41"/>
      <c r="D605" s="38">
        <v>1</v>
      </c>
      <c r="H605" s="38">
        <v>1</v>
      </c>
      <c r="J605" s="38">
        <f t="shared" si="77"/>
        <v>136</v>
      </c>
      <c r="K605" s="38" t="str">
        <f t="shared" si="75"/>
        <v>88</v>
      </c>
      <c r="M605" s="42"/>
    </row>
    <row r="606" spans="1:13" ht="12" customHeight="1">
      <c r="A606" s="38">
        <v>3</v>
      </c>
      <c r="B606" s="41"/>
      <c r="C606" s="41"/>
      <c r="D606" s="38">
        <v>1</v>
      </c>
      <c r="H606" s="38">
        <v>1</v>
      </c>
      <c r="J606" s="38">
        <f t="shared" si="77"/>
        <v>136</v>
      </c>
      <c r="K606" s="38" t="str">
        <f t="shared" si="75"/>
        <v>88</v>
      </c>
      <c r="M606" s="42"/>
    </row>
    <row r="607" spans="1:13" ht="12" customHeight="1">
      <c r="A607" s="38">
        <v>4</v>
      </c>
      <c r="B607" s="41"/>
      <c r="C607" s="41"/>
      <c r="E607" s="38">
        <v>1</v>
      </c>
      <c r="F607" s="38">
        <v>1</v>
      </c>
      <c r="G607" s="38">
        <v>1</v>
      </c>
      <c r="J607" s="38">
        <f t="shared" si="77"/>
        <v>112</v>
      </c>
      <c r="K607" s="38" t="str">
        <f t="shared" si="75"/>
        <v>70</v>
      </c>
      <c r="M607" s="42"/>
    </row>
    <row r="608" spans="1:13" ht="12" customHeight="1">
      <c r="A608" s="38">
        <v>5</v>
      </c>
      <c r="B608" s="41"/>
      <c r="C608" s="41"/>
      <c r="D608" s="38">
        <v>1</v>
      </c>
      <c r="H608" s="38">
        <v>1</v>
      </c>
      <c r="J608" s="38">
        <f t="shared" si="77"/>
        <v>136</v>
      </c>
      <c r="K608" s="38" t="str">
        <f t="shared" si="75"/>
        <v>88</v>
      </c>
      <c r="M608" s="42"/>
    </row>
    <row r="609" spans="1:13" ht="12" customHeight="1">
      <c r="A609" s="38">
        <v>6</v>
      </c>
      <c r="B609" s="41"/>
      <c r="C609" s="41"/>
      <c r="D609" s="38">
        <v>1</v>
      </c>
      <c r="H609" s="38">
        <v>1</v>
      </c>
      <c r="J609" s="38">
        <f t="shared" si="77"/>
        <v>136</v>
      </c>
      <c r="K609" s="38" t="str">
        <f t="shared" si="75"/>
        <v>88</v>
      </c>
      <c r="M609" s="42"/>
    </row>
    <row r="610" spans="1:13" ht="12" customHeight="1">
      <c r="A610" s="38">
        <v>7</v>
      </c>
      <c r="B610" s="41"/>
      <c r="C610" s="41"/>
      <c r="D610" s="38">
        <v>1</v>
      </c>
      <c r="H610" s="38">
        <v>1</v>
      </c>
      <c r="J610" s="38">
        <f t="shared" si="77"/>
        <v>136</v>
      </c>
      <c r="K610" s="38" t="str">
        <f t="shared" si="75"/>
        <v>88</v>
      </c>
      <c r="M610" s="42"/>
    </row>
    <row r="611" spans="1:13" ht="12" customHeight="1">
      <c r="A611" s="38">
        <v>8</v>
      </c>
      <c r="B611" s="41"/>
      <c r="C611" s="41"/>
      <c r="E611" s="38">
        <v>1</v>
      </c>
      <c r="F611" s="38">
        <v>1</v>
      </c>
      <c r="G611" s="38">
        <v>1</v>
      </c>
      <c r="J611" s="38">
        <f t="shared" si="77"/>
        <v>112</v>
      </c>
      <c r="K611" s="38" t="str">
        <f t="shared" si="75"/>
        <v>70</v>
      </c>
      <c r="M611" s="42"/>
    </row>
    <row r="612" spans="1:13" ht="12" customHeight="1">
      <c r="A612" s="38">
        <v>9</v>
      </c>
      <c r="B612" s="41"/>
      <c r="C612" s="41"/>
      <c r="J612" s="38">
        <f t="shared" si="77"/>
        <v>0</v>
      </c>
      <c r="K612" s="38" t="str">
        <f t="shared" si="75"/>
        <v>00</v>
      </c>
      <c r="M612" s="42"/>
    </row>
    <row r="613" spans="1:13" ht="12" customHeight="1">
      <c r="A613" s="38">
        <v>10</v>
      </c>
      <c r="B613" s="41"/>
      <c r="C613" s="41"/>
      <c r="J613" s="38">
        <f t="shared" si="77"/>
        <v>0</v>
      </c>
      <c r="K613" s="38" t="str">
        <f t="shared" si="75"/>
        <v>00</v>
      </c>
      <c r="M613" s="42"/>
    </row>
    <row r="614" spans="1:13" ht="12" customHeight="1">
      <c r="A614" s="38">
        <v>1</v>
      </c>
      <c r="B614" s="41">
        <v>57</v>
      </c>
      <c r="C614" s="41">
        <v>9</v>
      </c>
      <c r="E614" s="38">
        <v>1</v>
      </c>
      <c r="F614" s="38">
        <v>1</v>
      </c>
      <c r="G614" s="38">
        <v>1</v>
      </c>
      <c r="J614" s="38">
        <f t="shared" si="77"/>
        <v>112</v>
      </c>
      <c r="K614" s="38" t="str">
        <f t="shared" si="75"/>
        <v>70</v>
      </c>
      <c r="M614" s="42" t="str">
        <f t="shared" ref="M614" si="80">CONCATENATE("0x",K614,",0x",K615,",0x",K616,",0x",K617,",0x",K618,",0x",K619,",0x",K620,",0x",K621,",0x",K622,",0x",K623,", //",C614)</f>
        <v>0x70,0x88,0x88,0x78,0x08,0x08,0x88,0x70,0x00,0x00, //9</v>
      </c>
    </row>
    <row r="615" spans="1:13" ht="12" customHeight="1">
      <c r="A615" s="38">
        <v>2</v>
      </c>
      <c r="B615" s="41"/>
      <c r="C615" s="41"/>
      <c r="D615" s="38">
        <v>1</v>
      </c>
      <c r="H615" s="38">
        <v>1</v>
      </c>
      <c r="J615" s="38">
        <f t="shared" si="77"/>
        <v>136</v>
      </c>
      <c r="K615" s="38" t="str">
        <f t="shared" si="75"/>
        <v>88</v>
      </c>
      <c r="M615" s="42"/>
    </row>
    <row r="616" spans="1:13" ht="12" customHeight="1">
      <c r="A616" s="38">
        <v>3</v>
      </c>
      <c r="B616" s="41"/>
      <c r="C616" s="41"/>
      <c r="D616" s="38">
        <v>1</v>
      </c>
      <c r="H616" s="38">
        <v>1</v>
      </c>
      <c r="J616" s="38">
        <f t="shared" si="77"/>
        <v>136</v>
      </c>
      <c r="K616" s="38" t="str">
        <f t="shared" si="75"/>
        <v>88</v>
      </c>
      <c r="M616" s="42"/>
    </row>
    <row r="617" spans="1:13" ht="12" customHeight="1">
      <c r="A617" s="38">
        <v>4</v>
      </c>
      <c r="B617" s="41"/>
      <c r="C617" s="41"/>
      <c r="E617" s="38">
        <v>1</v>
      </c>
      <c r="F617" s="38">
        <v>1</v>
      </c>
      <c r="G617" s="38">
        <v>1</v>
      </c>
      <c r="H617" s="38">
        <v>1</v>
      </c>
      <c r="J617" s="38">
        <f t="shared" si="77"/>
        <v>120</v>
      </c>
      <c r="K617" s="38" t="str">
        <f t="shared" si="75"/>
        <v>78</v>
      </c>
      <c r="M617" s="42"/>
    </row>
    <row r="618" spans="1:13" ht="12" customHeight="1">
      <c r="A618" s="38">
        <v>5</v>
      </c>
      <c r="B618" s="41"/>
      <c r="C618" s="41"/>
      <c r="H618" s="38">
        <v>1</v>
      </c>
      <c r="J618" s="38">
        <f t="shared" si="77"/>
        <v>8</v>
      </c>
      <c r="K618" s="38" t="str">
        <f t="shared" si="75"/>
        <v>08</v>
      </c>
      <c r="M618" s="42"/>
    </row>
    <row r="619" spans="1:13" ht="12" customHeight="1">
      <c r="A619" s="38">
        <v>6</v>
      </c>
      <c r="B619" s="41"/>
      <c r="C619" s="41"/>
      <c r="H619" s="38">
        <v>1</v>
      </c>
      <c r="J619" s="38">
        <f t="shared" si="77"/>
        <v>8</v>
      </c>
      <c r="K619" s="38" t="str">
        <f t="shared" si="75"/>
        <v>08</v>
      </c>
      <c r="M619" s="42"/>
    </row>
    <row r="620" spans="1:13" ht="12" customHeight="1">
      <c r="A620" s="38">
        <v>7</v>
      </c>
      <c r="B620" s="41"/>
      <c r="C620" s="41"/>
      <c r="D620" s="38">
        <v>1</v>
      </c>
      <c r="H620" s="38">
        <v>1</v>
      </c>
      <c r="J620" s="38">
        <f t="shared" si="77"/>
        <v>136</v>
      </c>
      <c r="K620" s="38" t="str">
        <f t="shared" si="75"/>
        <v>88</v>
      </c>
      <c r="M620" s="42"/>
    </row>
    <row r="621" spans="1:13" ht="12" customHeight="1">
      <c r="A621" s="38">
        <v>8</v>
      </c>
      <c r="B621" s="41"/>
      <c r="C621" s="41"/>
      <c r="E621" s="38">
        <v>1</v>
      </c>
      <c r="F621" s="38">
        <v>1</v>
      </c>
      <c r="G621" s="38">
        <v>1</v>
      </c>
      <c r="J621" s="38">
        <f t="shared" si="77"/>
        <v>112</v>
      </c>
      <c r="K621" s="38" t="str">
        <f t="shared" si="75"/>
        <v>70</v>
      </c>
      <c r="M621" s="42"/>
    </row>
    <row r="622" spans="1:13" ht="12" customHeight="1">
      <c r="A622" s="38">
        <v>9</v>
      </c>
      <c r="B622" s="41"/>
      <c r="C622" s="41"/>
      <c r="J622" s="38">
        <f t="shared" si="77"/>
        <v>0</v>
      </c>
      <c r="K622" s="38" t="str">
        <f t="shared" si="75"/>
        <v>00</v>
      </c>
      <c r="M622" s="42"/>
    </row>
    <row r="623" spans="1:13" ht="12" customHeight="1">
      <c r="A623" s="38">
        <v>10</v>
      </c>
      <c r="B623" s="41"/>
      <c r="C623" s="41"/>
      <c r="J623" s="38">
        <f t="shared" si="77"/>
        <v>0</v>
      </c>
      <c r="K623" s="38" t="str">
        <f t="shared" si="75"/>
        <v>00</v>
      </c>
      <c r="M623" s="42"/>
    </row>
    <row r="624" spans="1:13" ht="12" customHeight="1">
      <c r="A624" s="38">
        <v>1</v>
      </c>
      <c r="B624" s="41">
        <v>58</v>
      </c>
      <c r="C624" s="41" t="s">
        <v>114</v>
      </c>
      <c r="J624" s="38">
        <f t="shared" si="77"/>
        <v>0</v>
      </c>
      <c r="K624" s="38" t="str">
        <f t="shared" si="75"/>
        <v>00</v>
      </c>
      <c r="M624" s="42" t="str">
        <f t="shared" ref="M624" si="81">CONCATENATE("0x",K624,",0x",K625,",0x",K626,",0x",K627,",0x",K628,",0x",K629,",0x",K630,",0x",K631,",0x",K632,",0x",K633,", //",C624)</f>
        <v>0x00,0x00,0x00,0x08,0x00,0x00,0x00,0x08,0x00,0x00, //:</v>
      </c>
    </row>
    <row r="625" spans="1:13" ht="12" customHeight="1">
      <c r="A625" s="38">
        <v>2</v>
      </c>
      <c r="B625" s="41"/>
      <c r="C625" s="41"/>
      <c r="J625" s="38">
        <f t="shared" si="77"/>
        <v>0</v>
      </c>
      <c r="K625" s="38" t="str">
        <f t="shared" si="75"/>
        <v>00</v>
      </c>
      <c r="M625" s="42"/>
    </row>
    <row r="626" spans="1:13" ht="12" customHeight="1">
      <c r="A626" s="38">
        <v>3</v>
      </c>
      <c r="B626" s="41"/>
      <c r="C626" s="41"/>
      <c r="J626" s="38">
        <f t="shared" si="77"/>
        <v>0</v>
      </c>
      <c r="K626" s="38" t="str">
        <f t="shared" si="75"/>
        <v>00</v>
      </c>
      <c r="M626" s="42"/>
    </row>
    <row r="627" spans="1:13" ht="12" customHeight="1">
      <c r="A627" s="38">
        <v>4</v>
      </c>
      <c r="B627" s="41"/>
      <c r="C627" s="41"/>
      <c r="H627" s="38">
        <v>1</v>
      </c>
      <c r="J627" s="38">
        <f t="shared" si="77"/>
        <v>8</v>
      </c>
      <c r="K627" s="38" t="str">
        <f t="shared" si="75"/>
        <v>08</v>
      </c>
      <c r="M627" s="42"/>
    </row>
    <row r="628" spans="1:13" ht="12" customHeight="1">
      <c r="A628" s="38">
        <v>5</v>
      </c>
      <c r="B628" s="41"/>
      <c r="C628" s="41"/>
      <c r="J628" s="38">
        <f t="shared" si="77"/>
        <v>0</v>
      </c>
      <c r="K628" s="38" t="str">
        <f t="shared" si="75"/>
        <v>00</v>
      </c>
      <c r="M628" s="42"/>
    </row>
    <row r="629" spans="1:13" ht="12" customHeight="1">
      <c r="A629" s="38">
        <v>6</v>
      </c>
      <c r="B629" s="41"/>
      <c r="C629" s="41"/>
      <c r="J629" s="38">
        <f t="shared" si="77"/>
        <v>0</v>
      </c>
      <c r="K629" s="38" t="str">
        <f t="shared" si="75"/>
        <v>00</v>
      </c>
      <c r="M629" s="42"/>
    </row>
    <row r="630" spans="1:13" ht="12" customHeight="1">
      <c r="A630" s="38">
        <v>7</v>
      </c>
      <c r="B630" s="41"/>
      <c r="C630" s="41"/>
      <c r="J630" s="38">
        <f t="shared" si="77"/>
        <v>0</v>
      </c>
      <c r="K630" s="38" t="str">
        <f t="shared" si="75"/>
        <v>00</v>
      </c>
      <c r="M630" s="42"/>
    </row>
    <row r="631" spans="1:13" ht="12" customHeight="1">
      <c r="A631" s="38">
        <v>8</v>
      </c>
      <c r="B631" s="41"/>
      <c r="C631" s="41"/>
      <c r="H631" s="38">
        <v>1</v>
      </c>
      <c r="J631" s="38">
        <f t="shared" si="77"/>
        <v>8</v>
      </c>
      <c r="K631" s="38" t="str">
        <f t="shared" si="75"/>
        <v>08</v>
      </c>
      <c r="M631" s="42"/>
    </row>
    <row r="632" spans="1:13" ht="12" customHeight="1">
      <c r="A632" s="38">
        <v>9</v>
      </c>
      <c r="B632" s="41"/>
      <c r="C632" s="41"/>
      <c r="J632" s="38">
        <f t="shared" si="77"/>
        <v>0</v>
      </c>
      <c r="K632" s="38" t="str">
        <f t="shared" si="75"/>
        <v>00</v>
      </c>
      <c r="M632" s="42"/>
    </row>
    <row r="633" spans="1:13" ht="12" customHeight="1">
      <c r="A633" s="38">
        <v>10</v>
      </c>
      <c r="B633" s="41"/>
      <c r="C633" s="41"/>
      <c r="J633" s="38">
        <f t="shared" si="77"/>
        <v>0</v>
      </c>
      <c r="K633" s="38" t="str">
        <f t="shared" si="75"/>
        <v>00</v>
      </c>
      <c r="M633" s="42"/>
    </row>
    <row r="634" spans="1:13" ht="12" customHeight="1">
      <c r="A634" s="38">
        <v>1</v>
      </c>
      <c r="B634" s="41">
        <v>61</v>
      </c>
      <c r="C634" s="43" t="s">
        <v>117</v>
      </c>
      <c r="J634" s="38">
        <f t="shared" si="77"/>
        <v>0</v>
      </c>
      <c r="K634" s="38" t="str">
        <f t="shared" si="75"/>
        <v>00</v>
      </c>
      <c r="M634" s="42" t="str">
        <f t="shared" ref="M634" si="82">CONCATENATE("0x",K634,",0x",K635,",0x",K636,",0x",K637,",0x",K638,",0x",K639,",0x",K640,",0x",K641,",0x",K642,",0x",K643,", //",C634)</f>
        <v>0x00,0x00,0x00,0x00,0xF8,0x00,0x00,0xF8,0x00,0x00, //=</v>
      </c>
    </row>
    <row r="635" spans="1:13" ht="12" customHeight="1">
      <c r="A635" s="38">
        <v>2</v>
      </c>
      <c r="B635" s="41"/>
      <c r="C635" s="43"/>
      <c r="J635" s="38">
        <f t="shared" si="77"/>
        <v>0</v>
      </c>
      <c r="K635" s="38" t="str">
        <f t="shared" si="75"/>
        <v>00</v>
      </c>
      <c r="M635" s="42"/>
    </row>
    <row r="636" spans="1:13" ht="12" customHeight="1">
      <c r="A636" s="38">
        <v>3</v>
      </c>
      <c r="B636" s="41"/>
      <c r="C636" s="43"/>
      <c r="J636" s="38">
        <f t="shared" si="77"/>
        <v>0</v>
      </c>
      <c r="K636" s="38" t="str">
        <f t="shared" si="75"/>
        <v>00</v>
      </c>
      <c r="M636" s="42"/>
    </row>
    <row r="637" spans="1:13" ht="12" customHeight="1">
      <c r="A637" s="38">
        <v>4</v>
      </c>
      <c r="B637" s="41"/>
      <c r="C637" s="43"/>
      <c r="J637" s="38">
        <f t="shared" si="77"/>
        <v>0</v>
      </c>
      <c r="K637" s="38" t="str">
        <f t="shared" si="75"/>
        <v>00</v>
      </c>
      <c r="M637" s="42"/>
    </row>
    <row r="638" spans="1:13" ht="12" customHeight="1">
      <c r="A638" s="38">
        <v>5</v>
      </c>
      <c r="B638" s="41"/>
      <c r="C638" s="43"/>
      <c r="D638" s="38">
        <v>1</v>
      </c>
      <c r="E638" s="38">
        <v>1</v>
      </c>
      <c r="F638" s="38">
        <v>1</v>
      </c>
      <c r="G638" s="38">
        <v>1</v>
      </c>
      <c r="H638" s="38">
        <v>1</v>
      </c>
      <c r="J638" s="38">
        <f t="shared" si="77"/>
        <v>248</v>
      </c>
      <c r="K638" s="38" t="str">
        <f t="shared" si="75"/>
        <v>F8</v>
      </c>
      <c r="M638" s="42"/>
    </row>
    <row r="639" spans="1:13" ht="12" customHeight="1">
      <c r="A639" s="38">
        <v>6</v>
      </c>
      <c r="B639" s="41"/>
      <c r="C639" s="43"/>
      <c r="J639" s="38">
        <f t="shared" si="77"/>
        <v>0</v>
      </c>
      <c r="K639" s="38" t="str">
        <f t="shared" si="75"/>
        <v>00</v>
      </c>
      <c r="M639" s="42"/>
    </row>
    <row r="640" spans="1:13" ht="12" customHeight="1">
      <c r="A640" s="38">
        <v>7</v>
      </c>
      <c r="B640" s="41"/>
      <c r="C640" s="43"/>
      <c r="J640" s="38">
        <f t="shared" si="77"/>
        <v>0</v>
      </c>
      <c r="K640" s="38" t="str">
        <f t="shared" si="75"/>
        <v>00</v>
      </c>
      <c r="M640" s="42"/>
    </row>
    <row r="641" spans="1:13" ht="12" customHeight="1">
      <c r="A641" s="38">
        <v>8</v>
      </c>
      <c r="B641" s="41"/>
      <c r="C641" s="43"/>
      <c r="D641" s="38">
        <v>1</v>
      </c>
      <c r="E641" s="38">
        <v>1</v>
      </c>
      <c r="F641" s="38">
        <v>1</v>
      </c>
      <c r="G641" s="38">
        <v>1</v>
      </c>
      <c r="H641" s="38">
        <v>1</v>
      </c>
      <c r="J641" s="38">
        <f t="shared" si="77"/>
        <v>248</v>
      </c>
      <c r="K641" s="38" t="str">
        <f t="shared" si="75"/>
        <v>F8</v>
      </c>
      <c r="M641" s="42"/>
    </row>
    <row r="642" spans="1:13" ht="12" customHeight="1">
      <c r="A642" s="38">
        <v>9</v>
      </c>
      <c r="B642" s="41"/>
      <c r="C642" s="43"/>
      <c r="J642" s="38">
        <f t="shared" si="77"/>
        <v>0</v>
      </c>
      <c r="K642" s="38" t="str">
        <f t="shared" si="75"/>
        <v>00</v>
      </c>
      <c r="M642" s="42"/>
    </row>
    <row r="643" spans="1:13" ht="12" customHeight="1">
      <c r="A643" s="38">
        <v>10</v>
      </c>
      <c r="B643" s="41"/>
      <c r="C643" s="43"/>
      <c r="J643" s="38">
        <f t="shared" si="77"/>
        <v>0</v>
      </c>
      <c r="K643" s="38" t="str">
        <f t="shared" si="75"/>
        <v>00</v>
      </c>
      <c r="M643" s="42"/>
    </row>
    <row r="644" spans="1:13" ht="12" customHeight="1">
      <c r="A644" s="38">
        <v>1</v>
      </c>
      <c r="B644" s="41">
        <v>32</v>
      </c>
      <c r="C644" s="41" t="s">
        <v>215</v>
      </c>
      <c r="J644" s="38">
        <f t="shared" si="77"/>
        <v>0</v>
      </c>
      <c r="K644" s="38" t="str">
        <f t="shared" si="75"/>
        <v>00</v>
      </c>
      <c r="M644" s="42" t="str">
        <f t="shared" ref="M644" si="83">CONCATENATE("0x",K644,",0x",K645,",0x",K646,",0x",K647,",0x",K648,",0x",K649,",0x",K650,",0x",K651,",0x",K652,",0x",K653,", //",C644)</f>
        <v>0x00,0x00,0x00,0x00,0x00,0x00,0x00,0x00,0x00,0x00, //sp</v>
      </c>
    </row>
    <row r="645" spans="1:13" ht="12" customHeight="1">
      <c r="A645" s="38">
        <v>2</v>
      </c>
      <c r="B645" s="41"/>
      <c r="C645" s="41"/>
      <c r="J645" s="38">
        <f t="shared" si="77"/>
        <v>0</v>
      </c>
      <c r="K645" s="38" t="str">
        <f t="shared" ref="K645:K708" si="84">DEC2HEX(J645,2)</f>
        <v>00</v>
      </c>
      <c r="M645" s="42"/>
    </row>
    <row r="646" spans="1:13" ht="12" customHeight="1">
      <c r="A646" s="38">
        <v>3</v>
      </c>
      <c r="B646" s="41"/>
      <c r="C646" s="41"/>
      <c r="J646" s="38">
        <f t="shared" si="77"/>
        <v>0</v>
      </c>
      <c r="K646" s="38" t="str">
        <f t="shared" si="84"/>
        <v>00</v>
      </c>
      <c r="M646" s="42"/>
    </row>
    <row r="647" spans="1:13" ht="12" customHeight="1">
      <c r="A647" s="38">
        <v>4</v>
      </c>
      <c r="B647" s="41"/>
      <c r="C647" s="41"/>
      <c r="J647" s="38">
        <f t="shared" si="77"/>
        <v>0</v>
      </c>
      <c r="K647" s="38" t="str">
        <f t="shared" si="84"/>
        <v>00</v>
      </c>
      <c r="M647" s="42"/>
    </row>
    <row r="648" spans="1:13" ht="12" customHeight="1">
      <c r="A648" s="38">
        <v>5</v>
      </c>
      <c r="B648" s="41"/>
      <c r="C648" s="41"/>
      <c r="J648" s="38">
        <f t="shared" si="77"/>
        <v>0</v>
      </c>
      <c r="K648" s="38" t="str">
        <f t="shared" si="84"/>
        <v>00</v>
      </c>
      <c r="M648" s="42"/>
    </row>
    <row r="649" spans="1:13" ht="12" customHeight="1">
      <c r="A649" s="38">
        <v>6</v>
      </c>
      <c r="B649" s="41"/>
      <c r="C649" s="41"/>
      <c r="J649" s="38">
        <f t="shared" si="77"/>
        <v>0</v>
      </c>
      <c r="K649" s="38" t="str">
        <f t="shared" si="84"/>
        <v>00</v>
      </c>
      <c r="M649" s="42"/>
    </row>
    <row r="650" spans="1:13" ht="12" customHeight="1">
      <c r="A650" s="38">
        <v>7</v>
      </c>
      <c r="B650" s="41"/>
      <c r="C650" s="41"/>
      <c r="J650" s="38">
        <f t="shared" si="77"/>
        <v>0</v>
      </c>
      <c r="K650" s="38" t="str">
        <f t="shared" si="84"/>
        <v>00</v>
      </c>
      <c r="M650" s="42"/>
    </row>
    <row r="651" spans="1:13" ht="12" customHeight="1">
      <c r="A651" s="38">
        <v>8</v>
      </c>
      <c r="B651" s="41"/>
      <c r="C651" s="41"/>
      <c r="J651" s="38">
        <f t="shared" si="77"/>
        <v>0</v>
      </c>
      <c r="K651" s="38" t="str">
        <f t="shared" si="84"/>
        <v>00</v>
      </c>
      <c r="M651" s="42"/>
    </row>
    <row r="652" spans="1:13" ht="12" customHeight="1">
      <c r="A652" s="38">
        <v>9</v>
      </c>
      <c r="B652" s="41"/>
      <c r="C652" s="41"/>
      <c r="J652" s="38">
        <f t="shared" si="77"/>
        <v>0</v>
      </c>
      <c r="K652" s="38" t="str">
        <f t="shared" si="84"/>
        <v>00</v>
      </c>
      <c r="M652" s="42"/>
    </row>
    <row r="653" spans="1:13" ht="12" customHeight="1">
      <c r="A653" s="38">
        <v>10</v>
      </c>
      <c r="B653" s="41"/>
      <c r="C653" s="41"/>
      <c r="J653" s="38">
        <f t="shared" si="77"/>
        <v>0</v>
      </c>
      <c r="K653" s="38" t="str">
        <f t="shared" si="84"/>
        <v>00</v>
      </c>
      <c r="M653" s="42"/>
    </row>
    <row r="654" spans="1:13" ht="12" customHeight="1">
      <c r="A654" s="38">
        <v>1</v>
      </c>
      <c r="B654" s="41">
        <v>46</v>
      </c>
      <c r="C654" s="41" t="s">
        <v>112</v>
      </c>
      <c r="J654" s="38">
        <f t="shared" ref="J654:J717" si="85">D654*D$2+E654*E$2+F654*F$2+G654*G$2+H654*H$2</f>
        <v>0</v>
      </c>
      <c r="K654" s="38" t="str">
        <f t="shared" si="84"/>
        <v>00</v>
      </c>
      <c r="M654" s="42" t="str">
        <f t="shared" ref="M654" si="86">CONCATENATE("0x",K654,",0x",K655,",0x",K656,",0x",K657,",0x",K658,",0x",K659,",0x",K660,",0x",K661,",0x",K662,",0x",K663,", //",C654)</f>
        <v>0x00,0x00,0x00,0x00,0x00,0x00,0x00,0x08,0x00,0x00, //.</v>
      </c>
    </row>
    <row r="655" spans="1:13" ht="12" customHeight="1">
      <c r="A655" s="38">
        <v>2</v>
      </c>
      <c r="B655" s="41"/>
      <c r="C655" s="41"/>
      <c r="J655" s="38">
        <f t="shared" si="85"/>
        <v>0</v>
      </c>
      <c r="K655" s="38" t="str">
        <f t="shared" si="84"/>
        <v>00</v>
      </c>
      <c r="M655" s="42"/>
    </row>
    <row r="656" spans="1:13" ht="12" customHeight="1">
      <c r="A656" s="38">
        <v>3</v>
      </c>
      <c r="B656" s="41"/>
      <c r="C656" s="41"/>
      <c r="J656" s="38">
        <f t="shared" si="85"/>
        <v>0</v>
      </c>
      <c r="K656" s="38" t="str">
        <f t="shared" si="84"/>
        <v>00</v>
      </c>
      <c r="M656" s="42"/>
    </row>
    <row r="657" spans="1:13" ht="12" customHeight="1">
      <c r="A657" s="38">
        <v>4</v>
      </c>
      <c r="B657" s="41"/>
      <c r="C657" s="41"/>
      <c r="J657" s="38">
        <f t="shared" si="85"/>
        <v>0</v>
      </c>
      <c r="K657" s="38" t="str">
        <f t="shared" si="84"/>
        <v>00</v>
      </c>
      <c r="M657" s="42"/>
    </row>
    <row r="658" spans="1:13" ht="12" customHeight="1">
      <c r="A658" s="38">
        <v>5</v>
      </c>
      <c r="B658" s="41"/>
      <c r="C658" s="41"/>
      <c r="J658" s="38">
        <f t="shared" si="85"/>
        <v>0</v>
      </c>
      <c r="K658" s="38" t="str">
        <f t="shared" si="84"/>
        <v>00</v>
      </c>
      <c r="M658" s="42"/>
    </row>
    <row r="659" spans="1:13" ht="12" customHeight="1">
      <c r="A659" s="38">
        <v>6</v>
      </c>
      <c r="B659" s="41"/>
      <c r="C659" s="41"/>
      <c r="J659" s="38">
        <f t="shared" si="85"/>
        <v>0</v>
      </c>
      <c r="K659" s="38" t="str">
        <f t="shared" si="84"/>
        <v>00</v>
      </c>
      <c r="M659" s="42"/>
    </row>
    <row r="660" spans="1:13" ht="12" customHeight="1">
      <c r="A660" s="38">
        <v>7</v>
      </c>
      <c r="B660" s="41"/>
      <c r="C660" s="41"/>
      <c r="J660" s="38">
        <f t="shared" si="85"/>
        <v>0</v>
      </c>
      <c r="K660" s="38" t="str">
        <f t="shared" si="84"/>
        <v>00</v>
      </c>
      <c r="M660" s="42"/>
    </row>
    <row r="661" spans="1:13" ht="12" customHeight="1">
      <c r="A661" s="38">
        <v>8</v>
      </c>
      <c r="B661" s="41"/>
      <c r="C661" s="41"/>
      <c r="H661" s="38">
        <v>1</v>
      </c>
      <c r="J661" s="38">
        <f t="shared" si="85"/>
        <v>8</v>
      </c>
      <c r="K661" s="38" t="str">
        <f t="shared" si="84"/>
        <v>08</v>
      </c>
      <c r="M661" s="42"/>
    </row>
    <row r="662" spans="1:13" ht="12" customHeight="1">
      <c r="A662" s="38">
        <v>9</v>
      </c>
      <c r="B662" s="41"/>
      <c r="C662" s="41"/>
      <c r="J662" s="38">
        <f t="shared" si="85"/>
        <v>0</v>
      </c>
      <c r="K662" s="38" t="str">
        <f t="shared" si="84"/>
        <v>00</v>
      </c>
      <c r="M662" s="42"/>
    </row>
    <row r="663" spans="1:13" ht="12" customHeight="1">
      <c r="A663" s="38">
        <v>10</v>
      </c>
      <c r="B663" s="41"/>
      <c r="C663" s="41"/>
      <c r="J663" s="38">
        <f t="shared" si="85"/>
        <v>0</v>
      </c>
      <c r="K663" s="38" t="str">
        <f t="shared" si="84"/>
        <v>00</v>
      </c>
      <c r="M663" s="42"/>
    </row>
    <row r="664" spans="1:13" ht="12" customHeight="1">
      <c r="A664" s="38">
        <v>1</v>
      </c>
      <c r="B664" s="41">
        <v>47</v>
      </c>
      <c r="C664" s="41" t="s">
        <v>113</v>
      </c>
      <c r="H664" s="38">
        <v>1</v>
      </c>
      <c r="J664" s="38">
        <f t="shared" si="85"/>
        <v>8</v>
      </c>
      <c r="K664" s="38" t="str">
        <f t="shared" si="84"/>
        <v>08</v>
      </c>
      <c r="M664" s="42" t="str">
        <f t="shared" ref="M664" si="87">CONCATENATE("0x",K664,",0x",K665,",0x",K666,",0x",K667,",0x",K668,",0x",K669,",0x",K670,",0x",K671,",0x",K672,",0x",K673,", //",C664)</f>
        <v>0x08,0x08,0x10,0x10,0x20,0x20,0x40,0x40,0x00,0x00, ///</v>
      </c>
    </row>
    <row r="665" spans="1:13" ht="12" customHeight="1">
      <c r="A665" s="38">
        <v>2</v>
      </c>
      <c r="B665" s="41"/>
      <c r="C665" s="41"/>
      <c r="H665" s="38">
        <v>1</v>
      </c>
      <c r="J665" s="38">
        <f t="shared" si="85"/>
        <v>8</v>
      </c>
      <c r="K665" s="38" t="str">
        <f t="shared" si="84"/>
        <v>08</v>
      </c>
      <c r="M665" s="42"/>
    </row>
    <row r="666" spans="1:13" ht="12" customHeight="1">
      <c r="A666" s="38">
        <v>3</v>
      </c>
      <c r="B666" s="41"/>
      <c r="C666" s="41"/>
      <c r="G666" s="38">
        <v>1</v>
      </c>
      <c r="J666" s="38">
        <f t="shared" si="85"/>
        <v>16</v>
      </c>
      <c r="K666" s="38" t="str">
        <f t="shared" si="84"/>
        <v>10</v>
      </c>
      <c r="M666" s="42"/>
    </row>
    <row r="667" spans="1:13" ht="12" customHeight="1">
      <c r="A667" s="38">
        <v>4</v>
      </c>
      <c r="B667" s="41"/>
      <c r="C667" s="41"/>
      <c r="G667" s="38">
        <v>1</v>
      </c>
      <c r="J667" s="38">
        <f t="shared" si="85"/>
        <v>16</v>
      </c>
      <c r="K667" s="38" t="str">
        <f t="shared" si="84"/>
        <v>10</v>
      </c>
      <c r="M667" s="42"/>
    </row>
    <row r="668" spans="1:13" ht="12" customHeight="1">
      <c r="A668" s="38">
        <v>5</v>
      </c>
      <c r="B668" s="41"/>
      <c r="C668" s="41"/>
      <c r="F668" s="38">
        <v>1</v>
      </c>
      <c r="J668" s="38">
        <f t="shared" si="85"/>
        <v>32</v>
      </c>
      <c r="K668" s="38" t="str">
        <f t="shared" si="84"/>
        <v>20</v>
      </c>
      <c r="M668" s="42"/>
    </row>
    <row r="669" spans="1:13" ht="12" customHeight="1">
      <c r="A669" s="38">
        <v>6</v>
      </c>
      <c r="B669" s="41"/>
      <c r="C669" s="41"/>
      <c r="F669" s="38">
        <v>1</v>
      </c>
      <c r="J669" s="38">
        <f t="shared" si="85"/>
        <v>32</v>
      </c>
      <c r="K669" s="38" t="str">
        <f t="shared" si="84"/>
        <v>20</v>
      </c>
      <c r="M669" s="42"/>
    </row>
    <row r="670" spans="1:13" ht="12" customHeight="1">
      <c r="A670" s="38">
        <v>7</v>
      </c>
      <c r="B670" s="41"/>
      <c r="C670" s="41"/>
      <c r="E670" s="38">
        <v>1</v>
      </c>
      <c r="J670" s="38">
        <f t="shared" si="85"/>
        <v>64</v>
      </c>
      <c r="K670" s="38" t="str">
        <f t="shared" si="84"/>
        <v>40</v>
      </c>
      <c r="M670" s="42"/>
    </row>
    <row r="671" spans="1:13" ht="12" customHeight="1">
      <c r="A671" s="38">
        <v>8</v>
      </c>
      <c r="B671" s="41"/>
      <c r="C671" s="41"/>
      <c r="E671" s="38">
        <v>1</v>
      </c>
      <c r="J671" s="38">
        <f t="shared" si="85"/>
        <v>64</v>
      </c>
      <c r="K671" s="38" t="str">
        <f t="shared" si="84"/>
        <v>40</v>
      </c>
      <c r="M671" s="42"/>
    </row>
    <row r="672" spans="1:13" ht="12" customHeight="1">
      <c r="A672" s="38">
        <v>9</v>
      </c>
      <c r="B672" s="41"/>
      <c r="C672" s="41"/>
      <c r="J672" s="38">
        <f t="shared" si="85"/>
        <v>0</v>
      </c>
      <c r="K672" s="38" t="str">
        <f t="shared" si="84"/>
        <v>00</v>
      </c>
      <c r="M672" s="42"/>
    </row>
    <row r="673" spans="1:13" ht="12" customHeight="1">
      <c r="A673" s="38">
        <v>10</v>
      </c>
      <c r="B673" s="41"/>
      <c r="C673" s="41"/>
      <c r="J673" s="38">
        <f t="shared" si="85"/>
        <v>0</v>
      </c>
      <c r="K673" s="38" t="str">
        <f t="shared" si="84"/>
        <v>00</v>
      </c>
      <c r="M673" s="42"/>
    </row>
    <row r="674" spans="1:13" ht="12" customHeight="1">
      <c r="A674" s="38">
        <v>1</v>
      </c>
      <c r="B674" s="41">
        <v>42</v>
      </c>
      <c r="C674" s="41" t="s">
        <v>109</v>
      </c>
      <c r="D674" s="38">
        <v>1</v>
      </c>
      <c r="E674" s="38">
        <v>1</v>
      </c>
      <c r="F674" s="38">
        <v>1</v>
      </c>
      <c r="G674" s="38">
        <v>1</v>
      </c>
      <c r="H674" s="38">
        <v>1</v>
      </c>
      <c r="J674" s="38">
        <f t="shared" si="85"/>
        <v>248</v>
      </c>
      <c r="K674" s="38" t="str">
        <f t="shared" si="84"/>
        <v>F8</v>
      </c>
      <c r="M674" s="42" t="str">
        <f t="shared" ref="M674" si="88">CONCATENATE("0x",K674,",0x",K675,",0x",K676,",0x",K677,",0x",K678,",0x",K679,",0x",K680,",0x",K681,",0x",K682,",0x",K683,", //",C674)</f>
        <v>0xF8,0xF8,0x00,0xF8,0xF8,0x00,0xF8,0xF8,0x00,0x00, //*</v>
      </c>
    </row>
    <row r="675" spans="1:13" ht="12" customHeight="1">
      <c r="A675" s="38">
        <v>2</v>
      </c>
      <c r="B675" s="41"/>
      <c r="C675" s="41"/>
      <c r="D675" s="38">
        <v>1</v>
      </c>
      <c r="E675" s="38">
        <v>1</v>
      </c>
      <c r="F675" s="38">
        <v>1</v>
      </c>
      <c r="G675" s="38">
        <v>1</v>
      </c>
      <c r="H675" s="38">
        <v>1</v>
      </c>
      <c r="J675" s="38">
        <f t="shared" si="85"/>
        <v>248</v>
      </c>
      <c r="K675" s="38" t="str">
        <f t="shared" si="84"/>
        <v>F8</v>
      </c>
      <c r="M675" s="42"/>
    </row>
    <row r="676" spans="1:13" ht="12" customHeight="1">
      <c r="A676" s="38">
        <v>3</v>
      </c>
      <c r="B676" s="41"/>
      <c r="C676" s="41"/>
      <c r="J676" s="38">
        <f t="shared" si="85"/>
        <v>0</v>
      </c>
      <c r="K676" s="38" t="str">
        <f t="shared" si="84"/>
        <v>00</v>
      </c>
      <c r="M676" s="42"/>
    </row>
    <row r="677" spans="1:13" ht="12" customHeight="1">
      <c r="A677" s="38">
        <v>4</v>
      </c>
      <c r="B677" s="41"/>
      <c r="C677" s="41"/>
      <c r="D677" s="38">
        <v>1</v>
      </c>
      <c r="E677" s="38">
        <v>1</v>
      </c>
      <c r="F677" s="38">
        <v>1</v>
      </c>
      <c r="G677" s="38">
        <v>1</v>
      </c>
      <c r="H677" s="38">
        <v>1</v>
      </c>
      <c r="J677" s="38">
        <f t="shared" si="85"/>
        <v>248</v>
      </c>
      <c r="K677" s="38" t="str">
        <f t="shared" si="84"/>
        <v>F8</v>
      </c>
      <c r="M677" s="42"/>
    </row>
    <row r="678" spans="1:13" ht="12" customHeight="1">
      <c r="A678" s="38">
        <v>5</v>
      </c>
      <c r="B678" s="41"/>
      <c r="C678" s="41"/>
      <c r="D678" s="38">
        <v>1</v>
      </c>
      <c r="E678" s="38">
        <v>1</v>
      </c>
      <c r="F678" s="38">
        <v>1</v>
      </c>
      <c r="G678" s="38">
        <v>1</v>
      </c>
      <c r="H678" s="38">
        <v>1</v>
      </c>
      <c r="J678" s="38">
        <f t="shared" si="85"/>
        <v>248</v>
      </c>
      <c r="K678" s="38" t="str">
        <f t="shared" si="84"/>
        <v>F8</v>
      </c>
      <c r="M678" s="42"/>
    </row>
    <row r="679" spans="1:13" ht="12" customHeight="1">
      <c r="A679" s="38">
        <v>6</v>
      </c>
      <c r="B679" s="41"/>
      <c r="C679" s="41"/>
      <c r="J679" s="38">
        <f t="shared" si="85"/>
        <v>0</v>
      </c>
      <c r="K679" s="38" t="str">
        <f t="shared" si="84"/>
        <v>00</v>
      </c>
      <c r="M679" s="42"/>
    </row>
    <row r="680" spans="1:13" ht="12" customHeight="1">
      <c r="A680" s="38">
        <v>7</v>
      </c>
      <c r="B680" s="41"/>
      <c r="C680" s="41"/>
      <c r="D680" s="38">
        <v>1</v>
      </c>
      <c r="E680" s="38">
        <v>1</v>
      </c>
      <c r="F680" s="38">
        <v>1</v>
      </c>
      <c r="G680" s="38">
        <v>1</v>
      </c>
      <c r="H680" s="38">
        <v>1</v>
      </c>
      <c r="J680" s="38">
        <f t="shared" si="85"/>
        <v>248</v>
      </c>
      <c r="K680" s="38" t="str">
        <f t="shared" si="84"/>
        <v>F8</v>
      </c>
      <c r="M680" s="42"/>
    </row>
    <row r="681" spans="1:13" ht="12" customHeight="1">
      <c r="A681" s="38">
        <v>8</v>
      </c>
      <c r="B681" s="41"/>
      <c r="C681" s="41"/>
      <c r="D681" s="38">
        <v>1</v>
      </c>
      <c r="E681" s="38">
        <v>1</v>
      </c>
      <c r="F681" s="38">
        <v>1</v>
      </c>
      <c r="G681" s="38">
        <v>1</v>
      </c>
      <c r="H681" s="38">
        <v>1</v>
      </c>
      <c r="J681" s="38">
        <f t="shared" si="85"/>
        <v>248</v>
      </c>
      <c r="K681" s="38" t="str">
        <f t="shared" si="84"/>
        <v>F8</v>
      </c>
      <c r="M681" s="42"/>
    </row>
    <row r="682" spans="1:13" ht="12" customHeight="1">
      <c r="A682" s="38">
        <v>9</v>
      </c>
      <c r="B682" s="41"/>
      <c r="C682" s="41"/>
      <c r="J682" s="38">
        <f t="shared" si="85"/>
        <v>0</v>
      </c>
      <c r="K682" s="38" t="str">
        <f t="shared" si="84"/>
        <v>00</v>
      </c>
      <c r="M682" s="42"/>
    </row>
    <row r="683" spans="1:13" ht="12" customHeight="1">
      <c r="A683" s="38">
        <v>10</v>
      </c>
      <c r="B683" s="41"/>
      <c r="C683" s="41"/>
      <c r="J683" s="38">
        <f t="shared" si="85"/>
        <v>0</v>
      </c>
      <c r="K683" s="38" t="str">
        <f t="shared" si="84"/>
        <v>00</v>
      </c>
      <c r="M683" s="42"/>
    </row>
    <row r="684" spans="1:13" ht="12" customHeight="1">
      <c r="A684" s="38">
        <v>1</v>
      </c>
      <c r="B684" s="41">
        <v>60</v>
      </c>
      <c r="C684" s="41" t="s">
        <v>116</v>
      </c>
      <c r="G684" s="38">
        <v>1</v>
      </c>
      <c r="J684" s="38">
        <f t="shared" si="85"/>
        <v>16</v>
      </c>
      <c r="K684" s="38" t="str">
        <f t="shared" si="84"/>
        <v>10</v>
      </c>
      <c r="M684" s="42" t="str">
        <f t="shared" ref="M684" si="89">CONCATENATE("0x",K684,",0x",K685,",0x",K686,",0x",K687,",0x",K688,",0x",K689,",0x",K690,",0x",K691,",0x",K692,",0x",K693,", //",C684)</f>
        <v>0x10,0x30,0x70,0xF0,0xF0,0x70,0x30,0x10,0x00,0x00, //&lt;</v>
      </c>
    </row>
    <row r="685" spans="1:13" ht="12" customHeight="1">
      <c r="A685" s="38">
        <v>2</v>
      </c>
      <c r="B685" s="41"/>
      <c r="C685" s="41"/>
      <c r="F685" s="38">
        <v>1</v>
      </c>
      <c r="G685" s="38">
        <v>1</v>
      </c>
      <c r="J685" s="38">
        <f t="shared" si="85"/>
        <v>48</v>
      </c>
      <c r="K685" s="38" t="str">
        <f t="shared" si="84"/>
        <v>30</v>
      </c>
      <c r="M685" s="42"/>
    </row>
    <row r="686" spans="1:13" ht="12" customHeight="1">
      <c r="A686" s="38">
        <v>3</v>
      </c>
      <c r="B686" s="41"/>
      <c r="C686" s="41"/>
      <c r="E686" s="38">
        <v>1</v>
      </c>
      <c r="F686" s="38">
        <v>1</v>
      </c>
      <c r="G686" s="38">
        <v>1</v>
      </c>
      <c r="J686" s="38">
        <f t="shared" si="85"/>
        <v>112</v>
      </c>
      <c r="K686" s="38" t="str">
        <f t="shared" si="84"/>
        <v>70</v>
      </c>
      <c r="M686" s="42"/>
    </row>
    <row r="687" spans="1:13" ht="12" customHeight="1">
      <c r="A687" s="38">
        <v>4</v>
      </c>
      <c r="B687" s="41"/>
      <c r="C687" s="41"/>
      <c r="D687" s="38">
        <v>1</v>
      </c>
      <c r="E687" s="38">
        <v>1</v>
      </c>
      <c r="F687" s="38">
        <v>1</v>
      </c>
      <c r="G687" s="38">
        <v>1</v>
      </c>
      <c r="J687" s="38">
        <f t="shared" si="85"/>
        <v>240</v>
      </c>
      <c r="K687" s="38" t="str">
        <f t="shared" si="84"/>
        <v>F0</v>
      </c>
      <c r="M687" s="42"/>
    </row>
    <row r="688" spans="1:13" ht="12" customHeight="1">
      <c r="A688" s="38">
        <v>5</v>
      </c>
      <c r="B688" s="41"/>
      <c r="C688" s="41"/>
      <c r="D688" s="38">
        <v>1</v>
      </c>
      <c r="E688" s="38">
        <v>1</v>
      </c>
      <c r="F688" s="38">
        <v>1</v>
      </c>
      <c r="G688" s="38">
        <v>1</v>
      </c>
      <c r="J688" s="38">
        <f t="shared" si="85"/>
        <v>240</v>
      </c>
      <c r="K688" s="38" t="str">
        <f t="shared" si="84"/>
        <v>F0</v>
      </c>
      <c r="M688" s="42"/>
    </row>
    <row r="689" spans="1:13" ht="12" customHeight="1">
      <c r="A689" s="38">
        <v>6</v>
      </c>
      <c r="B689" s="41"/>
      <c r="C689" s="41"/>
      <c r="E689" s="38">
        <v>1</v>
      </c>
      <c r="F689" s="38">
        <v>1</v>
      </c>
      <c r="G689" s="38">
        <v>1</v>
      </c>
      <c r="J689" s="38">
        <f t="shared" si="85"/>
        <v>112</v>
      </c>
      <c r="K689" s="38" t="str">
        <f t="shared" si="84"/>
        <v>70</v>
      </c>
      <c r="M689" s="42"/>
    </row>
    <row r="690" spans="1:13" ht="12" customHeight="1">
      <c r="A690" s="38">
        <v>7</v>
      </c>
      <c r="B690" s="41"/>
      <c r="C690" s="41"/>
      <c r="F690" s="38">
        <v>1</v>
      </c>
      <c r="G690" s="38">
        <v>1</v>
      </c>
      <c r="J690" s="38">
        <f t="shared" si="85"/>
        <v>48</v>
      </c>
      <c r="K690" s="38" t="str">
        <f t="shared" si="84"/>
        <v>30</v>
      </c>
      <c r="M690" s="42"/>
    </row>
    <row r="691" spans="1:13" ht="12" customHeight="1">
      <c r="A691" s="38">
        <v>8</v>
      </c>
      <c r="B691" s="41"/>
      <c r="C691" s="41"/>
      <c r="G691" s="38">
        <v>1</v>
      </c>
      <c r="J691" s="38">
        <f t="shared" si="85"/>
        <v>16</v>
      </c>
      <c r="K691" s="38" t="str">
        <f t="shared" si="84"/>
        <v>10</v>
      </c>
      <c r="M691" s="42"/>
    </row>
    <row r="692" spans="1:13" ht="12" customHeight="1">
      <c r="A692" s="38">
        <v>9</v>
      </c>
      <c r="B692" s="41"/>
      <c r="C692" s="41"/>
      <c r="J692" s="38">
        <f t="shared" si="85"/>
        <v>0</v>
      </c>
      <c r="K692" s="38" t="str">
        <f t="shared" si="84"/>
        <v>00</v>
      </c>
      <c r="M692" s="42"/>
    </row>
    <row r="693" spans="1:13" ht="12" customHeight="1">
      <c r="A693" s="38">
        <v>10</v>
      </c>
      <c r="B693" s="41"/>
      <c r="C693" s="41"/>
      <c r="J693" s="38">
        <f t="shared" si="85"/>
        <v>0</v>
      </c>
      <c r="K693" s="38" t="str">
        <f t="shared" si="84"/>
        <v>00</v>
      </c>
      <c r="M693" s="42"/>
    </row>
    <row r="694" spans="1:13" ht="12" customHeight="1">
      <c r="A694" s="38">
        <v>1</v>
      </c>
      <c r="B694" s="41">
        <v>62</v>
      </c>
      <c r="C694" s="41" t="s">
        <v>118</v>
      </c>
      <c r="D694" s="38">
        <v>1</v>
      </c>
      <c r="J694" s="38">
        <f t="shared" si="85"/>
        <v>128</v>
      </c>
      <c r="K694" s="38" t="str">
        <f t="shared" si="84"/>
        <v>80</v>
      </c>
      <c r="M694" s="42" t="str">
        <f t="shared" ref="M694" si="90">CONCATENATE("0x",K694,",0x",K695,",0x",K696,",0x",K697,",0x",K698,",0x",K699,",0x",K700,",0x",K701,",0x",K702,",0x",K703,", //",C694)</f>
        <v>0x80,0xC0,0xE0,0xF0,0xF0,0xE0,0xC0,0x80,0x00,0x00, //&gt;</v>
      </c>
    </row>
    <row r="695" spans="1:13" ht="12" customHeight="1">
      <c r="A695" s="38">
        <v>2</v>
      </c>
      <c r="B695" s="41"/>
      <c r="C695" s="41"/>
      <c r="D695" s="38">
        <v>1</v>
      </c>
      <c r="E695" s="38">
        <v>1</v>
      </c>
      <c r="J695" s="38">
        <f t="shared" si="85"/>
        <v>192</v>
      </c>
      <c r="K695" s="38" t="str">
        <f t="shared" si="84"/>
        <v>C0</v>
      </c>
      <c r="M695" s="42"/>
    </row>
    <row r="696" spans="1:13" ht="12" customHeight="1">
      <c r="A696" s="38">
        <v>3</v>
      </c>
      <c r="B696" s="41"/>
      <c r="C696" s="41"/>
      <c r="D696" s="38">
        <v>1</v>
      </c>
      <c r="E696" s="38">
        <v>1</v>
      </c>
      <c r="F696" s="38">
        <v>1</v>
      </c>
      <c r="J696" s="38">
        <f t="shared" si="85"/>
        <v>224</v>
      </c>
      <c r="K696" s="38" t="str">
        <f t="shared" si="84"/>
        <v>E0</v>
      </c>
      <c r="M696" s="42"/>
    </row>
    <row r="697" spans="1:13" ht="12" customHeight="1">
      <c r="A697" s="38">
        <v>4</v>
      </c>
      <c r="B697" s="41"/>
      <c r="C697" s="41"/>
      <c r="D697" s="38">
        <v>1</v>
      </c>
      <c r="E697" s="38">
        <v>1</v>
      </c>
      <c r="F697" s="38">
        <v>1</v>
      </c>
      <c r="G697" s="38">
        <v>1</v>
      </c>
      <c r="J697" s="38">
        <f t="shared" si="85"/>
        <v>240</v>
      </c>
      <c r="K697" s="38" t="str">
        <f t="shared" si="84"/>
        <v>F0</v>
      </c>
      <c r="M697" s="42"/>
    </row>
    <row r="698" spans="1:13" ht="12" customHeight="1">
      <c r="A698" s="38">
        <v>5</v>
      </c>
      <c r="B698" s="41"/>
      <c r="C698" s="41"/>
      <c r="D698" s="38">
        <v>1</v>
      </c>
      <c r="E698" s="38">
        <v>1</v>
      </c>
      <c r="F698" s="38">
        <v>1</v>
      </c>
      <c r="G698" s="38">
        <v>1</v>
      </c>
      <c r="J698" s="38">
        <f t="shared" si="85"/>
        <v>240</v>
      </c>
      <c r="K698" s="38" t="str">
        <f t="shared" si="84"/>
        <v>F0</v>
      </c>
      <c r="M698" s="42"/>
    </row>
    <row r="699" spans="1:13" ht="12" customHeight="1">
      <c r="A699" s="38">
        <v>6</v>
      </c>
      <c r="B699" s="41"/>
      <c r="C699" s="41"/>
      <c r="D699" s="38">
        <v>1</v>
      </c>
      <c r="E699" s="38">
        <v>1</v>
      </c>
      <c r="F699" s="38">
        <v>1</v>
      </c>
      <c r="J699" s="38">
        <f t="shared" si="85"/>
        <v>224</v>
      </c>
      <c r="K699" s="38" t="str">
        <f t="shared" si="84"/>
        <v>E0</v>
      </c>
      <c r="M699" s="42"/>
    </row>
    <row r="700" spans="1:13" ht="12" customHeight="1">
      <c r="A700" s="38">
        <v>7</v>
      </c>
      <c r="B700" s="41"/>
      <c r="C700" s="41"/>
      <c r="D700" s="38">
        <v>1</v>
      </c>
      <c r="E700" s="38">
        <v>1</v>
      </c>
      <c r="J700" s="38">
        <f t="shared" si="85"/>
        <v>192</v>
      </c>
      <c r="K700" s="38" t="str">
        <f t="shared" si="84"/>
        <v>C0</v>
      </c>
      <c r="M700" s="42"/>
    </row>
    <row r="701" spans="1:13" ht="12" customHeight="1">
      <c r="A701" s="38">
        <v>8</v>
      </c>
      <c r="B701" s="41"/>
      <c r="C701" s="41"/>
      <c r="D701" s="38">
        <v>1</v>
      </c>
      <c r="J701" s="38">
        <f t="shared" si="85"/>
        <v>128</v>
      </c>
      <c r="K701" s="38" t="str">
        <f t="shared" si="84"/>
        <v>80</v>
      </c>
      <c r="M701" s="42"/>
    </row>
    <row r="702" spans="1:13" ht="12" customHeight="1">
      <c r="A702" s="38">
        <v>9</v>
      </c>
      <c r="B702" s="41"/>
      <c r="C702" s="41"/>
      <c r="J702" s="38">
        <f t="shared" si="85"/>
        <v>0</v>
      </c>
      <c r="K702" s="38" t="str">
        <f t="shared" si="84"/>
        <v>00</v>
      </c>
      <c r="M702" s="42"/>
    </row>
    <row r="703" spans="1:13" ht="12" customHeight="1">
      <c r="A703" s="38">
        <v>10</v>
      </c>
      <c r="B703" s="41"/>
      <c r="C703" s="41"/>
      <c r="J703" s="38">
        <f t="shared" si="85"/>
        <v>0</v>
      </c>
      <c r="K703" s="38" t="str">
        <f t="shared" si="84"/>
        <v>00</v>
      </c>
      <c r="M703" s="42"/>
    </row>
    <row r="704" spans="1:13" ht="12" customHeight="1">
      <c r="A704" s="38">
        <v>1</v>
      </c>
      <c r="B704" s="41">
        <v>33</v>
      </c>
      <c r="C704" s="41" t="s">
        <v>101</v>
      </c>
      <c r="J704" s="38">
        <f t="shared" si="85"/>
        <v>0</v>
      </c>
      <c r="K704" s="38" t="str">
        <f t="shared" si="84"/>
        <v>00</v>
      </c>
      <c r="M704" s="42" t="str">
        <f t="shared" ref="M704" si="91">CONCATENATE("0x",K704,",0x",K705,",0x",K706,",0x",K707,",0x",K708,",0x",K709,",0x",K710,",0x",K711,",0x",K712,",0x",K713,", //",C704)</f>
        <v>0x00,0x00,0x08,0x08,0x08,0x08,0x08,0x08,0x00,0x00, //!</v>
      </c>
    </row>
    <row r="705" spans="1:13" ht="12" customHeight="1">
      <c r="A705" s="38">
        <v>2</v>
      </c>
      <c r="B705" s="41"/>
      <c r="C705" s="41"/>
      <c r="J705" s="38">
        <f t="shared" si="85"/>
        <v>0</v>
      </c>
      <c r="K705" s="38" t="str">
        <f t="shared" si="84"/>
        <v>00</v>
      </c>
      <c r="M705" s="42"/>
    </row>
    <row r="706" spans="1:13" ht="12" customHeight="1">
      <c r="A706" s="38">
        <v>3</v>
      </c>
      <c r="B706" s="41"/>
      <c r="C706" s="41"/>
      <c r="H706" s="38">
        <v>1</v>
      </c>
      <c r="J706" s="38">
        <f t="shared" si="85"/>
        <v>8</v>
      </c>
      <c r="K706" s="38" t="str">
        <f t="shared" si="84"/>
        <v>08</v>
      </c>
      <c r="M706" s="42"/>
    </row>
    <row r="707" spans="1:13" ht="12" customHeight="1">
      <c r="A707" s="38">
        <v>4</v>
      </c>
      <c r="B707" s="41"/>
      <c r="C707" s="41"/>
      <c r="H707" s="38">
        <v>1</v>
      </c>
      <c r="J707" s="38">
        <f t="shared" si="85"/>
        <v>8</v>
      </c>
      <c r="K707" s="38" t="str">
        <f t="shared" si="84"/>
        <v>08</v>
      </c>
      <c r="M707" s="42"/>
    </row>
    <row r="708" spans="1:13" ht="12" customHeight="1">
      <c r="A708" s="38">
        <v>5</v>
      </c>
      <c r="B708" s="41"/>
      <c r="C708" s="41"/>
      <c r="H708" s="38">
        <v>1</v>
      </c>
      <c r="J708" s="38">
        <f t="shared" si="85"/>
        <v>8</v>
      </c>
      <c r="K708" s="38" t="str">
        <f t="shared" si="84"/>
        <v>08</v>
      </c>
      <c r="M708" s="42"/>
    </row>
    <row r="709" spans="1:13" ht="12" customHeight="1">
      <c r="A709" s="38">
        <v>6</v>
      </c>
      <c r="B709" s="41"/>
      <c r="C709" s="41"/>
      <c r="H709" s="38">
        <v>1</v>
      </c>
      <c r="J709" s="38">
        <f t="shared" si="85"/>
        <v>8</v>
      </c>
      <c r="K709" s="38" t="str">
        <f t="shared" ref="K709:K753" si="92">DEC2HEX(J709,2)</f>
        <v>08</v>
      </c>
      <c r="M709" s="42"/>
    </row>
    <row r="710" spans="1:13" ht="12" customHeight="1">
      <c r="A710" s="38">
        <v>7</v>
      </c>
      <c r="B710" s="41"/>
      <c r="C710" s="41"/>
      <c r="H710" s="38">
        <v>1</v>
      </c>
      <c r="J710" s="38">
        <f t="shared" si="85"/>
        <v>8</v>
      </c>
      <c r="K710" s="38" t="str">
        <f t="shared" si="92"/>
        <v>08</v>
      </c>
      <c r="M710" s="42"/>
    </row>
    <row r="711" spans="1:13" ht="12" customHeight="1">
      <c r="A711" s="38">
        <v>8</v>
      </c>
      <c r="B711" s="41"/>
      <c r="C711" s="41"/>
      <c r="H711" s="38">
        <v>1</v>
      </c>
      <c r="J711" s="38">
        <f t="shared" si="85"/>
        <v>8</v>
      </c>
      <c r="K711" s="38" t="str">
        <f t="shared" si="92"/>
        <v>08</v>
      </c>
      <c r="M711" s="42"/>
    </row>
    <row r="712" spans="1:13" ht="12" customHeight="1">
      <c r="A712" s="38">
        <v>9</v>
      </c>
      <c r="B712" s="41"/>
      <c r="C712" s="41"/>
      <c r="J712" s="38">
        <f t="shared" si="85"/>
        <v>0</v>
      </c>
      <c r="K712" s="38" t="str">
        <f t="shared" si="92"/>
        <v>00</v>
      </c>
      <c r="M712" s="42"/>
    </row>
    <row r="713" spans="1:13" ht="12" customHeight="1">
      <c r="A713" s="38">
        <v>10</v>
      </c>
      <c r="B713" s="41"/>
      <c r="C713" s="41"/>
      <c r="J713" s="38">
        <f t="shared" si="85"/>
        <v>0</v>
      </c>
      <c r="K713" s="38" t="str">
        <f t="shared" si="92"/>
        <v>00</v>
      </c>
      <c r="M713" s="42"/>
    </row>
    <row r="714" spans="1:13" ht="12" customHeight="1">
      <c r="A714" s="38">
        <v>1</v>
      </c>
      <c r="B714" s="41">
        <v>36</v>
      </c>
      <c r="C714" s="41" t="s">
        <v>104</v>
      </c>
      <c r="F714" s="38">
        <v>1</v>
      </c>
      <c r="J714" s="38">
        <f t="shared" si="85"/>
        <v>32</v>
      </c>
      <c r="K714" s="38" t="str">
        <f t="shared" si="92"/>
        <v>20</v>
      </c>
      <c r="M714" s="42" t="str">
        <f t="shared" ref="M714" si="93">CONCATENATE("0x",K714,",0x",K715,",0x",K716,",0x",K717,",0x",K718,",0x",K719,",0x",K720,",0x",K721,",0x",K722,",0x",K723,", //",C714)</f>
        <v>0x20,0x20,0x70,0x70,0x70,0xF8,0xF8,0xF8,0x00,0x00, //$</v>
      </c>
    </row>
    <row r="715" spans="1:13" ht="12" customHeight="1">
      <c r="A715" s="38">
        <v>2</v>
      </c>
      <c r="B715" s="41"/>
      <c r="C715" s="41"/>
      <c r="F715" s="38">
        <v>1</v>
      </c>
      <c r="J715" s="38">
        <f t="shared" si="85"/>
        <v>32</v>
      </c>
      <c r="K715" s="38" t="str">
        <f t="shared" si="92"/>
        <v>20</v>
      </c>
      <c r="M715" s="42"/>
    </row>
    <row r="716" spans="1:13" ht="12" customHeight="1">
      <c r="A716" s="38">
        <v>3</v>
      </c>
      <c r="B716" s="41"/>
      <c r="C716" s="41"/>
      <c r="E716" s="38">
        <v>1</v>
      </c>
      <c r="F716" s="38">
        <v>1</v>
      </c>
      <c r="G716" s="38">
        <v>1</v>
      </c>
      <c r="J716" s="38">
        <f t="shared" si="85"/>
        <v>112</v>
      </c>
      <c r="K716" s="38" t="str">
        <f t="shared" si="92"/>
        <v>70</v>
      </c>
      <c r="M716" s="42"/>
    </row>
    <row r="717" spans="1:13" ht="12" customHeight="1">
      <c r="A717" s="38">
        <v>4</v>
      </c>
      <c r="B717" s="41"/>
      <c r="C717" s="41"/>
      <c r="E717" s="38">
        <v>1</v>
      </c>
      <c r="F717" s="38">
        <v>1</v>
      </c>
      <c r="G717" s="38">
        <v>1</v>
      </c>
      <c r="J717" s="38">
        <f t="shared" si="85"/>
        <v>112</v>
      </c>
      <c r="K717" s="38" t="str">
        <f t="shared" si="92"/>
        <v>70</v>
      </c>
      <c r="M717" s="42"/>
    </row>
    <row r="718" spans="1:13" ht="12" customHeight="1">
      <c r="A718" s="38">
        <v>5</v>
      </c>
      <c r="B718" s="41"/>
      <c r="C718" s="41"/>
      <c r="E718" s="38">
        <v>1</v>
      </c>
      <c r="F718" s="38">
        <v>1</v>
      </c>
      <c r="G718" s="38">
        <v>1</v>
      </c>
      <c r="J718" s="38">
        <f t="shared" ref="J718:J781" si="94">D718*D$2+E718*E$2+F718*F$2+G718*G$2+H718*H$2</f>
        <v>112</v>
      </c>
      <c r="K718" s="38" t="str">
        <f t="shared" si="92"/>
        <v>70</v>
      </c>
      <c r="M718" s="42"/>
    </row>
    <row r="719" spans="1:13" ht="12" customHeight="1">
      <c r="A719" s="38">
        <v>6</v>
      </c>
      <c r="B719" s="41"/>
      <c r="C719" s="41"/>
      <c r="D719" s="38">
        <v>1</v>
      </c>
      <c r="E719" s="38">
        <v>1</v>
      </c>
      <c r="F719" s="38">
        <v>1</v>
      </c>
      <c r="G719" s="38">
        <v>1</v>
      </c>
      <c r="H719" s="38">
        <v>1</v>
      </c>
      <c r="J719" s="38">
        <f t="shared" si="94"/>
        <v>248</v>
      </c>
      <c r="K719" s="38" t="str">
        <f t="shared" si="92"/>
        <v>F8</v>
      </c>
      <c r="M719" s="42"/>
    </row>
    <row r="720" spans="1:13" ht="12" customHeight="1">
      <c r="A720" s="38">
        <v>7</v>
      </c>
      <c r="B720" s="41"/>
      <c r="C720" s="41"/>
      <c r="D720" s="38">
        <v>1</v>
      </c>
      <c r="E720" s="38">
        <v>1</v>
      </c>
      <c r="F720" s="38">
        <v>1</v>
      </c>
      <c r="G720" s="38">
        <v>1</v>
      </c>
      <c r="H720" s="38">
        <v>1</v>
      </c>
      <c r="J720" s="38">
        <f t="shared" si="94"/>
        <v>248</v>
      </c>
      <c r="K720" s="38" t="str">
        <f t="shared" si="92"/>
        <v>F8</v>
      </c>
      <c r="M720" s="42"/>
    </row>
    <row r="721" spans="1:13" ht="12" customHeight="1">
      <c r="A721" s="38">
        <v>8</v>
      </c>
      <c r="B721" s="41"/>
      <c r="C721" s="41"/>
      <c r="D721" s="38">
        <v>1</v>
      </c>
      <c r="E721" s="38">
        <v>1</v>
      </c>
      <c r="F721" s="38">
        <v>1</v>
      </c>
      <c r="G721" s="38">
        <v>1</v>
      </c>
      <c r="H721" s="38">
        <v>1</v>
      </c>
      <c r="J721" s="38">
        <f t="shared" si="94"/>
        <v>248</v>
      </c>
      <c r="K721" s="38" t="str">
        <f t="shared" si="92"/>
        <v>F8</v>
      </c>
      <c r="M721" s="42"/>
    </row>
    <row r="722" spans="1:13" ht="12" customHeight="1">
      <c r="A722" s="38">
        <v>9</v>
      </c>
      <c r="B722" s="41"/>
      <c r="C722" s="41"/>
      <c r="J722" s="38">
        <f t="shared" si="94"/>
        <v>0</v>
      </c>
      <c r="K722" s="38" t="str">
        <f t="shared" si="92"/>
        <v>00</v>
      </c>
      <c r="M722" s="42"/>
    </row>
    <row r="723" spans="1:13" ht="12" customHeight="1">
      <c r="A723" s="38">
        <v>10</v>
      </c>
      <c r="B723" s="41"/>
      <c r="C723" s="41"/>
      <c r="J723" s="38">
        <f t="shared" si="94"/>
        <v>0</v>
      </c>
      <c r="K723" s="38" t="str">
        <f t="shared" si="92"/>
        <v>00</v>
      </c>
      <c r="M723" s="42"/>
    </row>
    <row r="724" spans="1:13" ht="12" customHeight="1">
      <c r="A724" s="38">
        <v>1</v>
      </c>
      <c r="B724" s="41">
        <v>38</v>
      </c>
      <c r="C724" s="41" t="s">
        <v>106</v>
      </c>
      <c r="D724" s="38">
        <v>1</v>
      </c>
      <c r="E724" s="38">
        <v>1</v>
      </c>
      <c r="F724" s="38">
        <v>1</v>
      </c>
      <c r="G724" s="38">
        <v>1</v>
      </c>
      <c r="H724" s="38">
        <v>1</v>
      </c>
      <c r="J724" s="38">
        <f t="shared" si="94"/>
        <v>248</v>
      </c>
      <c r="K724" s="38" t="str">
        <f t="shared" si="92"/>
        <v>F8</v>
      </c>
      <c r="M724" s="42" t="str">
        <f t="shared" ref="M724" si="95">CONCATENATE("0x",K724,",0x",K725,",0x",K726,",0x",K727,",0x",K728,",0x",K729,",0x",K730,",0x",K731,",0x",K732,",0x",K733,", //",C724)</f>
        <v>0xF8,0xF8,0xF8,0x70,0x70,0x70,0x20,0x20,0x00,0x00, //&amp;</v>
      </c>
    </row>
    <row r="725" spans="1:13" ht="12" customHeight="1">
      <c r="A725" s="38">
        <v>2</v>
      </c>
      <c r="B725" s="41"/>
      <c r="C725" s="41"/>
      <c r="D725" s="38">
        <v>1</v>
      </c>
      <c r="E725" s="38">
        <v>1</v>
      </c>
      <c r="F725" s="38">
        <v>1</v>
      </c>
      <c r="G725" s="38">
        <v>1</v>
      </c>
      <c r="H725" s="38">
        <v>1</v>
      </c>
      <c r="J725" s="38">
        <f t="shared" si="94"/>
        <v>248</v>
      </c>
      <c r="K725" s="38" t="str">
        <f t="shared" si="92"/>
        <v>F8</v>
      </c>
      <c r="M725" s="42"/>
    </row>
    <row r="726" spans="1:13" ht="12" customHeight="1">
      <c r="A726" s="38">
        <v>3</v>
      </c>
      <c r="B726" s="41"/>
      <c r="C726" s="41"/>
      <c r="D726" s="38">
        <v>1</v>
      </c>
      <c r="E726" s="38">
        <v>1</v>
      </c>
      <c r="F726" s="38">
        <v>1</v>
      </c>
      <c r="G726" s="38">
        <v>1</v>
      </c>
      <c r="H726" s="38">
        <v>1</v>
      </c>
      <c r="J726" s="38">
        <f t="shared" si="94"/>
        <v>248</v>
      </c>
      <c r="K726" s="38" t="str">
        <f t="shared" si="92"/>
        <v>F8</v>
      </c>
      <c r="M726" s="42"/>
    </row>
    <row r="727" spans="1:13" ht="12" customHeight="1">
      <c r="A727" s="38">
        <v>4</v>
      </c>
      <c r="B727" s="41"/>
      <c r="C727" s="41"/>
      <c r="E727" s="38">
        <v>1</v>
      </c>
      <c r="F727" s="38">
        <v>1</v>
      </c>
      <c r="G727" s="38">
        <v>1</v>
      </c>
      <c r="J727" s="38">
        <f t="shared" si="94"/>
        <v>112</v>
      </c>
      <c r="K727" s="38" t="str">
        <f t="shared" si="92"/>
        <v>70</v>
      </c>
      <c r="M727" s="42"/>
    </row>
    <row r="728" spans="1:13" ht="12" customHeight="1">
      <c r="A728" s="38">
        <v>5</v>
      </c>
      <c r="B728" s="41"/>
      <c r="C728" s="41"/>
      <c r="E728" s="38">
        <v>1</v>
      </c>
      <c r="F728" s="38">
        <v>1</v>
      </c>
      <c r="G728" s="38">
        <v>1</v>
      </c>
      <c r="J728" s="38">
        <f t="shared" si="94"/>
        <v>112</v>
      </c>
      <c r="K728" s="38" t="str">
        <f t="shared" si="92"/>
        <v>70</v>
      </c>
      <c r="M728" s="42"/>
    </row>
    <row r="729" spans="1:13" ht="12" customHeight="1">
      <c r="A729" s="38">
        <v>6</v>
      </c>
      <c r="B729" s="41"/>
      <c r="C729" s="41"/>
      <c r="E729" s="38">
        <v>1</v>
      </c>
      <c r="F729" s="38">
        <v>1</v>
      </c>
      <c r="G729" s="38">
        <v>1</v>
      </c>
      <c r="J729" s="38">
        <f t="shared" si="94"/>
        <v>112</v>
      </c>
      <c r="K729" s="38" t="str">
        <f t="shared" si="92"/>
        <v>70</v>
      </c>
      <c r="M729" s="42"/>
    </row>
    <row r="730" spans="1:13" ht="12" customHeight="1">
      <c r="A730" s="38">
        <v>7</v>
      </c>
      <c r="B730" s="41"/>
      <c r="C730" s="41"/>
      <c r="F730" s="38">
        <v>1</v>
      </c>
      <c r="J730" s="38">
        <f t="shared" si="94"/>
        <v>32</v>
      </c>
      <c r="K730" s="38" t="str">
        <f t="shared" si="92"/>
        <v>20</v>
      </c>
      <c r="M730" s="42"/>
    </row>
    <row r="731" spans="1:13" ht="12" customHeight="1">
      <c r="A731" s="38">
        <v>8</v>
      </c>
      <c r="B731" s="41"/>
      <c r="C731" s="41"/>
      <c r="F731" s="38">
        <v>1</v>
      </c>
      <c r="J731" s="38">
        <f t="shared" si="94"/>
        <v>32</v>
      </c>
      <c r="K731" s="38" t="str">
        <f t="shared" si="92"/>
        <v>20</v>
      </c>
      <c r="M731" s="42"/>
    </row>
    <row r="732" spans="1:13" ht="12" customHeight="1">
      <c r="A732" s="38">
        <v>9</v>
      </c>
      <c r="B732" s="41"/>
      <c r="C732" s="41"/>
      <c r="J732" s="38">
        <f t="shared" si="94"/>
        <v>0</v>
      </c>
      <c r="K732" s="38" t="str">
        <f t="shared" si="92"/>
        <v>00</v>
      </c>
      <c r="M732" s="42"/>
    </row>
    <row r="733" spans="1:13" ht="12" customHeight="1">
      <c r="A733" s="38">
        <v>10</v>
      </c>
      <c r="B733" s="41"/>
      <c r="C733" s="41"/>
      <c r="J733" s="38">
        <f t="shared" si="94"/>
        <v>0</v>
      </c>
      <c r="K733" s="38" t="str">
        <f t="shared" si="92"/>
        <v>00</v>
      </c>
      <c r="M733" s="42"/>
    </row>
    <row r="734" spans="1:13" ht="12" customHeight="1">
      <c r="A734" s="38">
        <v>1</v>
      </c>
      <c r="B734" s="41">
        <v>64</v>
      </c>
      <c r="C734" s="44" t="s">
        <v>120</v>
      </c>
      <c r="J734" s="38">
        <f t="shared" si="94"/>
        <v>0</v>
      </c>
      <c r="K734" s="38" t="str">
        <f t="shared" si="92"/>
        <v>00</v>
      </c>
      <c r="M734" s="42" t="str">
        <f t="shared" ref="M734" si="96">CONCATENATE("0x",K734,",0x",K735,",0x",K736,",0x",K737,",0x",K738,",0x",K739,",0x",K740,",0x",K741,",0x",K742,",0x",K743,", //",C734)</f>
        <v>0x00,0x00,0x00,0x08,0x08,0x00,0x00,0x00,0x00,0x00, //@</v>
      </c>
    </row>
    <row r="735" spans="1:13" ht="12" customHeight="1">
      <c r="A735" s="38">
        <v>2</v>
      </c>
      <c r="B735" s="41"/>
      <c r="C735" s="44"/>
      <c r="J735" s="38">
        <f t="shared" si="94"/>
        <v>0</v>
      </c>
      <c r="K735" s="38" t="str">
        <f t="shared" si="92"/>
        <v>00</v>
      </c>
      <c r="M735" s="42"/>
    </row>
    <row r="736" spans="1:13" ht="12" customHeight="1">
      <c r="A736" s="38">
        <v>3</v>
      </c>
      <c r="B736" s="41"/>
      <c r="C736" s="44"/>
      <c r="J736" s="38">
        <f t="shared" si="94"/>
        <v>0</v>
      </c>
      <c r="K736" s="38" t="str">
        <f t="shared" si="92"/>
        <v>00</v>
      </c>
      <c r="M736" s="42"/>
    </row>
    <row r="737" spans="1:13" ht="12" customHeight="1">
      <c r="A737" s="38">
        <v>4</v>
      </c>
      <c r="B737" s="41"/>
      <c r="C737" s="44"/>
      <c r="H737" s="38">
        <v>1</v>
      </c>
      <c r="J737" s="38">
        <f t="shared" si="94"/>
        <v>8</v>
      </c>
      <c r="K737" s="38" t="str">
        <f t="shared" si="92"/>
        <v>08</v>
      </c>
      <c r="M737" s="42"/>
    </row>
    <row r="738" spans="1:13" ht="12" customHeight="1">
      <c r="A738" s="38">
        <v>5</v>
      </c>
      <c r="B738" s="41"/>
      <c r="C738" s="44"/>
      <c r="H738" s="38">
        <v>1</v>
      </c>
      <c r="J738" s="38">
        <f t="shared" si="94"/>
        <v>8</v>
      </c>
      <c r="K738" s="38" t="str">
        <f t="shared" si="92"/>
        <v>08</v>
      </c>
      <c r="M738" s="42"/>
    </row>
    <row r="739" spans="1:13" ht="12" customHeight="1">
      <c r="A739" s="38">
        <v>6</v>
      </c>
      <c r="B739" s="41"/>
      <c r="C739" s="44"/>
      <c r="J739" s="38">
        <f t="shared" si="94"/>
        <v>0</v>
      </c>
      <c r="K739" s="38" t="str">
        <f t="shared" si="92"/>
        <v>00</v>
      </c>
      <c r="M739" s="42"/>
    </row>
    <row r="740" spans="1:13" ht="12" customHeight="1">
      <c r="A740" s="38">
        <v>7</v>
      </c>
      <c r="B740" s="41"/>
      <c r="C740" s="44"/>
      <c r="J740" s="38">
        <f t="shared" si="94"/>
        <v>0</v>
      </c>
      <c r="K740" s="38" t="str">
        <f t="shared" si="92"/>
        <v>00</v>
      </c>
      <c r="M740" s="42"/>
    </row>
    <row r="741" spans="1:13" ht="12" customHeight="1">
      <c r="A741" s="38">
        <v>8</v>
      </c>
      <c r="B741" s="41"/>
      <c r="C741" s="44"/>
      <c r="J741" s="38">
        <f t="shared" si="94"/>
        <v>0</v>
      </c>
      <c r="K741" s="38" t="str">
        <f t="shared" si="92"/>
        <v>00</v>
      </c>
      <c r="M741" s="42"/>
    </row>
    <row r="742" spans="1:13" ht="12" customHeight="1">
      <c r="A742" s="38">
        <v>9</v>
      </c>
      <c r="B742" s="41"/>
      <c r="C742" s="44"/>
      <c r="J742" s="38">
        <f t="shared" si="94"/>
        <v>0</v>
      </c>
      <c r="K742" s="38" t="str">
        <f t="shared" si="92"/>
        <v>00</v>
      </c>
      <c r="M742" s="42"/>
    </row>
    <row r="743" spans="1:13" ht="12" customHeight="1">
      <c r="A743" s="38">
        <v>10</v>
      </c>
      <c r="B743" s="41"/>
      <c r="C743" s="44"/>
      <c r="J743" s="38">
        <f t="shared" si="94"/>
        <v>0</v>
      </c>
      <c r="K743" s="38" t="str">
        <f t="shared" si="92"/>
        <v>00</v>
      </c>
      <c r="M743" s="42"/>
    </row>
    <row r="744" spans="1:13" ht="12" customHeight="1">
      <c r="A744" s="38">
        <v>1</v>
      </c>
      <c r="B744" s="41">
        <v>92</v>
      </c>
      <c r="C744" s="44" t="s">
        <v>357</v>
      </c>
      <c r="E744" s="38">
        <v>1</v>
      </c>
      <c r="G744" s="38">
        <v>1</v>
      </c>
      <c r="J744" s="38">
        <f t="shared" si="94"/>
        <v>80</v>
      </c>
      <c r="K744" s="38" t="str">
        <f t="shared" si="92"/>
        <v>50</v>
      </c>
      <c r="M744" s="42" t="str">
        <f t="shared" ref="M744" si="97">CONCATENATE("0x",K744,",0x",K745,",0x",K746,",0x",K747,",0x",K748,",0x",K749,",0x",K750,",0x",K751,",0x",K752,",0x",K753,", //",C744)</f>
        <v>0x50,0x50,0x50,0x50,0xF8,0x88,0x88,0x88,0x88,0x70, //\</v>
      </c>
    </row>
    <row r="745" spans="1:13" ht="12" customHeight="1">
      <c r="A745" s="38">
        <v>2</v>
      </c>
      <c r="B745" s="41"/>
      <c r="C745" s="41"/>
      <c r="E745" s="38">
        <v>1</v>
      </c>
      <c r="G745" s="38">
        <v>1</v>
      </c>
      <c r="J745" s="38">
        <f t="shared" si="94"/>
        <v>80</v>
      </c>
      <c r="K745" s="38" t="str">
        <f t="shared" si="92"/>
        <v>50</v>
      </c>
      <c r="M745" s="42"/>
    </row>
    <row r="746" spans="1:13" ht="12" customHeight="1">
      <c r="A746" s="38">
        <v>3</v>
      </c>
      <c r="B746" s="41"/>
      <c r="C746" s="41"/>
      <c r="E746" s="38">
        <v>1</v>
      </c>
      <c r="G746" s="38">
        <v>1</v>
      </c>
      <c r="J746" s="38">
        <f t="shared" si="94"/>
        <v>80</v>
      </c>
      <c r="K746" s="38" t="str">
        <f t="shared" si="92"/>
        <v>50</v>
      </c>
      <c r="M746" s="42"/>
    </row>
    <row r="747" spans="1:13" ht="12" customHeight="1">
      <c r="A747" s="38">
        <v>4</v>
      </c>
      <c r="B747" s="41"/>
      <c r="C747" s="41"/>
      <c r="E747" s="38">
        <v>1</v>
      </c>
      <c r="G747" s="38">
        <v>1</v>
      </c>
      <c r="J747" s="38">
        <f t="shared" si="94"/>
        <v>80</v>
      </c>
      <c r="K747" s="38" t="str">
        <f t="shared" si="92"/>
        <v>50</v>
      </c>
      <c r="M747" s="42"/>
    </row>
    <row r="748" spans="1:13" ht="12" customHeight="1">
      <c r="A748" s="38">
        <v>5</v>
      </c>
      <c r="B748" s="41"/>
      <c r="C748" s="41"/>
      <c r="D748" s="38">
        <v>1</v>
      </c>
      <c r="E748" s="38">
        <v>1</v>
      </c>
      <c r="F748" s="38">
        <v>1</v>
      </c>
      <c r="G748" s="38">
        <v>1</v>
      </c>
      <c r="H748" s="38">
        <v>1</v>
      </c>
      <c r="J748" s="38">
        <f t="shared" si="94"/>
        <v>248</v>
      </c>
      <c r="K748" s="38" t="str">
        <f t="shared" si="92"/>
        <v>F8</v>
      </c>
      <c r="M748" s="42"/>
    </row>
    <row r="749" spans="1:13" ht="12" customHeight="1">
      <c r="A749" s="38">
        <v>6</v>
      </c>
      <c r="B749" s="41"/>
      <c r="C749" s="41"/>
      <c r="D749" s="38">
        <v>1</v>
      </c>
      <c r="H749" s="38">
        <v>1</v>
      </c>
      <c r="J749" s="38">
        <f t="shared" si="94"/>
        <v>136</v>
      </c>
      <c r="K749" s="38" t="str">
        <f t="shared" si="92"/>
        <v>88</v>
      </c>
      <c r="M749" s="42"/>
    </row>
    <row r="750" spans="1:13" ht="12" customHeight="1">
      <c r="A750" s="38">
        <v>7</v>
      </c>
      <c r="B750" s="41"/>
      <c r="C750" s="41"/>
      <c r="D750" s="38">
        <v>1</v>
      </c>
      <c r="H750" s="38">
        <v>1</v>
      </c>
      <c r="J750" s="38">
        <f t="shared" si="94"/>
        <v>136</v>
      </c>
      <c r="K750" s="38" t="str">
        <f t="shared" si="92"/>
        <v>88</v>
      </c>
      <c r="M750" s="42"/>
    </row>
    <row r="751" spans="1:13" ht="12" customHeight="1">
      <c r="A751" s="38">
        <v>8</v>
      </c>
      <c r="B751" s="41"/>
      <c r="C751" s="41"/>
      <c r="D751" s="38">
        <v>1</v>
      </c>
      <c r="H751" s="38">
        <v>1</v>
      </c>
      <c r="J751" s="38">
        <f t="shared" si="94"/>
        <v>136</v>
      </c>
      <c r="K751" s="38" t="str">
        <f t="shared" si="92"/>
        <v>88</v>
      </c>
      <c r="M751" s="42"/>
    </row>
    <row r="752" spans="1:13" ht="12" customHeight="1">
      <c r="A752" s="38">
        <v>9</v>
      </c>
      <c r="B752" s="41"/>
      <c r="C752" s="41"/>
      <c r="D752" s="38">
        <v>1</v>
      </c>
      <c r="H752" s="38">
        <v>1</v>
      </c>
      <c r="J752" s="38">
        <f t="shared" si="94"/>
        <v>136</v>
      </c>
      <c r="K752" s="38" t="str">
        <f t="shared" si="92"/>
        <v>88</v>
      </c>
      <c r="M752" s="42"/>
    </row>
    <row r="753" spans="1:13" ht="12" customHeight="1">
      <c r="A753" s="38">
        <v>10</v>
      </c>
      <c r="B753" s="41"/>
      <c r="C753" s="41"/>
      <c r="E753" s="38">
        <v>1</v>
      </c>
      <c r="F753" s="38">
        <v>1</v>
      </c>
      <c r="G753" s="38">
        <v>1</v>
      </c>
      <c r="J753" s="38">
        <f t="shared" si="94"/>
        <v>112</v>
      </c>
      <c r="K753" s="38" t="str">
        <f t="shared" si="92"/>
        <v>70</v>
      </c>
      <c r="M753" s="42"/>
    </row>
  </sheetData>
  <mergeCells count="225">
    <mergeCell ref="B744:B753"/>
    <mergeCell ref="C744:C753"/>
    <mergeCell ref="M744:M753"/>
    <mergeCell ref="B724:B733"/>
    <mergeCell ref="C724:C733"/>
    <mergeCell ref="M724:M733"/>
    <mergeCell ref="B734:B743"/>
    <mergeCell ref="C734:C743"/>
    <mergeCell ref="M734:M743"/>
    <mergeCell ref="B704:B713"/>
    <mergeCell ref="C704:C713"/>
    <mergeCell ref="M704:M713"/>
    <mergeCell ref="B714:B723"/>
    <mergeCell ref="C714:C723"/>
    <mergeCell ref="M714:M723"/>
    <mergeCell ref="B684:B693"/>
    <mergeCell ref="C684:C693"/>
    <mergeCell ref="M684:M693"/>
    <mergeCell ref="B694:B703"/>
    <mergeCell ref="C694:C703"/>
    <mergeCell ref="M694:M703"/>
    <mergeCell ref="B664:B673"/>
    <mergeCell ref="C664:C673"/>
    <mergeCell ref="M664:M673"/>
    <mergeCell ref="B674:B683"/>
    <mergeCell ref="C674:C683"/>
    <mergeCell ref="M674:M683"/>
    <mergeCell ref="B644:B653"/>
    <mergeCell ref="C644:C653"/>
    <mergeCell ref="M644:M653"/>
    <mergeCell ref="B654:B663"/>
    <mergeCell ref="C654:C663"/>
    <mergeCell ref="M654:M663"/>
    <mergeCell ref="B624:B633"/>
    <mergeCell ref="C624:C633"/>
    <mergeCell ref="M624:M633"/>
    <mergeCell ref="B634:B643"/>
    <mergeCell ref="C634:C643"/>
    <mergeCell ref="M634:M643"/>
    <mergeCell ref="B604:B613"/>
    <mergeCell ref="C604:C613"/>
    <mergeCell ref="M604:M613"/>
    <mergeCell ref="B614:B623"/>
    <mergeCell ref="C614:C623"/>
    <mergeCell ref="M614:M623"/>
    <mergeCell ref="B584:B593"/>
    <mergeCell ref="C584:C593"/>
    <mergeCell ref="M584:M593"/>
    <mergeCell ref="B594:B603"/>
    <mergeCell ref="C594:C603"/>
    <mergeCell ref="M594:M603"/>
    <mergeCell ref="B564:B573"/>
    <mergeCell ref="C564:C573"/>
    <mergeCell ref="M564:M573"/>
    <mergeCell ref="B574:B583"/>
    <mergeCell ref="C574:C583"/>
    <mergeCell ref="M574:M583"/>
    <mergeCell ref="B544:B553"/>
    <mergeCell ref="C544:C553"/>
    <mergeCell ref="M544:M553"/>
    <mergeCell ref="B554:B563"/>
    <mergeCell ref="C554:C563"/>
    <mergeCell ref="M554:M563"/>
    <mergeCell ref="B524:B533"/>
    <mergeCell ref="C524:C533"/>
    <mergeCell ref="M524:M533"/>
    <mergeCell ref="B534:B543"/>
    <mergeCell ref="C534:C543"/>
    <mergeCell ref="M534:M543"/>
    <mergeCell ref="B504:B513"/>
    <mergeCell ref="C504:C513"/>
    <mergeCell ref="M504:M513"/>
    <mergeCell ref="B514:B523"/>
    <mergeCell ref="C514:C523"/>
    <mergeCell ref="M514:M523"/>
    <mergeCell ref="B484:B493"/>
    <mergeCell ref="C484:C493"/>
    <mergeCell ref="M484:M493"/>
    <mergeCell ref="B494:B503"/>
    <mergeCell ref="C494:C503"/>
    <mergeCell ref="M494:M503"/>
    <mergeCell ref="B464:B473"/>
    <mergeCell ref="C464:C473"/>
    <mergeCell ref="M464:M473"/>
    <mergeCell ref="B474:B483"/>
    <mergeCell ref="C474:C483"/>
    <mergeCell ref="M474:M483"/>
    <mergeCell ref="B444:B453"/>
    <mergeCell ref="C444:C453"/>
    <mergeCell ref="M444:M453"/>
    <mergeCell ref="B454:B463"/>
    <mergeCell ref="C454:C463"/>
    <mergeCell ref="M454:M463"/>
    <mergeCell ref="B424:B433"/>
    <mergeCell ref="C424:C433"/>
    <mergeCell ref="M424:M433"/>
    <mergeCell ref="B434:B443"/>
    <mergeCell ref="C434:C443"/>
    <mergeCell ref="M434:M443"/>
    <mergeCell ref="B404:B413"/>
    <mergeCell ref="C404:C413"/>
    <mergeCell ref="M404:M413"/>
    <mergeCell ref="B414:B423"/>
    <mergeCell ref="C414:C423"/>
    <mergeCell ref="M414:M423"/>
    <mergeCell ref="B384:B393"/>
    <mergeCell ref="C384:C393"/>
    <mergeCell ref="M384:M393"/>
    <mergeCell ref="B394:B403"/>
    <mergeCell ref="C394:C403"/>
    <mergeCell ref="M394:M403"/>
    <mergeCell ref="B364:B373"/>
    <mergeCell ref="C364:C373"/>
    <mergeCell ref="M364:M373"/>
    <mergeCell ref="B374:B383"/>
    <mergeCell ref="C374:C383"/>
    <mergeCell ref="M374:M383"/>
    <mergeCell ref="B344:B353"/>
    <mergeCell ref="C344:C353"/>
    <mergeCell ref="M344:M353"/>
    <mergeCell ref="B354:B363"/>
    <mergeCell ref="C354:C363"/>
    <mergeCell ref="M354:M363"/>
    <mergeCell ref="B324:B333"/>
    <mergeCell ref="C324:C333"/>
    <mergeCell ref="M324:M333"/>
    <mergeCell ref="B334:B343"/>
    <mergeCell ref="C334:C343"/>
    <mergeCell ref="M334:M343"/>
    <mergeCell ref="B304:B313"/>
    <mergeCell ref="C304:C313"/>
    <mergeCell ref="M304:M313"/>
    <mergeCell ref="B314:B323"/>
    <mergeCell ref="C314:C323"/>
    <mergeCell ref="M314:M323"/>
    <mergeCell ref="B284:B293"/>
    <mergeCell ref="C284:C293"/>
    <mergeCell ref="M284:M293"/>
    <mergeCell ref="B294:B303"/>
    <mergeCell ref="C294:C303"/>
    <mergeCell ref="M294:M303"/>
    <mergeCell ref="B264:B273"/>
    <mergeCell ref="C264:C273"/>
    <mergeCell ref="M264:M273"/>
    <mergeCell ref="B274:B283"/>
    <mergeCell ref="C274:C283"/>
    <mergeCell ref="M274:M283"/>
    <mergeCell ref="B244:B253"/>
    <mergeCell ref="C244:C253"/>
    <mergeCell ref="M244:M253"/>
    <mergeCell ref="B254:B263"/>
    <mergeCell ref="C254:C263"/>
    <mergeCell ref="M254:M263"/>
    <mergeCell ref="B224:B233"/>
    <mergeCell ref="C224:C233"/>
    <mergeCell ref="M224:M233"/>
    <mergeCell ref="B234:B243"/>
    <mergeCell ref="C234:C243"/>
    <mergeCell ref="M234:M243"/>
    <mergeCell ref="B204:B213"/>
    <mergeCell ref="C204:C213"/>
    <mergeCell ref="M204:M213"/>
    <mergeCell ref="B214:B223"/>
    <mergeCell ref="C214:C223"/>
    <mergeCell ref="M214:M223"/>
    <mergeCell ref="B184:B193"/>
    <mergeCell ref="C184:C193"/>
    <mergeCell ref="M184:M193"/>
    <mergeCell ref="B194:B203"/>
    <mergeCell ref="C194:C203"/>
    <mergeCell ref="M194:M203"/>
    <mergeCell ref="B164:B173"/>
    <mergeCell ref="C164:C173"/>
    <mergeCell ref="M164:M173"/>
    <mergeCell ref="B174:B183"/>
    <mergeCell ref="C174:C183"/>
    <mergeCell ref="M174:M183"/>
    <mergeCell ref="B144:B153"/>
    <mergeCell ref="C144:C153"/>
    <mergeCell ref="M144:M153"/>
    <mergeCell ref="B154:B163"/>
    <mergeCell ref="C154:C163"/>
    <mergeCell ref="M154:M163"/>
    <mergeCell ref="B124:B133"/>
    <mergeCell ref="C124:C133"/>
    <mergeCell ref="M124:M133"/>
    <mergeCell ref="B134:B143"/>
    <mergeCell ref="C134:C143"/>
    <mergeCell ref="M134:M143"/>
    <mergeCell ref="B104:B113"/>
    <mergeCell ref="C104:C113"/>
    <mergeCell ref="M104:M113"/>
    <mergeCell ref="B114:B123"/>
    <mergeCell ref="C114:C123"/>
    <mergeCell ref="M114:M123"/>
    <mergeCell ref="B84:B93"/>
    <mergeCell ref="C84:C93"/>
    <mergeCell ref="M84:M93"/>
    <mergeCell ref="B94:B103"/>
    <mergeCell ref="C94:C103"/>
    <mergeCell ref="M94:M103"/>
    <mergeCell ref="B64:B73"/>
    <mergeCell ref="C64:C73"/>
    <mergeCell ref="M64:M73"/>
    <mergeCell ref="B74:B83"/>
    <mergeCell ref="C74:C83"/>
    <mergeCell ref="M74:M83"/>
    <mergeCell ref="B44:B53"/>
    <mergeCell ref="C44:C53"/>
    <mergeCell ref="M44:M53"/>
    <mergeCell ref="B54:B63"/>
    <mergeCell ref="C54:C63"/>
    <mergeCell ref="M54:M63"/>
    <mergeCell ref="B24:B33"/>
    <mergeCell ref="C24:C33"/>
    <mergeCell ref="M24:M33"/>
    <mergeCell ref="B34:B43"/>
    <mergeCell ref="C34:C43"/>
    <mergeCell ref="M34:M43"/>
    <mergeCell ref="B4:B13"/>
    <mergeCell ref="C4:C13"/>
    <mergeCell ref="M4:M13"/>
    <mergeCell ref="B14:B23"/>
    <mergeCell ref="C14:C23"/>
    <mergeCell ref="M14:M23"/>
  </mergeCells>
  <conditionalFormatting sqref="D4:H23 D25:H34 D36:H154 D188:H234 D177:H186 D166:H175 D156:H164 D237:H244 D246:H246 D248:H255 D257:H258 D260:H266 D268:H270 D272:H277 D279:H288 D290:H299 D301:H310 D312:H354 D357:H364 D366:H366 D368:H375 D377:H378 D380:H386 D388:H397 D399:H408 D410:H419 D421:H683">
    <cfRule type="cellIs" dxfId="35" priority="36" operator="equal">
      <formula>1</formula>
    </cfRule>
  </conditionalFormatting>
  <conditionalFormatting sqref="D684:H693">
    <cfRule type="cellIs" dxfId="34" priority="35" operator="equal">
      <formula>1</formula>
    </cfRule>
  </conditionalFormatting>
  <conditionalFormatting sqref="D694:H703">
    <cfRule type="cellIs" dxfId="33" priority="34" operator="equal">
      <formula>1</formula>
    </cfRule>
  </conditionalFormatting>
  <conditionalFormatting sqref="D704:H713">
    <cfRule type="cellIs" dxfId="32" priority="33" operator="equal">
      <formula>1</formula>
    </cfRule>
  </conditionalFormatting>
  <conditionalFormatting sqref="D714:H723">
    <cfRule type="cellIs" dxfId="31" priority="32" operator="equal">
      <formula>1</formula>
    </cfRule>
  </conditionalFormatting>
  <conditionalFormatting sqref="D724:H733">
    <cfRule type="cellIs" dxfId="30" priority="31" operator="equal">
      <formula>1</formula>
    </cfRule>
  </conditionalFormatting>
  <conditionalFormatting sqref="D744:H753">
    <cfRule type="cellIs" dxfId="29" priority="30" operator="equal">
      <formula>1</formula>
    </cfRule>
  </conditionalFormatting>
  <conditionalFormatting sqref="D734:H743">
    <cfRule type="cellIs" dxfId="28" priority="29" operator="equal">
      <formula>1</formula>
    </cfRule>
  </conditionalFormatting>
  <conditionalFormatting sqref="D24:H24">
    <cfRule type="cellIs" dxfId="27" priority="28" operator="equal">
      <formula>1</formula>
    </cfRule>
  </conditionalFormatting>
  <conditionalFormatting sqref="D35:H35">
    <cfRule type="cellIs" dxfId="26" priority="27" operator="equal">
      <formula>1</formula>
    </cfRule>
  </conditionalFormatting>
  <conditionalFormatting sqref="D187:H187">
    <cfRule type="cellIs" dxfId="25" priority="26" operator="equal">
      <formula>1</formula>
    </cfRule>
  </conditionalFormatting>
  <conditionalFormatting sqref="D176:H176">
    <cfRule type="cellIs" dxfId="24" priority="25" operator="equal">
      <formula>1</formula>
    </cfRule>
  </conditionalFormatting>
  <conditionalFormatting sqref="D165:H165">
    <cfRule type="cellIs" dxfId="23" priority="24" operator="equal">
      <formula>1</formula>
    </cfRule>
  </conditionalFormatting>
  <conditionalFormatting sqref="D155:H155">
    <cfRule type="cellIs" dxfId="22" priority="23" operator="equal">
      <formula>1</formula>
    </cfRule>
  </conditionalFormatting>
  <conditionalFormatting sqref="D235:H235">
    <cfRule type="cellIs" dxfId="21" priority="22" operator="equal">
      <formula>1</formula>
    </cfRule>
  </conditionalFormatting>
  <conditionalFormatting sqref="D236:H236">
    <cfRule type="cellIs" dxfId="20" priority="21" operator="equal">
      <formula>1</formula>
    </cfRule>
  </conditionalFormatting>
  <conditionalFormatting sqref="D245:H245">
    <cfRule type="cellIs" dxfId="19" priority="20" operator="equal">
      <formula>1</formula>
    </cfRule>
  </conditionalFormatting>
  <conditionalFormatting sqref="D247:H247">
    <cfRule type="cellIs" dxfId="18" priority="19" operator="equal">
      <formula>1</formula>
    </cfRule>
  </conditionalFormatting>
  <conditionalFormatting sqref="D256:H256">
    <cfRule type="cellIs" dxfId="17" priority="18" operator="equal">
      <formula>1</formula>
    </cfRule>
  </conditionalFormatting>
  <conditionalFormatting sqref="D259:H259">
    <cfRule type="cellIs" dxfId="16" priority="17" operator="equal">
      <formula>1</formula>
    </cfRule>
  </conditionalFormatting>
  <conditionalFormatting sqref="D267:H267">
    <cfRule type="cellIs" dxfId="15" priority="16" operator="equal">
      <formula>1</formula>
    </cfRule>
  </conditionalFormatting>
  <conditionalFormatting sqref="D271:H271">
    <cfRule type="cellIs" dxfId="14" priority="15" operator="equal">
      <formula>1</formula>
    </cfRule>
  </conditionalFormatting>
  <conditionalFormatting sqref="D278:H278">
    <cfRule type="cellIs" dxfId="13" priority="14" operator="equal">
      <formula>1</formula>
    </cfRule>
  </conditionalFormatting>
  <conditionalFormatting sqref="D289:H289">
    <cfRule type="cellIs" dxfId="12" priority="13" operator="equal">
      <formula>1</formula>
    </cfRule>
  </conditionalFormatting>
  <conditionalFormatting sqref="D300:H300">
    <cfRule type="cellIs" dxfId="11" priority="12" operator="equal">
      <formula>1</formula>
    </cfRule>
  </conditionalFormatting>
  <conditionalFormatting sqref="D311:H311">
    <cfRule type="cellIs" dxfId="10" priority="11" operator="equal">
      <formula>1</formula>
    </cfRule>
  </conditionalFormatting>
  <conditionalFormatting sqref="D355:H355">
    <cfRule type="cellIs" dxfId="9" priority="10" operator="equal">
      <formula>1</formula>
    </cfRule>
  </conditionalFormatting>
  <conditionalFormatting sqref="D356:H356">
    <cfRule type="cellIs" dxfId="8" priority="9" operator="equal">
      <formula>1</formula>
    </cfRule>
  </conditionalFormatting>
  <conditionalFormatting sqref="D365:H365">
    <cfRule type="cellIs" dxfId="7" priority="8" operator="equal">
      <formula>1</formula>
    </cfRule>
  </conditionalFormatting>
  <conditionalFormatting sqref="D367:H367">
    <cfRule type="cellIs" dxfId="6" priority="7" operator="equal">
      <formula>1</formula>
    </cfRule>
  </conditionalFormatting>
  <conditionalFormatting sqref="D376:H376">
    <cfRule type="cellIs" dxfId="5" priority="6" operator="equal">
      <formula>1</formula>
    </cfRule>
  </conditionalFormatting>
  <conditionalFormatting sqref="D379:H379">
    <cfRule type="cellIs" dxfId="4" priority="5" operator="equal">
      <formula>1</formula>
    </cfRule>
  </conditionalFormatting>
  <conditionalFormatting sqref="D387:H387">
    <cfRule type="cellIs" dxfId="3" priority="4" operator="equal">
      <formula>1</formula>
    </cfRule>
  </conditionalFormatting>
  <conditionalFormatting sqref="D398:H398">
    <cfRule type="cellIs" dxfId="2" priority="3" operator="equal">
      <formula>1</formula>
    </cfRule>
  </conditionalFormatting>
  <conditionalFormatting sqref="D409:H409">
    <cfRule type="cellIs" dxfId="1" priority="2" operator="equal">
      <formula>1</formula>
    </cfRule>
  </conditionalFormatting>
  <conditionalFormatting sqref="D420:H420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 ht="15.75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>
      <c r="A97" s="8"/>
      <c r="B97" s="23"/>
    </row>
    <row r="98" spans="1: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 5x10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Arnold</cp:lastModifiedBy>
  <dcterms:created xsi:type="dcterms:W3CDTF">2021-04-18T02:32:36Z</dcterms:created>
  <dcterms:modified xsi:type="dcterms:W3CDTF">2022-06-24T13:04:13Z</dcterms:modified>
</cp:coreProperties>
</file>