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Tip-profiler-V2\"/>
    </mc:Choice>
  </mc:AlternateContent>
  <xr:revisionPtr revIDLastSave="0" documentId="13_ncr:1_{8B13A3D8-6256-4BB3-BC53-32E808A49B36}" xr6:coauthVersionLast="47" xr6:coauthVersionMax="47" xr10:uidLastSave="{00000000-0000-0000-0000-000000000000}"/>
  <bookViews>
    <workbookView xWindow="57480" yWindow="-120" windowWidth="29040" windowHeight="15990" activeTab="1" xr2:uid="{2DEFC5A8-3DFF-401B-98FC-6456E4720CED}"/>
  </bookViews>
  <sheets>
    <sheet name="Parameters" sheetId="2" r:id="rId1"/>
    <sheet name="Error codes" sheetId="3" r:id="rId2"/>
    <sheet name="Sheet1" sheetId="11" r:id="rId3"/>
    <sheet name="Units" sheetId="4" r:id="rId4"/>
    <sheet name="Menu" sheetId="5" r:id="rId5"/>
    <sheet name="Battery voltage" sheetId="6" r:id="rId6"/>
    <sheet name="Screens" sheetId="8" r:id="rId7"/>
    <sheet name="Sheet2" sheetId="12" r:id="rId8"/>
    <sheet name="Index" sheetId="9" r:id="rId9"/>
    <sheet name="Stroke" sheetId="10" r:id="rId10"/>
  </sheets>
  <definedNames>
    <definedName name="Categorie" localSheetId="1">#REF!</definedName>
    <definedName name="Categorie">#REF!</definedName>
    <definedName name="type" localSheetId="1">#REF!</definedName>
    <definedName name="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42" i="5" l="1"/>
  <c r="S22" i="5"/>
  <c r="S41" i="5"/>
  <c r="S40" i="5"/>
  <c r="S39" i="5"/>
  <c r="S38" i="5"/>
  <c r="S37" i="5"/>
  <c r="S36" i="5"/>
  <c r="S35" i="5"/>
  <c r="S34" i="5"/>
  <c r="S33" i="5"/>
  <c r="S32" i="5"/>
  <c r="S31" i="5"/>
  <c r="S30" i="5"/>
  <c r="S27" i="5"/>
  <c r="S7" i="5"/>
  <c r="S8" i="5"/>
  <c r="S10" i="5"/>
  <c r="S11" i="5"/>
  <c r="S12" i="5"/>
  <c r="S13" i="5"/>
  <c r="S14" i="5"/>
  <c r="S15" i="5"/>
  <c r="S16" i="5"/>
  <c r="S17" i="5"/>
  <c r="S18" i="5"/>
  <c r="S19" i="5"/>
  <c r="S20" i="5"/>
  <c r="S21" i="5"/>
  <c r="E12" i="3"/>
  <c r="E13" i="3" s="1"/>
  <c r="E25" i="3"/>
  <c r="E26" i="3" s="1"/>
  <c r="E27" i="3" s="1"/>
  <c r="E21" i="3"/>
  <c r="E8" i="3"/>
  <c r="E39" i="3"/>
  <c r="E36" i="3"/>
  <c r="E30" i="3"/>
  <c r="E31" i="3" s="1"/>
  <c r="E32" i="3" s="1"/>
  <c r="E16" i="3"/>
  <c r="E17" i="3" s="1"/>
  <c r="E18" i="3" s="1"/>
  <c r="E3" i="3"/>
  <c r="E4" i="3" s="1"/>
  <c r="E5" i="3" s="1"/>
  <c r="D1" i="11" l="1"/>
  <c r="F1" i="11" s="1"/>
  <c r="H1" i="11" s="1"/>
  <c r="J1" i="11" s="1"/>
  <c r="L1" i="11" s="1"/>
  <c r="N1" i="11" s="1"/>
  <c r="P1" i="11" s="1"/>
  <c r="R1" i="11" s="1"/>
  <c r="T1" i="11" s="1"/>
  <c r="V1" i="11" s="1"/>
  <c r="X1" i="11" s="1"/>
  <c r="Z1" i="11" s="1"/>
  <c r="AB1" i="11" s="1"/>
  <c r="AD1" i="11" s="1"/>
  <c r="AF1" i="11" s="1"/>
  <c r="AH1" i="11" s="1"/>
  <c r="AJ1" i="11" s="1"/>
  <c r="AL1" i="11" s="1"/>
  <c r="AN1" i="11" s="1"/>
  <c r="AP1" i="11" s="1"/>
  <c r="AR1" i="11" s="1"/>
  <c r="AT1" i="11" s="1"/>
  <c r="AV1" i="11" s="1"/>
  <c r="AX1" i="11" s="1"/>
  <c r="AZ1" i="11" s="1"/>
  <c r="BB1" i="11" s="1"/>
  <c r="BD1" i="11" s="1"/>
  <c r="BF1" i="11" s="1"/>
  <c r="BH1" i="11" s="1"/>
  <c r="BJ1" i="11" s="1"/>
  <c r="BL1" i="11" s="1"/>
  <c r="BN1" i="11" s="1"/>
  <c r="BP1" i="11" s="1"/>
  <c r="BR1" i="11" s="1"/>
  <c r="BT1" i="11" s="1"/>
  <c r="BV1" i="11" s="1"/>
  <c r="BX1" i="11" s="1"/>
  <c r="BZ1" i="11" s="1"/>
  <c r="CB1" i="11" s="1"/>
  <c r="CD1" i="11" s="1"/>
  <c r="CF1" i="11" s="1"/>
  <c r="CH1" i="11" s="1"/>
  <c r="CJ1" i="11" s="1"/>
  <c r="CL1" i="11" s="1"/>
  <c r="CN1" i="11" s="1"/>
  <c r="CP1" i="11" s="1"/>
  <c r="CR1" i="11" s="1"/>
  <c r="CT1" i="11" s="1"/>
  <c r="CV1" i="11" s="1"/>
  <c r="CX1" i="11" s="1"/>
  <c r="CZ1" i="11" s="1"/>
  <c r="DB1" i="11" s="1"/>
  <c r="DD1" i="11" s="1"/>
  <c r="DF1" i="11" s="1"/>
  <c r="DH1" i="11" s="1"/>
  <c r="DJ1" i="11" s="1"/>
  <c r="DL1" i="11" s="1"/>
  <c r="DN1" i="11" s="1"/>
  <c r="DP1" i="11" s="1"/>
  <c r="DR1" i="11" s="1"/>
  <c r="DT1" i="11" s="1"/>
  <c r="DV1" i="11" s="1"/>
  <c r="DX1" i="11" s="1"/>
  <c r="DZ1" i="11" s="1"/>
  <c r="EB1" i="11" s="1"/>
  <c r="ED1" i="11" s="1"/>
  <c r="EF1" i="11" s="1"/>
  <c r="EH1" i="11" s="1"/>
  <c r="EJ1" i="11" s="1"/>
  <c r="EL1" i="11" s="1"/>
  <c r="EN1" i="11" s="1"/>
  <c r="EP1" i="11" s="1"/>
  <c r="ER1" i="11" s="1"/>
  <c r="ET1" i="11" s="1"/>
  <c r="EV1" i="11" s="1"/>
  <c r="EX1" i="11" s="1"/>
  <c r="EZ1" i="11" s="1"/>
  <c r="FB1" i="11" s="1"/>
  <c r="FD1" i="11" s="1"/>
  <c r="FF1" i="11" s="1"/>
  <c r="FH1" i="11" s="1"/>
  <c r="FJ1" i="11" s="1"/>
  <c r="FL1" i="11" s="1"/>
  <c r="FN1" i="11" s="1"/>
  <c r="FP1" i="11" s="1"/>
  <c r="FR1" i="11" s="1"/>
  <c r="FT1" i="11" s="1"/>
  <c r="FV1" i="11" s="1"/>
  <c r="FX1" i="11" s="1"/>
  <c r="FZ1" i="11" s="1"/>
  <c r="GB1" i="11" s="1"/>
  <c r="GD1" i="11" s="1"/>
  <c r="GF1" i="11" s="1"/>
  <c r="GH1" i="11" s="1"/>
  <c r="GJ1" i="11" s="1"/>
  <c r="GL1" i="11" s="1"/>
  <c r="GN1" i="11" s="1"/>
  <c r="GP1" i="11" s="1"/>
  <c r="GR1" i="11" s="1"/>
  <c r="F13" i="9"/>
  <c r="F16" i="9" s="1"/>
  <c r="B5" i="10"/>
  <c r="D21" i="9" l="1"/>
  <c r="D20" i="9"/>
  <c r="B6" i="9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49" i="5"/>
  <c r="E50" i="5"/>
  <c r="E51" i="5"/>
  <c r="F51" i="5" s="1"/>
  <c r="G51" i="5" s="1"/>
  <c r="H51" i="5" s="1"/>
  <c r="I51" i="5" s="1"/>
  <c r="J51" i="5" s="1"/>
  <c r="E52" i="5"/>
  <c r="F52" i="5" s="1"/>
  <c r="G52" i="5" s="1"/>
  <c r="H52" i="5" s="1"/>
  <c r="I52" i="5" s="1"/>
  <c r="J52" i="5" s="1"/>
  <c r="E49" i="5"/>
  <c r="F49" i="5" s="1"/>
  <c r="G49" i="5" s="1"/>
  <c r="H49" i="5" s="1"/>
  <c r="I49" i="5" s="1"/>
  <c r="J49" i="5" s="1"/>
  <c r="AD50" i="5"/>
  <c r="AE50" i="5" s="1"/>
  <c r="E25" i="5"/>
  <c r="S25" i="5" s="1"/>
  <c r="E5" i="5"/>
  <c r="S5" i="5" s="1"/>
  <c r="D9" i="5"/>
  <c r="S9" i="5" s="1"/>
  <c r="D29" i="5"/>
  <c r="S29" i="5" s="1"/>
  <c r="E28" i="5"/>
  <c r="S28" i="5" s="1"/>
  <c r="E26" i="5"/>
  <c r="S26" i="5" s="1"/>
  <c r="E6" i="5"/>
  <c r="S6" i="5" s="1"/>
  <c r="D10" i="6"/>
  <c r="F10" i="6" s="1"/>
  <c r="C4" i="6"/>
  <c r="D5" i="6" s="1"/>
  <c r="F50" i="5" l="1"/>
  <c r="G50" i="5" s="1"/>
  <c r="H50" i="5" s="1"/>
  <c r="I50" i="5" s="1"/>
  <c r="J50" i="5" s="1"/>
  <c r="AA96" i="5"/>
  <c r="AA97" i="5"/>
  <c r="Z97" i="5"/>
  <c r="Z96" i="5"/>
  <c r="AA85" i="5"/>
  <c r="AA84" i="5"/>
  <c r="AA83" i="5"/>
  <c r="Z80" i="5"/>
  <c r="AB80" i="5" s="1"/>
  <c r="AA62" i="5"/>
  <c r="AA77" i="5" s="1"/>
  <c r="AD51" i="5"/>
  <c r="AE51" i="5" s="1"/>
  <c r="AA86" i="5" l="1"/>
  <c r="AB49" i="5" l="1"/>
  <c r="AD49" i="5" s="1"/>
  <c r="AE49" i="5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E2" i="2"/>
  <c r="D3" i="2" l="1"/>
  <c r="E3" i="2" l="1"/>
  <c r="D4" i="2"/>
  <c r="E4" i="2" l="1"/>
  <c r="D5" i="2"/>
  <c r="E5" i="2" l="1"/>
  <c r="D6" i="2"/>
  <c r="E6" i="2" l="1"/>
  <c r="D7" i="2"/>
  <c r="E7" i="2" l="1"/>
  <c r="D8" i="2"/>
  <c r="E8" i="2" l="1"/>
  <c r="D9" i="2"/>
  <c r="E9" i="2" l="1"/>
  <c r="D10" i="2"/>
  <c r="D11" i="2" l="1"/>
  <c r="E10" i="2"/>
  <c r="D12" i="2" l="1"/>
  <c r="E11" i="2"/>
  <c r="D13" i="2" l="1"/>
  <c r="E12" i="2"/>
  <c r="E13" i="2" l="1"/>
  <c r="D14" i="2"/>
  <c r="E14" i="2" l="1"/>
  <c r="D15" i="2"/>
  <c r="E15" i="2" l="1"/>
  <c r="D16" i="2"/>
  <c r="E16" i="2" l="1"/>
  <c r="D17" i="2"/>
  <c r="E17" i="2" l="1"/>
  <c r="D18" i="2"/>
  <c r="E18" i="2" l="1"/>
  <c r="D19" i="2"/>
  <c r="E19" i="2" l="1"/>
  <c r="D20" i="2"/>
  <c r="E20" i="2" l="1"/>
  <c r="D21" i="2"/>
  <c r="E21" i="2" l="1"/>
  <c r="D22" i="2"/>
  <c r="E22" i="2" l="1"/>
  <c r="D23" i="2"/>
  <c r="D24" i="2" l="1"/>
  <c r="E23" i="2"/>
  <c r="D25" i="2" l="1"/>
  <c r="E24" i="2"/>
  <c r="E25" i="2" l="1"/>
  <c r="D26" i="2"/>
  <c r="E26" i="2" l="1"/>
  <c r="D27" i="2"/>
  <c r="E27" i="2" l="1"/>
  <c r="D28" i="2"/>
  <c r="E28" i="2" l="1"/>
  <c r="D29" i="2"/>
  <c r="E29" i="2" l="1"/>
  <c r="D30" i="2"/>
  <c r="E30" i="2" l="1"/>
  <c r="D31" i="2"/>
  <c r="E31" i="2" l="1"/>
  <c r="D32" i="2"/>
  <c r="E32" i="2" l="1"/>
  <c r="D33" i="2"/>
  <c r="E33" i="2" l="1"/>
  <c r="D34" i="2"/>
  <c r="D35" i="2" l="1"/>
  <c r="E34" i="2"/>
  <c r="D36" i="2" l="1"/>
  <c r="E35" i="2"/>
  <c r="D37" i="2" l="1"/>
  <c r="E36" i="2"/>
  <c r="E37" i="2" l="1"/>
  <c r="D38" i="2"/>
  <c r="E38" i="2" l="1"/>
  <c r="D39" i="2"/>
  <c r="E39" i="2" l="1"/>
  <c r="D40" i="2"/>
  <c r="E40" i="2" l="1"/>
  <c r="D41" i="2"/>
  <c r="E41" i="2" l="1"/>
  <c r="D42" i="2"/>
  <c r="E42" i="2" l="1"/>
  <c r="D43" i="2"/>
  <c r="E43" i="2" l="1"/>
  <c r="D44" i="2"/>
  <c r="E44" i="2" l="1"/>
  <c r="D45" i="2"/>
  <c r="E45" i="2" l="1"/>
  <c r="D46" i="2"/>
  <c r="D47" i="2" l="1"/>
  <c r="E46" i="2"/>
  <c r="D48" i="2" l="1"/>
  <c r="E47" i="2"/>
  <c r="E48" i="2" l="1"/>
  <c r="D49" i="2"/>
  <c r="D50" i="2" l="1"/>
  <c r="E49" i="2"/>
  <c r="E50" i="2" l="1"/>
  <c r="D51" i="2"/>
  <c r="E51" i="2" l="1"/>
  <c r="D52" i="2"/>
  <c r="E52" i="2" l="1"/>
  <c r="D53" i="2"/>
  <c r="E53" i="2" l="1"/>
  <c r="D54" i="2"/>
  <c r="E54" i="2" l="1"/>
  <c r="D55" i="2"/>
  <c r="D56" i="2" l="1"/>
  <c r="E55" i="2"/>
  <c r="D57" i="2" l="1"/>
  <c r="E56" i="2"/>
  <c r="D58" i="2" l="1"/>
  <c r="E57" i="2"/>
  <c r="E58" i="2" l="1"/>
  <c r="D59" i="2"/>
  <c r="E59" i="2" l="1"/>
  <c r="D60" i="2"/>
  <c r="E60" i="2" l="1"/>
  <c r="D61" i="2"/>
  <c r="D62" i="2" l="1"/>
  <c r="E61" i="2"/>
  <c r="D63" i="2" l="1"/>
  <c r="E62" i="2"/>
  <c r="E63" i="2" l="1"/>
  <c r="D64" i="2"/>
  <c r="D65" i="2" l="1"/>
  <c r="E64" i="2"/>
  <c r="E65" i="2" l="1"/>
  <c r="D66" i="2"/>
  <c r="E66" i="2" l="1"/>
  <c r="D67" i="2"/>
  <c r="E67" i="2" l="1"/>
  <c r="D68" i="2"/>
  <c r="E68" i="2" l="1"/>
  <c r="D69" i="2"/>
  <c r="D70" i="2" l="1"/>
  <c r="E69" i="2"/>
  <c r="D71" i="2" l="1"/>
  <c r="E70" i="2"/>
  <c r="E71" i="2" l="1"/>
  <c r="D72" i="2"/>
  <c r="E72" i="2" l="1"/>
  <c r="D73" i="2"/>
  <c r="D74" i="2" l="1"/>
  <c r="E73" i="2"/>
  <c r="E74" i="2" l="1"/>
  <c r="D75" i="2"/>
  <c r="E75" i="2" l="1"/>
  <c r="D76" i="2"/>
  <c r="D77" i="2" l="1"/>
  <c r="E76" i="2"/>
  <c r="E77" i="2" l="1"/>
  <c r="D78" i="2"/>
  <c r="E78" i="2" l="1"/>
  <c r="D79" i="2"/>
  <c r="E79" i="2" l="1"/>
  <c r="D80" i="2"/>
  <c r="E80" i="2" l="1"/>
  <c r="D81" i="2"/>
  <c r="E81" i="2" l="1"/>
  <c r="D82" i="2"/>
  <c r="D83" i="2" l="1"/>
  <c r="E82" i="2"/>
  <c r="D84" i="2" l="1"/>
  <c r="E83" i="2"/>
  <c r="E84" i="2" l="1"/>
  <c r="D85" i="2"/>
  <c r="E85" i="2" l="1"/>
  <c r="D86" i="2"/>
  <c r="E86" i="2" l="1"/>
  <c r="D87" i="2"/>
  <c r="D88" i="2" l="1"/>
  <c r="E87" i="2"/>
  <c r="E88" i="2" l="1"/>
  <c r="D89" i="2"/>
  <c r="E89" i="2" l="1"/>
  <c r="D90" i="2"/>
  <c r="E90" i="2" l="1"/>
  <c r="D91" i="2"/>
  <c r="E91" i="2" l="1"/>
  <c r="D92" i="2"/>
  <c r="D93" i="2" l="1"/>
  <c r="E92" i="2"/>
  <c r="E93" i="2" l="1"/>
  <c r="D94" i="2"/>
  <c r="D95" i="2" l="1"/>
  <c r="E94" i="2"/>
  <c r="D96" i="2" l="1"/>
  <c r="E95" i="2"/>
  <c r="E96" i="2" l="1"/>
  <c r="D97" i="2"/>
  <c r="E97" i="2" l="1"/>
  <c r="D98" i="2"/>
  <c r="E98" i="2" l="1"/>
  <c r="D99" i="2"/>
  <c r="E99" i="2" l="1"/>
  <c r="D100" i="2"/>
  <c r="E100" i="2" l="1"/>
  <c r="D101" i="2"/>
  <c r="E101" i="2" l="1"/>
  <c r="D102" i="2"/>
  <c r="E102" i="2" l="1"/>
  <c r="D103" i="2"/>
  <c r="D104" i="2" l="1"/>
  <c r="E103" i="2"/>
  <c r="E104" i="2" l="1"/>
  <c r="D105" i="2"/>
  <c r="E105" i="2" l="1"/>
  <c r="D106" i="2"/>
  <c r="D107" i="2" l="1"/>
  <c r="E106" i="2"/>
  <c r="D108" i="2" l="1"/>
  <c r="E107" i="2"/>
  <c r="E108" i="2" l="1"/>
  <c r="D109" i="2"/>
  <c r="E109" i="2" l="1"/>
  <c r="D110" i="2"/>
  <c r="E110" i="2" l="1"/>
  <c r="D111" i="2"/>
  <c r="E111" i="2" l="1"/>
  <c r="D112" i="2"/>
  <c r="E112" i="2" l="1"/>
  <c r="D113" i="2"/>
  <c r="E113" i="2" l="1"/>
  <c r="D114" i="2"/>
  <c r="E114" i="2" l="1"/>
  <c r="D115" i="2"/>
  <c r="E115" i="2" l="1"/>
  <c r="D116" i="2"/>
  <c r="D117" i="2" l="1"/>
  <c r="E116" i="2"/>
  <c r="E117" i="2" l="1"/>
  <c r="D118" i="2"/>
  <c r="D119" i="2" l="1"/>
  <c r="E118" i="2"/>
  <c r="D120" i="2" l="1"/>
  <c r="E119" i="2"/>
  <c r="E120" i="2" l="1"/>
  <c r="D121" i="2"/>
  <c r="E121" i="2" l="1"/>
  <c r="D122" i="2"/>
  <c r="E122" i="2" l="1"/>
  <c r="D123" i="2"/>
  <c r="E123" i="2" l="1"/>
  <c r="D124" i="2"/>
  <c r="E124" i="2" l="1"/>
  <c r="D125" i="2"/>
  <c r="E125" i="2" l="1"/>
  <c r="D126" i="2"/>
  <c r="E126" i="2" l="1"/>
  <c r="D127" i="2"/>
  <c r="E127" i="2" l="1"/>
  <c r="D128" i="2"/>
  <c r="D129" i="2" l="1"/>
  <c r="E128" i="2"/>
  <c r="E129" i="2" l="1"/>
  <c r="D130" i="2"/>
  <c r="D131" i="2" l="1"/>
  <c r="E130" i="2"/>
  <c r="D132" i="2" l="1"/>
  <c r="E131" i="2"/>
  <c r="E132" i="2" l="1"/>
  <c r="D133" i="2"/>
  <c r="E133" i="2" l="1"/>
  <c r="D134" i="2"/>
  <c r="E134" i="2" l="1"/>
  <c r="D135" i="2"/>
  <c r="E135" i="2" l="1"/>
  <c r="D136" i="2"/>
  <c r="E136" i="2" l="1"/>
  <c r="D137" i="2"/>
  <c r="E137" i="2" l="1"/>
  <c r="D138" i="2"/>
  <c r="E138" i="2" l="1"/>
  <c r="D139" i="2"/>
  <c r="E139" i="2" l="1"/>
  <c r="D140" i="2"/>
  <c r="D141" i="2" l="1"/>
  <c r="E140" i="2"/>
  <c r="E141" i="2" l="1"/>
  <c r="D142" i="2"/>
  <c r="D143" i="2" l="1"/>
  <c r="E142" i="2"/>
  <c r="D144" i="2" l="1"/>
  <c r="E143" i="2"/>
  <c r="E144" i="2" l="1"/>
  <c r="D145" i="2"/>
  <c r="E145" i="2" l="1"/>
  <c r="D146" i="2"/>
  <c r="E146" i="2" l="1"/>
  <c r="D147" i="2"/>
  <c r="E147" i="2" l="1"/>
  <c r="D148" i="2"/>
  <c r="E148" i="2" l="1"/>
  <c r="D149" i="2"/>
  <c r="E149" i="2" l="1"/>
  <c r="D150" i="2"/>
  <c r="E150" i="2" l="1"/>
  <c r="D151" i="2"/>
  <c r="E151" i="2" l="1"/>
  <c r="D152" i="2"/>
  <c r="E152" i="2" l="1"/>
  <c r="D153" i="2"/>
  <c r="E153" i="2" l="1"/>
  <c r="D154" i="2"/>
  <c r="D155" i="2" l="1"/>
  <c r="E154" i="2"/>
  <c r="D156" i="2" l="1"/>
  <c r="E155" i="2"/>
  <c r="E156" i="2" l="1"/>
  <c r="D157" i="2"/>
  <c r="E157" i="2" l="1"/>
  <c r="D158" i="2"/>
  <c r="E158" i="2" l="1"/>
  <c r="D159" i="2"/>
  <c r="E159" i="2" l="1"/>
  <c r="D160" i="2"/>
  <c r="E160" i="2" l="1"/>
  <c r="D161" i="2"/>
  <c r="E161" i="2" l="1"/>
  <c r="D162" i="2"/>
  <c r="E162" i="2" l="1"/>
  <c r="D163" i="2"/>
  <c r="E163" i="2" l="1"/>
  <c r="D164" i="2"/>
  <c r="E164" i="2" l="1"/>
  <c r="D165" i="2"/>
  <c r="E165" i="2" l="1"/>
  <c r="D166" i="2"/>
  <c r="D167" i="2" l="1"/>
  <c r="E166" i="2"/>
  <c r="D168" i="2" l="1"/>
  <c r="E167" i="2"/>
  <c r="E168" i="2" l="1"/>
  <c r="D169" i="2"/>
  <c r="E169" i="2" l="1"/>
  <c r="D170" i="2"/>
  <c r="E170" i="2" l="1"/>
  <c r="D171" i="2"/>
  <c r="E171" i="2" l="1"/>
  <c r="D172" i="2"/>
  <c r="E172" i="2" l="1"/>
  <c r="D173" i="2"/>
  <c r="E173" i="2" l="1"/>
  <c r="D174" i="2"/>
  <c r="E174" i="2" l="1"/>
  <c r="D175" i="2"/>
  <c r="E175" i="2" l="1"/>
  <c r="D176" i="2"/>
  <c r="D177" i="2" l="1"/>
  <c r="E176" i="2"/>
  <c r="E177" i="2" l="1"/>
  <c r="D178" i="2"/>
  <c r="D179" i="2" l="1"/>
  <c r="E178" i="2"/>
  <c r="D180" i="2" l="1"/>
  <c r="E179" i="2"/>
  <c r="E180" i="2" l="1"/>
  <c r="D181" i="2"/>
  <c r="E181" i="2" l="1"/>
  <c r="D182" i="2"/>
  <c r="E182" i="2" l="1"/>
  <c r="D183" i="2"/>
  <c r="E183" i="2" l="1"/>
  <c r="D184" i="2"/>
  <c r="E184" i="2" l="1"/>
  <c r="D185" i="2"/>
  <c r="E185" i="2" l="1"/>
  <c r="D186" i="2"/>
  <c r="E186" i="2" l="1"/>
  <c r="D187" i="2"/>
  <c r="E187" i="2" l="1"/>
  <c r="D188" i="2"/>
  <c r="D189" i="2" l="1"/>
  <c r="E188" i="2"/>
  <c r="D190" i="2" l="1"/>
  <c r="E189" i="2"/>
  <c r="D191" i="2" l="1"/>
  <c r="E190" i="2"/>
  <c r="E191" i="2" l="1"/>
  <c r="D192" i="2"/>
  <c r="E192" i="2" l="1"/>
  <c r="D193" i="2"/>
  <c r="E193" i="2" l="1"/>
  <c r="D194" i="2"/>
  <c r="E194" i="2" l="1"/>
  <c r="D195" i="2"/>
  <c r="E195" i="2" l="1"/>
  <c r="D196" i="2"/>
  <c r="E196" i="2" l="1"/>
  <c r="D197" i="2"/>
  <c r="E197" i="2" l="1"/>
  <c r="D198" i="2"/>
  <c r="D199" i="2" l="1"/>
  <c r="E198" i="2"/>
  <c r="E199" i="2" l="1"/>
  <c r="D200" i="2"/>
  <c r="D201" i="2" l="1"/>
  <c r="E200" i="2"/>
  <c r="D202" i="2" l="1"/>
  <c r="E201" i="2"/>
  <c r="E202" i="2" l="1"/>
  <c r="D203" i="2"/>
  <c r="E203" i="2" l="1"/>
  <c r="D204" i="2"/>
  <c r="E204" i="2" l="1"/>
  <c r="D205" i="2"/>
  <c r="E205" i="2" l="1"/>
  <c r="D206" i="2"/>
  <c r="E206" i="2" l="1"/>
  <c r="D207" i="2"/>
  <c r="E207" i="2" l="1"/>
  <c r="D208" i="2"/>
  <c r="E208" i="2" l="1"/>
  <c r="D209" i="2"/>
  <c r="E209" i="2" l="1"/>
  <c r="D210" i="2"/>
  <c r="E210" i="2" l="1"/>
  <c r="D211" i="2"/>
  <c r="E211" i="2" l="1"/>
  <c r="D212" i="2"/>
  <c r="D213" i="2" l="1"/>
  <c r="E212" i="2"/>
  <c r="D214" i="2" l="1"/>
  <c r="E213" i="2"/>
  <c r="E214" i="2" l="1"/>
  <c r="D215" i="2"/>
  <c r="E215" i="2" l="1"/>
  <c r="D216" i="2"/>
  <c r="E216" i="2" l="1"/>
  <c r="D217" i="2"/>
  <c r="E217" i="2" l="1"/>
  <c r="D218" i="2"/>
  <c r="E218" i="2" l="1"/>
  <c r="D219" i="2"/>
  <c r="E219" i="2" l="1"/>
  <c r="D220" i="2"/>
  <c r="E220" i="2" l="1"/>
  <c r="D221" i="2"/>
  <c r="E221" i="2" l="1"/>
  <c r="D222" i="2"/>
  <c r="E222" i="2" l="1"/>
  <c r="D223" i="2"/>
  <c r="E223" i="2" l="1"/>
  <c r="D224" i="2"/>
  <c r="D225" i="2" l="1"/>
  <c r="E224" i="2"/>
  <c r="D226" i="2" l="1"/>
  <c r="E225" i="2"/>
  <c r="E226" i="2" l="1"/>
  <c r="D227" i="2"/>
  <c r="E227" i="2" l="1"/>
  <c r="D228" i="2"/>
  <c r="E228" i="2" l="1"/>
  <c r="D229" i="2"/>
  <c r="E229" i="2" l="1"/>
  <c r="D230" i="2"/>
  <c r="E230" i="2" l="1"/>
  <c r="D231" i="2"/>
  <c r="E231" i="2" l="1"/>
  <c r="D232" i="2"/>
  <c r="E232" i="2" l="1"/>
  <c r="D233" i="2"/>
  <c r="E233" i="2" l="1"/>
  <c r="D234" i="2"/>
  <c r="E234" i="2" l="1"/>
  <c r="D235" i="2"/>
  <c r="E235" i="2" l="1"/>
  <c r="D236" i="2"/>
  <c r="D237" i="2" l="1"/>
  <c r="E236" i="2"/>
  <c r="D238" i="2" l="1"/>
  <c r="E237" i="2"/>
  <c r="E238" i="2" l="1"/>
  <c r="D239" i="2"/>
  <c r="E239" i="2" l="1"/>
  <c r="D240" i="2"/>
  <c r="E240" i="2" l="1"/>
  <c r="D241" i="2"/>
  <c r="E241" i="2" l="1"/>
  <c r="D242" i="2"/>
  <c r="E242" i="2" l="1"/>
  <c r="D243" i="2"/>
  <c r="E243" i="2" l="1"/>
  <c r="D244" i="2"/>
  <c r="E244" i="2" l="1"/>
  <c r="D245" i="2"/>
  <c r="E245" i="2" l="1"/>
  <c r="D246" i="2"/>
  <c r="E246" i="2" l="1"/>
  <c r="D247" i="2"/>
  <c r="E247" i="2" l="1"/>
  <c r="D248" i="2"/>
  <c r="D249" i="2" l="1"/>
  <c r="E248" i="2"/>
  <c r="D250" i="2" l="1"/>
  <c r="E249" i="2"/>
  <c r="E250" i="2" l="1"/>
  <c r="D251" i="2"/>
  <c r="E251" i="2" l="1"/>
  <c r="D252" i="2"/>
  <c r="E252" i="2" l="1"/>
  <c r="D253" i="2"/>
  <c r="E253" i="2" l="1"/>
  <c r="D254" i="2"/>
  <c r="E254" i="2" l="1"/>
  <c r="D255" i="2"/>
  <c r="E255" i="2" l="1"/>
  <c r="D256" i="2"/>
  <c r="E256" i="2" l="1"/>
  <c r="D257" i="2"/>
  <c r="E257" i="2" s="1"/>
</calcChain>
</file>

<file path=xl/sharedStrings.xml><?xml version="1.0" encoding="utf-8"?>
<sst xmlns="http://schemas.openxmlformats.org/spreadsheetml/2006/main" count="741" uniqueCount="309">
  <si>
    <t>Parameter</t>
  </si>
  <si>
    <t>Description</t>
  </si>
  <si>
    <t>Address</t>
  </si>
  <si>
    <t>Value</t>
  </si>
  <si>
    <t>Unit</t>
  </si>
  <si>
    <t>Limit min</t>
  </si>
  <si>
    <t>Limit max</t>
  </si>
  <si>
    <t>Remark</t>
  </si>
  <si>
    <t>A0301</t>
  </si>
  <si>
    <t>A0302</t>
  </si>
  <si>
    <t>t0204</t>
  </si>
  <si>
    <t>A0201</t>
  </si>
  <si>
    <t>A0101</t>
  </si>
  <si>
    <t>A0102</t>
  </si>
  <si>
    <t>N0101</t>
  </si>
  <si>
    <t>N0102</t>
  </si>
  <si>
    <t>A0202</t>
  </si>
  <si>
    <t>N0202</t>
  </si>
  <si>
    <t>N0203</t>
  </si>
  <si>
    <t>t0401/04</t>
  </si>
  <si>
    <t>t0101</t>
  </si>
  <si>
    <t>IDX-HOMESPEED</t>
  </si>
  <si>
    <t>rpm</t>
  </si>
  <si>
    <t>Home speed of the index motor</t>
  </si>
  <si>
    <t>ms</t>
  </si>
  <si>
    <t>Max time needed for index sensor change</t>
  </si>
  <si>
    <t>IDX-HOMETIMEMAX</t>
  </si>
  <si>
    <t>IDX-HOMEOFFSET</t>
  </si>
  <si>
    <t>-</t>
  </si>
  <si>
    <t>um</t>
  </si>
  <si>
    <t>Offset form sensor switching point to actual zero point</t>
  </si>
  <si>
    <t>IDX-UMPERPULSE</t>
  </si>
  <si>
    <t>Movement in um per pulse</t>
  </si>
  <si>
    <t>STR-HOMESPEED</t>
  </si>
  <si>
    <t>STR-HOMETIME</t>
  </si>
  <si>
    <t>STR-GOTOSTARTTIME</t>
  </si>
  <si>
    <t>Visual inspection</t>
  </si>
  <si>
    <t>Solution / checks</t>
  </si>
  <si>
    <t>Warning</t>
  </si>
  <si>
    <t>User error</t>
  </si>
  <si>
    <t>Name</t>
  </si>
  <si>
    <t>Unit performing the indexing action (Left to right positioning of the chisel)</t>
  </si>
  <si>
    <t>Unit performing the scraping action of the chisel</t>
  </si>
  <si>
    <t>Unit handling the user interaction</t>
  </si>
  <si>
    <t>Unit handling the battery charging</t>
  </si>
  <si>
    <t>ErrorNo</t>
  </si>
  <si>
    <t>system error</t>
  </si>
  <si>
    <t>NAME</t>
  </si>
  <si>
    <t>VALUE</t>
  </si>
  <si>
    <t>MIN</t>
  </si>
  <si>
    <t>MAX</t>
  </si>
  <si>
    <t>UNIT</t>
  </si>
  <si>
    <t>ERRORS</t>
  </si>
  <si>
    <t>SETTINGS (101)</t>
  </si>
  <si>
    <t>COMMANDS (102)</t>
  </si>
  <si>
    <t>DATA (103)</t>
  </si>
  <si>
    <t>COUNTERS</t>
  </si>
  <si>
    <t>"SCRAPE WIDTH INNER"</t>
  </si>
  <si>
    <t>DECIMALS</t>
  </si>
  <si>
    <t>DIGITS</t>
  </si>
  <si>
    <t>DECIMALS = DIGITS means first Digit cannot be modified</t>
  </si>
  <si>
    <t>"MM"</t>
  </si>
  <si>
    <t>"RPS"</t>
  </si>
  <si>
    <t>"-"</t>
  </si>
  <si>
    <t>USERACCESS</t>
  </si>
  <si>
    <t>"SCRAPE WIDTH      "</t>
  </si>
  <si>
    <t>"MACHINE TYPE      "</t>
  </si>
  <si>
    <t>"SIDE STEP OFFSET  "</t>
  </si>
  <si>
    <t>"SCRAPE SPEED MIN  "</t>
  </si>
  <si>
    <t>"SCRAPE SPEED MAX  "</t>
  </si>
  <si>
    <t>"SCRAPE SPEED      "</t>
  </si>
  <si>
    <t>Ppr</t>
  </si>
  <si>
    <t>Time</t>
  </si>
  <si>
    <t>Factor</t>
  </si>
  <si>
    <t>Pulses/100ms</t>
  </si>
  <si>
    <t>RPM</t>
  </si>
  <si>
    <t>us/min</t>
  </si>
  <si>
    <t>Omw</t>
  </si>
  <si>
    <t>us/omw</t>
  </si>
  <si>
    <t>us</t>
  </si>
  <si>
    <t>omw/min</t>
  </si>
  <si>
    <t>"SCREEN SAVER      "</t>
  </si>
  <si>
    <t>GLOBAL</t>
  </si>
  <si>
    <t>ALL SETTINGS x 0,01 UNITS. GLOBAL MEANS SETTIGN IS CHANGED FOR ALL MACHINE TYPES</t>
  </si>
  <si>
    <t>OBOE</t>
  </si>
  <si>
    <t>BASSOON</t>
  </si>
  <si>
    <t>"RESET TO FACTORY  "</t>
  </si>
  <si>
    <t>BTNOK</t>
  </si>
  <si>
    <t>BTNLEFT</t>
  </si>
  <si>
    <t>BTNUP</t>
  </si>
  <si>
    <t>BTNDOWN</t>
  </si>
  <si>
    <t>BTNRIGHT</t>
  </si>
  <si>
    <t>BTNMENU</t>
  </si>
  <si>
    <t>SCREEN</t>
  </si>
  <si>
    <t>COMAND</t>
  </si>
  <si>
    <t>Reset to factory</t>
  </si>
  <si>
    <t>No function</t>
  </si>
  <si>
    <t>Cancel. Go back to previous menu</t>
  </si>
  <si>
    <t>"STROKE MOTOR      "</t>
  </si>
  <si>
    <t>STROKE MOTOR ON</t>
  </si>
  <si>
    <t>STROKE MOTOR OFF</t>
  </si>
  <si>
    <t>STROKE MOTOR FASTER</t>
  </si>
  <si>
    <t>STROKE MOTOR SLOWER</t>
  </si>
  <si>
    <t>Batterypercentage</t>
  </si>
  <si>
    <t>BattVoltage</t>
  </si>
  <si>
    <t>Range max</t>
  </si>
  <si>
    <t>Range Min</t>
  </si>
  <si>
    <t>Normal</t>
  </si>
  <si>
    <t>Analog value</t>
  </si>
  <si>
    <t>mV</t>
  </si>
  <si>
    <t>"SCRAPE WIDTH MAX  "</t>
  </si>
  <si>
    <t>"INDEX MOTOR         "</t>
  </si>
  <si>
    <t>"SIDE ST SMALL FACT"</t>
  </si>
  <si>
    <t>"SCRAPE WIDTH FACT "</t>
  </si>
  <si>
    <t>"SCRAPE SPEED FACT "</t>
  </si>
  <si>
    <t>"SIDE STEP SMALL   "</t>
  </si>
  <si>
    <t>"SIDE ST BIG FACT  "</t>
  </si>
  <si>
    <t>"SIDE STEP BIG     "</t>
  </si>
  <si>
    <t>means command 1 Action 1</t>
  </si>
  <si>
    <t>FIND HOME SCREEN</t>
  </si>
  <si>
    <t>Screen</t>
  </si>
  <si>
    <t>&lt;</t>
  </si>
  <si>
    <t>&gt;</t>
  </si>
  <si>
    <t>OK</t>
  </si>
  <si>
    <t>≡</t>
  </si>
  <si>
    <t>x</t>
  </si>
  <si>
    <t>Start home routine</t>
  </si>
  <si>
    <t>Goto to START position</t>
  </si>
  <si>
    <t>GOTO START POSITION</t>
  </si>
  <si>
    <t>SCRAPE WHOLE REED</t>
  </si>
  <si>
    <t>Scrape whole reed</t>
  </si>
  <si>
    <t>Scrape outer sections</t>
  </si>
  <si>
    <t>SCRAPE INNER SECTIONS</t>
  </si>
  <si>
    <t>SCRAPE OUTER SECTIONS</t>
  </si>
  <si>
    <t>Scrape inner sections</t>
  </si>
  <si>
    <t>Normal mode</t>
  </si>
  <si>
    <t>Service mode</t>
  </si>
  <si>
    <t>Main Menu SETTINGS</t>
  </si>
  <si>
    <t>Main Menu COMMANDS</t>
  </si>
  <si>
    <t>10-33</t>
  </si>
  <si>
    <t>Settings Menu: Scrape width</t>
  </si>
  <si>
    <t>Settings Menu: Scrape width inner</t>
  </si>
  <si>
    <t>Settings Menu: Scrape speed</t>
  </si>
  <si>
    <t>Settings Menu: Side step small</t>
  </si>
  <si>
    <t>Settings Menu: Side step big</t>
  </si>
  <si>
    <t>Settings Menu: Screen saver</t>
  </si>
  <si>
    <t>Settings Menu: Machine type</t>
  </si>
  <si>
    <t>Settings Menu: Side step offset</t>
  </si>
  <si>
    <t>Settings Menu: Scrape speed max</t>
  </si>
  <si>
    <t>Settings Menu: Scrape speed min</t>
  </si>
  <si>
    <t>Settings Menu: Scrape width max</t>
  </si>
  <si>
    <t>Settings Menu: Scrape width fact</t>
  </si>
  <si>
    <t>Settings Menu: Scrape speed fact</t>
  </si>
  <si>
    <t>Settings Menu: Side st small fact</t>
  </si>
  <si>
    <t>Settings Menu: Side st big fact</t>
  </si>
  <si>
    <t>SPLASH SCREEN</t>
  </si>
  <si>
    <t>ENTER VALUE SCREEN</t>
  </si>
  <si>
    <t>Cancel</t>
  </si>
  <si>
    <t>Store and return</t>
  </si>
  <si>
    <t>Commands Menu: Reset to factory</t>
  </si>
  <si>
    <t>Commands Menu: Set stroke length</t>
  </si>
  <si>
    <t>Enter</t>
  </si>
  <si>
    <t>HOME</t>
  </si>
  <si>
    <t>START</t>
  </si>
  <si>
    <t>Commands Menu: Stroke motor</t>
  </si>
  <si>
    <t>ON</t>
  </si>
  <si>
    <t>FASTER</t>
  </si>
  <si>
    <t>SLOWER</t>
  </si>
  <si>
    <t>OFF</t>
  </si>
  <si>
    <t>"SET STROKE LENGTH 1"</t>
  </si>
  <si>
    <t>"SET STROKE LENGTH 2"</t>
  </si>
  <si>
    <t>OK = HOME all</t>
  </si>
  <si>
    <t>OK = Stroke START</t>
  </si>
  <si>
    <t>Jog screen</t>
  </si>
  <si>
    <t>Main</t>
  </si>
  <si>
    <t>Sub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</si>
  <si>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</si>
  <si>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</si>
  <si>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</si>
  <si>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</si>
  <si>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</si>
  <si>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</si>
  <si>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</si>
  <si>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</si>
  <si>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</si>
  <si>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</si>
  <si>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</si>
  <si>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</si>
  <si>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</si>
  <si>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</si>
  <si>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</si>
  <si>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Set stroke length: HOME</t>
  </si>
  <si>
    <t>HOME stroke &amp; Index</t>
  </si>
  <si>
    <t>Set stroke length: START</t>
  </si>
  <si>
    <t>START pos stroke</t>
  </si>
  <si>
    <t>Cmd</t>
  </si>
  <si>
    <t>Set stroke length: PLEASE WAIT</t>
  </si>
  <si>
    <t>MAIN SCREENS</t>
  </si>
  <si>
    <t>SPECIAL SCREENS</t>
  </si>
  <si>
    <t>PARAMETER SCREENS</t>
  </si>
  <si>
    <t>COMMAND SCREENS</t>
  </si>
  <si>
    <t>30</t>
  </si>
  <si>
    <t>20</t>
  </si>
  <si>
    <t>33</t>
  </si>
  <si>
    <t>31</t>
  </si>
  <si>
    <t>32</t>
  </si>
  <si>
    <t>Cursor left</t>
  </si>
  <si>
    <t>Value up</t>
  </si>
  <si>
    <t>Value down</t>
  </si>
  <si>
    <t>Cursor right</t>
  </si>
  <si>
    <t>Oboe</t>
  </si>
  <si>
    <t>Bassoon</t>
  </si>
  <si>
    <t>Stroke speed [/s]</t>
  </si>
  <si>
    <t>Idx step [um]</t>
  </si>
  <si>
    <t>Idx encoder steps [-]</t>
  </si>
  <si>
    <t>Idx Rev [50 um]</t>
  </si>
  <si>
    <t>Ratio</t>
  </si>
  <si>
    <t>8400 pulses = 1,5 mm</t>
  </si>
  <si>
    <t>1 rotation</t>
  </si>
  <si>
    <t>30 rotations</t>
  </si>
  <si>
    <t>pulses</t>
  </si>
  <si>
    <t>Shaft</t>
  </si>
  <si>
    <t>Motor</t>
  </si>
  <si>
    <t>Encoder</t>
  </si>
  <si>
    <t>Smallest step</t>
  </si>
  <si>
    <t>Conversion</t>
  </si>
  <si>
    <t>mm</t>
  </si>
  <si>
    <t>Pulses</t>
  </si>
  <si>
    <t>ERROR SCREEN</t>
  </si>
  <si>
    <t>Confirm, return to last screen</t>
  </si>
  <si>
    <t>time</t>
  </si>
  <si>
    <t>Speed</t>
  </si>
  <si>
    <t>Status</t>
  </si>
  <si>
    <t>RightSideNormalStep=0,</t>
  </si>
  <si>
    <t>RightSideLastStep=1,</t>
  </si>
  <si>
    <t>RightSideLastScrape=2,</t>
  </si>
  <si>
    <t>RightSideEndOfScraping=3,</t>
  </si>
  <si>
    <t>LeftSideNormalStep=4,</t>
  </si>
  <si>
    <t>LeftSideLastStep=5,</t>
  </si>
  <si>
    <t>LeftSideLastScrape=6,</t>
  </si>
  <si>
    <t>LeftSideEndOfScraping=7,</t>
  </si>
  <si>
    <t>RightSidePauseRequested=8,</t>
  </si>
  <si>
    <t>RightSidePaused=9,</t>
  </si>
  <si>
    <t>LeftSidePauseRequested=10,</t>
  </si>
  <si>
    <t>LeftSidePaused=11,</t>
  </si>
  <si>
    <t>errors</t>
  </si>
  <si>
    <t>,</t>
  </si>
  <si>
    <t>Side step unit is not homed</t>
  </si>
  <si>
    <t>Is the side step not in the middle</t>
  </si>
  <si>
    <t>Side step unit is not at the start position</t>
  </si>
  <si>
    <t>Select the HOME screen and press OK. Then retry</t>
  </si>
  <si>
    <t>Select the GOTO START screen and press OK. Then retry</t>
  </si>
  <si>
    <t>Stroke unit [2]</t>
  </si>
  <si>
    <t>Side step unit [1]</t>
  </si>
  <si>
    <t>User interface unit [3]</t>
  </si>
  <si>
    <t>Power unit [4]</t>
  </si>
  <si>
    <t>Stroke set is not homed</t>
  </si>
  <si>
    <t>Stroke set is not in START position</t>
  </si>
  <si>
    <t>ERROR SCREENS</t>
  </si>
  <si>
    <t>Main Menu Error</t>
  </si>
  <si>
    <t>10-34</t>
  </si>
  <si>
    <t>Error list</t>
  </si>
  <si>
    <t>Page up</t>
  </si>
  <si>
    <t>Page down</t>
  </si>
  <si>
    <t>"SIDE ST RATIO     "</t>
  </si>
  <si>
    <t>Parameter SIDE STEP BIG value entered is smaller than SIDE STEP SMALL + 0,05</t>
  </si>
  <si>
    <t>Press OK: SIDE STEP SMALL will be corrected to SIDE STEP BIG - 0.05
Press MENU: Change will be canceled</t>
  </si>
  <si>
    <t>Parameter SIDE STEP SMALL value entered is bigger than SIDE STEP BIG - 0,05</t>
  </si>
  <si>
    <t>Press OK: SIDE STEP BIG will be corrected to SIDE STEP SMALL + 0.05
Press MENU: Change will be canceled</t>
  </si>
  <si>
    <t>Parameter SCRAPE WIDTH value entered is smaller than SCRAPE WIDTH INNER + 0,5</t>
  </si>
  <si>
    <t>Parameter SCRAPE WIDTH INNER value entered is bigger than SCRAPE WIDTH - 0,5</t>
  </si>
  <si>
    <t>Press OK: SCRAPE WIDTH INNER will be corrected to SCRAPE WIDTH - 0.5
Press MENU: Change will be canceled</t>
  </si>
  <si>
    <t>Press OK: SCRAPE WIDTH will be corrected to SCRAPE WIDTH INNER + 0.5
Press MENU: Change will be canceled</t>
  </si>
  <si>
    <t>255;23</t>
  </si>
  <si>
    <t>300;23</t>
  </si>
  <si>
    <t>300;68</t>
  </si>
  <si>
    <t>255;68</t>
  </si>
  <si>
    <t>255;113</t>
  </si>
  <si>
    <t>300;113</t>
  </si>
  <si>
    <t>210;68</t>
  </si>
  <si>
    <t>210;23</t>
  </si>
  <si>
    <t>210;113</t>
  </si>
  <si>
    <t>345;68</t>
  </si>
  <si>
    <t>345;113</t>
  </si>
  <si>
    <t>345;23</t>
  </si>
  <si>
    <t>Motor is turning</t>
  </si>
  <si>
    <t>Motor is not turning or encoder signal is missing</t>
  </si>
  <si>
    <t>Motor is not turning</t>
  </si>
  <si>
    <t>Check encoder connection and disc</t>
  </si>
  <si>
    <t>Check encoder connection and magnet</t>
  </si>
  <si>
    <t>Check motor connection and driver. Check for blocking</t>
  </si>
  <si>
    <t>Motor is turning but encoder signal missing</t>
  </si>
  <si>
    <t>Motor is turning but home sensor signal missing</t>
  </si>
  <si>
    <t>Check home sensor connection and stroke slot</t>
  </si>
  <si>
    <t>Motor is at START position, but home sensor signal is not off</t>
  </si>
  <si>
    <t>Check home sensor connection and flag</t>
  </si>
  <si>
    <t>Motor is turning the wrong direction</t>
  </si>
  <si>
    <t>Check encoder wire and motor wire</t>
  </si>
  <si>
    <t>"SIDE ST REDUCTION"</t>
  </si>
  <si>
    <t>OPTION 1</t>
  </si>
  <si>
    <t>OPTION 2</t>
  </si>
  <si>
    <t>OPTION 3</t>
  </si>
  <si>
    <t>OPTION 4</t>
  </si>
  <si>
    <t>OPTION 5</t>
  </si>
  <si>
    <t>OPTIONS</t>
  </si>
  <si>
    <t>"STROKE REDUCTION "</t>
  </si>
  <si>
    <t>Description line 1</t>
  </si>
  <si>
    <t>Description line 3</t>
  </si>
  <si>
    <t>Description line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</si>
</sst>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sz val="10"/>
      <color theme="1"/>
      <name val="Calibri"/>
      <family val="2"/>
      <scheme val="minor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sz val="14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7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left" vertical="center" wrapText="1" indent="1"/>
    </xf>
    <xf numFmtId="0" fontId="2" fillId="2" borderId="1" xfId="1" applyFont="1" applyFill="1" applyBorder="1" applyAlignment="1">
      <alignment horizontal="left" vertical="center" wrapText="1"/>
    </xf>
    <xf numFmtId="0" fontId="1" fillId="0" borderId="0" xfId="1" applyAlignment="1">
      <alignment wrapText="1"/>
    </xf>
    <xf numFmtId="0" fontId="2" fillId="3" borderId="2" xfId="1" applyFont="1" applyFill="1" applyBorder="1" applyAlignment="1">
      <alignment horizontal="center" vertical="center" wrapText="1"/>
    </xf>
    <xf numFmtId="0" fontId="2" fillId="3" borderId="3" xfId="1" applyFont="1" applyFill="1" applyBorder="1" applyAlignment="1">
      <alignment horizontal="left" vertical="center" wrapText="1" indent="1"/>
    </xf>
    <xf numFmtId="0" fontId="2" fillId="0" borderId="2" xfId="1" applyFont="1" applyBorder="1" applyAlignment="1">
      <alignment horizontal="left" vertical="center" wrapText="1" indent="1"/>
    </xf>
    <xf numFmtId="0" fontId="2" fillId="0" borderId="2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right" vertical="center" wrapText="1" indent="1"/>
    </xf>
    <xf numFmtId="0" fontId="2" fillId="3" borderId="3" xfId="1" applyFont="1" applyFill="1" applyBorder="1" applyAlignment="1">
      <alignment horizontal="right" vertical="center" wrapText="1" indent="1"/>
    </xf>
    <xf numFmtId="0" fontId="1" fillId="0" borderId="0" xfId="1"/>
    <xf numFmtId="0" fontId="2" fillId="3" borderId="3" xfId="1" applyFont="1" applyFill="1" applyBorder="1" applyAlignment="1">
      <alignment horizontal="center" vertical="center" wrapText="1"/>
    </xf>
    <xf numFmtId="0" fontId="2" fillId="0" borderId="3" xfId="1" applyFont="1" applyBorder="1" applyAlignment="1">
      <alignment horizontal="left" vertical="center" wrapText="1" indent="1"/>
    </xf>
    <xf numFmtId="0" fontId="2" fillId="3" borderId="2" xfId="1" applyFont="1" applyFill="1" applyBorder="1" applyAlignment="1">
      <alignment horizontal="left" vertical="center" wrapText="1" indent="1"/>
    </xf>
    <xf numFmtId="0" fontId="2" fillId="3" borderId="3" xfId="1" quotePrefix="1" applyFont="1" applyFill="1" applyBorder="1" applyAlignment="1">
      <alignment horizontal="right" vertical="center" wrapText="1" indent="1"/>
    </xf>
    <xf numFmtId="0" fontId="2" fillId="3" borderId="3" xfId="1" quotePrefix="1" applyFont="1" applyFill="1" applyBorder="1" applyAlignment="1">
      <alignment horizontal="left" vertical="center" wrapText="1" indent="1"/>
    </xf>
    <xf numFmtId="0" fontId="1" fillId="0" borderId="0" xfId="1" applyAlignment="1">
      <alignment horizontal="center"/>
    </xf>
    <xf numFmtId="0" fontId="1" fillId="0" borderId="0" xfId="1" applyAlignment="1">
      <alignment horizontal="left" indent="1"/>
    </xf>
    <xf numFmtId="0" fontId="1" fillId="0" borderId="0" xfId="1" applyAlignment="1">
      <alignment horizontal="right" indent="1"/>
    </xf>
    <xf numFmtId="0" fontId="3" fillId="2" borderId="4" xfId="1" applyFont="1" applyFill="1" applyBorder="1" applyAlignment="1">
      <alignment horizontal="center" vertical="center" wrapText="1"/>
    </xf>
    <xf numFmtId="0" fontId="3" fillId="2" borderId="4" xfId="1" applyFont="1" applyFill="1" applyBorder="1" applyAlignment="1">
      <alignment horizontal="left" vertical="center" wrapText="1" indent="1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3" fillId="0" borderId="0" xfId="1" applyFont="1" applyFill="1" applyAlignment="1">
      <alignment horizontal="center" vertical="center"/>
    </xf>
    <xf numFmtId="0" fontId="3" fillId="0" borderId="0" xfId="1" applyFont="1" applyFill="1" applyAlignment="1">
      <alignment horizontal="left" vertical="center" indent="1"/>
    </xf>
    <xf numFmtId="0" fontId="3" fillId="2" borderId="4" xfId="1" applyFont="1" applyFill="1" applyBorder="1" applyAlignment="1">
      <alignment horizontal="center" vertical="center" textRotation="90" wrapText="1"/>
    </xf>
    <xf numFmtId="0" fontId="3" fillId="0" borderId="0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 wrapText="1"/>
    </xf>
    <xf numFmtId="0" fontId="3" fillId="0" borderId="0" xfId="1" applyFont="1" applyFill="1" applyBorder="1" applyAlignment="1">
      <alignment horizontal="left" vertical="center" wrapText="1" indent="1"/>
    </xf>
    <xf numFmtId="0" fontId="3" fillId="0" borderId="0" xfId="1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0" fillId="0" borderId="5" xfId="0" applyBorder="1"/>
    <xf numFmtId="0" fontId="0" fillId="0" borderId="5" xfId="0" applyFill="1" applyBorder="1"/>
    <xf numFmtId="0" fontId="0" fillId="0" borderId="0" xfId="0" applyFill="1" applyBorder="1"/>
    <xf numFmtId="0" fontId="0" fillId="4" borderId="5" xfId="0" applyFill="1" applyBorder="1"/>
    <xf numFmtId="0" fontId="0" fillId="2" borderId="5" xfId="0" applyFill="1" applyBorder="1"/>
    <xf numFmtId="0" fontId="0" fillId="5" borderId="5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5" xfId="0" quotePrefix="1" applyBorder="1"/>
    <xf numFmtId="0" fontId="4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17" fontId="0" fillId="0" borderId="2" xfId="0" quotePrefix="1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textRotation="90"/>
    </xf>
    <xf numFmtId="0" fontId="5" fillId="0" borderId="1" xfId="0" applyFont="1" applyBorder="1" applyAlignment="1">
      <alignment horizontal="center" vertical="center" textRotation="180"/>
    </xf>
    <xf numFmtId="0" fontId="6" fillId="0" borderId="1" xfId="0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 textRotation="90"/>
    </xf>
    <xf numFmtId="0" fontId="5" fillId="0" borderId="1" xfId="0" applyNumberFormat="1" applyFont="1" applyBorder="1" applyAlignment="1">
      <alignment horizontal="center" vertical="center" textRotation="180"/>
    </xf>
    <xf numFmtId="0" fontId="6" fillId="0" borderId="1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8" xfId="0" applyNumberFormat="1" applyFon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quotePrefix="1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0" fillId="0" borderId="8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center"/>
    </xf>
    <xf numFmtId="0" fontId="7" fillId="6" borderId="6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3" fillId="0" borderId="4" xfId="1" applyFont="1" applyFill="1" applyBorder="1" applyAlignment="1">
      <alignment horizontal="center" vertical="center"/>
    </xf>
    <xf numFmtId="0" fontId="3" fillId="0" borderId="9" xfId="1" applyFont="1" applyFill="1" applyBorder="1" applyAlignment="1">
      <alignment horizontal="center" vertical="center"/>
    </xf>
    <xf numFmtId="0" fontId="3" fillId="0" borderId="10" xfId="1" applyFont="1" applyFill="1" applyBorder="1" applyAlignment="1">
      <alignment horizontal="center" vertical="center"/>
    </xf>
    <xf numFmtId="0" fontId="3" fillId="0" borderId="11" xfId="1" applyFont="1" applyFill="1" applyBorder="1" applyAlignment="1">
      <alignment horizontal="center" vertical="center"/>
    </xf>
    <xf numFmtId="0" fontId="3" fillId="0" borderId="11" xfId="1" applyFont="1" applyFill="1" applyBorder="1" applyAlignment="1">
      <alignment horizontal="center" vertical="center" wrapText="1"/>
    </xf>
    <xf numFmtId="0" fontId="3" fillId="0" borderId="11" xfId="1" applyFont="1" applyFill="1" applyBorder="1" applyAlignment="1">
      <alignment horizontal="left" vertical="center" wrapText="1" indent="1"/>
    </xf>
    <xf numFmtId="0" fontId="3" fillId="0" borderId="3" xfId="1" applyFont="1" applyFill="1" applyBorder="1" applyAlignment="1">
      <alignment horizontal="center" vertical="center"/>
    </xf>
    <xf numFmtId="0" fontId="3" fillId="0" borderId="3" xfId="1" applyFont="1" applyFill="1" applyBorder="1" applyAlignment="1">
      <alignment horizontal="center" vertical="center" wrapText="1"/>
    </xf>
    <xf numFmtId="0" fontId="3" fillId="0" borderId="3" xfId="1" applyFont="1" applyFill="1" applyBorder="1" applyAlignment="1">
      <alignment horizontal="left" vertical="center" wrapText="1" indent="1"/>
    </xf>
    <xf numFmtId="0" fontId="3" fillId="0" borderId="12" xfId="1" applyFont="1" applyFill="1" applyBorder="1" applyAlignment="1">
      <alignment horizontal="center" vertical="center"/>
    </xf>
    <xf numFmtId="0" fontId="3" fillId="0" borderId="12" xfId="1" applyFont="1" applyFill="1" applyBorder="1" applyAlignment="1">
      <alignment horizontal="center" vertical="center" wrapText="1"/>
    </xf>
    <xf numFmtId="0" fontId="3" fillId="0" borderId="12" xfId="1" applyFont="1" applyFill="1" applyBorder="1" applyAlignment="1">
      <alignment horizontal="left" vertical="center" wrapText="1" inden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vertical="center"/>
    </xf>
    <xf numFmtId="0" fontId="5" fillId="0" borderId="1" xfId="0" applyFont="1" applyBorder="1" applyAlignment="1">
      <alignment horizontal="left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left" vertical="center"/>
    </xf>
    <xf numFmtId="0" fontId="7" fillId="6" borderId="5" xfId="0" applyNumberFormat="1" applyFont="1" applyFill="1" applyBorder="1" applyAlignment="1">
      <alignment horizontal="center" vertical="center"/>
    </xf>
    <xf numFmtId="0" fontId="7" fillId="6" borderId="5" xfId="0" applyFont="1" applyFill="1" applyBorder="1" applyAlignment="1">
      <alignment vertical="center"/>
    </xf>
    <xf numFmtId="0" fontId="7" fillId="6" borderId="7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 wrapText="1"/>
    </xf>
    <xf numFmtId="17" fontId="0" fillId="0" borderId="3" xfId="0" quotePrefix="1" applyNumberFormat="1" applyBorder="1" applyAlignment="1">
      <alignment horizontal="center" vertical="center"/>
    </xf>
    <xf numFmtId="0" fontId="0" fillId="0" borderId="0" xfId="0" applyFill="1"/>
    <xf numFmtId="0" fontId="3" fillId="0" borderId="4" xfId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3" fillId="0" borderId="2" xfId="1" applyFont="1" applyFill="1" applyBorder="1" applyAlignment="1">
      <alignment horizontal="left" vertical="center" wrapText="1" indent="1"/>
    </xf>
  </cellXfs>
  <cellStyles count="2">
    <cellStyle name="Normal" xfId="0" builtinId="0"/>
    <cellStyle name="Normal 2" xfId="1" xr:uid="{68C486B5-5D1D-4EC2-9A2C-5BC6C32197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3495675</xdr:colOff>
          <xdr:row>0</xdr:row>
          <xdr:rowOff>104775</xdr:rowOff>
        </xdr:from>
        <xdr:to>
          <xdr:col>9</xdr:col>
          <xdr:colOff>4362450</xdr:colOff>
          <xdr:row>0</xdr:row>
          <xdr:rowOff>581025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1895475</xdr:colOff>
          <xdr:row>0</xdr:row>
          <xdr:rowOff>57150</xdr:rowOff>
        </xdr:from>
        <xdr:to>
          <xdr:col>10</xdr:col>
          <xdr:colOff>2714625</xdr:colOff>
          <xdr:row>0</xdr:row>
          <xdr:rowOff>447675</xdr:rowOff>
        </xdr:to>
        <xdr:sp macro="" textlink="">
          <xdr:nvSpPr>
            <xdr:cNvPr id="3073" name="cmdReadErro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2E6F-6684-4DFC-9580-0CEE9FA01ABC}">
  <sheetPr codeName="Sheet1"/>
  <dimension ref="A1:J257"/>
  <sheetViews>
    <sheetView showGridLines="0" zoomScale="85" zoomScaleNormal="85" workbookViewId="0">
      <pane ySplit="1" topLeftCell="A2" activePane="bottomLeft" state="frozen"/>
      <selection pane="bottomLeft" activeCell="C25" sqref="C25"/>
    </sheetView>
  </sheetViews>
  <sheetFormatPr defaultColWidth="8.25" defaultRowHeight="15" x14ac:dyDescent="0.25"/>
  <cols>
    <col min="1" max="1" width="4.5" style="17" bestFit="1" customWidth="1"/>
    <col min="2" max="2" width="11.875" style="17" hidden="1" customWidth="1"/>
    <col min="3" max="3" width="30.625" style="18" customWidth="1"/>
    <col min="4" max="4" width="15.25" style="18" customWidth="1"/>
    <col min="5" max="5" width="13.25" style="17" customWidth="1"/>
    <col min="6" max="6" width="8.375" style="19" customWidth="1"/>
    <col min="7" max="7" width="11.625" style="19" customWidth="1"/>
    <col min="8" max="8" width="6" style="18" customWidth="1"/>
    <col min="9" max="9" width="8.5" style="18" customWidth="1"/>
    <col min="10" max="10" width="68.5" style="18" customWidth="1"/>
    <col min="11" max="11" width="10.625" style="11" bestFit="1" customWidth="1"/>
    <col min="12" max="16384" width="8.25" style="11"/>
  </cols>
  <sheetData>
    <row r="1" spans="1:10" s="4" customFormat="1" ht="54" customHeight="1" x14ac:dyDescent="0.25">
      <c r="A1" s="1"/>
      <c r="B1" s="1" t="s">
        <v>0</v>
      </c>
      <c r="C1" s="2" t="s">
        <v>1</v>
      </c>
      <c r="D1" s="3"/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</row>
    <row r="2" spans="1:10" x14ac:dyDescent="0.25">
      <c r="A2" s="5">
        <v>0</v>
      </c>
      <c r="B2" s="5" t="s">
        <v>8</v>
      </c>
      <c r="C2" s="6" t="s">
        <v>21</v>
      </c>
      <c r="D2" s="7">
        <v>134395904</v>
      </c>
      <c r="E2" s="8" t="str">
        <f>DEC2HEX(D2,8)</f>
        <v>0802B800</v>
      </c>
      <c r="F2" s="9">
        <v>500</v>
      </c>
      <c r="G2" s="10" t="s">
        <v>22</v>
      </c>
      <c r="H2" s="6">
        <v>50</v>
      </c>
      <c r="I2" s="6">
        <v>500</v>
      </c>
      <c r="J2" s="6" t="s">
        <v>23</v>
      </c>
    </row>
    <row r="3" spans="1:10" x14ac:dyDescent="0.25">
      <c r="A3" s="12">
        <f>A2+1</f>
        <v>1</v>
      </c>
      <c r="B3" s="12"/>
      <c r="C3" s="6" t="s">
        <v>26</v>
      </c>
      <c r="D3" s="13">
        <f>D2+2</f>
        <v>134395906</v>
      </c>
      <c r="E3" s="8" t="str">
        <f>DEC2HEX(D3,8)</f>
        <v>0802B802</v>
      </c>
      <c r="F3" s="9">
        <v>1000</v>
      </c>
      <c r="G3" s="10" t="s">
        <v>24</v>
      </c>
      <c r="H3" s="14">
        <v>0</v>
      </c>
      <c r="I3" s="14">
        <v>5000</v>
      </c>
      <c r="J3" s="6" t="s">
        <v>25</v>
      </c>
    </row>
    <row r="4" spans="1:10" x14ac:dyDescent="0.25">
      <c r="A4" s="12">
        <f t="shared" ref="A4:A67" si="0">A3+1</f>
        <v>2</v>
      </c>
      <c r="B4" s="12"/>
      <c r="C4" s="6" t="s">
        <v>27</v>
      </c>
      <c r="D4" s="13">
        <f t="shared" ref="D4:D67" si="1">D3+2</f>
        <v>134395908</v>
      </c>
      <c r="E4" s="8" t="str">
        <f t="shared" ref="E4:E35" si="2">DEC2HEX(D4,8)</f>
        <v>0802B804</v>
      </c>
      <c r="F4" s="9">
        <v>100</v>
      </c>
      <c r="G4" s="15" t="s">
        <v>29</v>
      </c>
      <c r="H4" s="14">
        <v>0</v>
      </c>
      <c r="I4" s="14">
        <v>1000</v>
      </c>
      <c r="J4" s="6" t="s">
        <v>30</v>
      </c>
    </row>
    <row r="5" spans="1:10" x14ac:dyDescent="0.25">
      <c r="A5" s="12">
        <f t="shared" si="0"/>
        <v>3</v>
      </c>
      <c r="B5" s="12"/>
      <c r="C5" s="6" t="s">
        <v>31</v>
      </c>
      <c r="D5" s="13">
        <f t="shared" si="1"/>
        <v>134395910</v>
      </c>
      <c r="E5" s="8" t="str">
        <f t="shared" si="2"/>
        <v>0802B806</v>
      </c>
      <c r="F5" s="9">
        <v>10</v>
      </c>
      <c r="G5" s="15" t="s">
        <v>28</v>
      </c>
      <c r="H5" s="6">
        <v>0</v>
      </c>
      <c r="I5" s="14">
        <v>65535</v>
      </c>
      <c r="J5" s="6" t="s">
        <v>32</v>
      </c>
    </row>
    <row r="6" spans="1:10" x14ac:dyDescent="0.25">
      <c r="A6" s="12">
        <f t="shared" si="0"/>
        <v>4</v>
      </c>
      <c r="B6" s="12"/>
      <c r="C6" s="6"/>
      <c r="D6" s="13">
        <f t="shared" si="1"/>
        <v>134395912</v>
      </c>
      <c r="E6" s="8" t="str">
        <f t="shared" si="2"/>
        <v>0802B808</v>
      </c>
      <c r="F6" s="9"/>
      <c r="G6" s="10"/>
      <c r="H6" s="6"/>
      <c r="I6" s="14"/>
      <c r="J6" s="6"/>
    </row>
    <row r="7" spans="1:10" x14ac:dyDescent="0.25">
      <c r="A7" s="12">
        <f t="shared" si="0"/>
        <v>5</v>
      </c>
      <c r="B7" s="12" t="s">
        <v>9</v>
      </c>
      <c r="C7" s="6"/>
      <c r="D7" s="13">
        <f t="shared" si="1"/>
        <v>134395914</v>
      </c>
      <c r="E7" s="8" t="str">
        <f t="shared" si="2"/>
        <v>0802B80A</v>
      </c>
      <c r="F7" s="9"/>
      <c r="G7" s="10"/>
      <c r="H7" s="6"/>
      <c r="I7" s="14"/>
      <c r="J7" s="6"/>
    </row>
    <row r="8" spans="1:10" x14ac:dyDescent="0.25">
      <c r="A8" s="12">
        <f t="shared" si="0"/>
        <v>6</v>
      </c>
      <c r="B8" s="12"/>
      <c r="C8" s="6"/>
      <c r="D8" s="13">
        <f t="shared" si="1"/>
        <v>134395916</v>
      </c>
      <c r="E8" s="8" t="str">
        <f t="shared" si="2"/>
        <v>0802B80C</v>
      </c>
      <c r="F8" s="9"/>
      <c r="G8" s="10"/>
      <c r="H8" s="6"/>
      <c r="I8" s="14"/>
      <c r="J8" s="6"/>
    </row>
    <row r="9" spans="1:10" x14ac:dyDescent="0.25">
      <c r="A9" s="12">
        <f t="shared" si="0"/>
        <v>7</v>
      </c>
      <c r="B9" s="12"/>
      <c r="C9" s="6"/>
      <c r="D9" s="13">
        <f t="shared" si="1"/>
        <v>134395918</v>
      </c>
      <c r="E9" s="8" t="str">
        <f t="shared" si="2"/>
        <v>0802B80E</v>
      </c>
      <c r="F9" s="9"/>
      <c r="G9" s="10"/>
      <c r="H9" s="6"/>
      <c r="I9" s="6"/>
      <c r="J9" s="6"/>
    </row>
    <row r="10" spans="1:10" x14ac:dyDescent="0.25">
      <c r="A10" s="12">
        <f t="shared" si="0"/>
        <v>8</v>
      </c>
      <c r="B10" s="12"/>
      <c r="C10" s="6"/>
      <c r="D10" s="13">
        <f t="shared" si="1"/>
        <v>134395920</v>
      </c>
      <c r="E10" s="8" t="str">
        <f t="shared" si="2"/>
        <v>0802B810</v>
      </c>
      <c r="F10" s="9"/>
      <c r="G10" s="10"/>
      <c r="H10" s="6"/>
      <c r="I10" s="6"/>
      <c r="J10" s="6"/>
    </row>
    <row r="11" spans="1:10" x14ac:dyDescent="0.25">
      <c r="A11" s="12">
        <f t="shared" si="0"/>
        <v>9</v>
      </c>
      <c r="B11" s="12"/>
      <c r="C11" s="6"/>
      <c r="D11" s="13">
        <f t="shared" si="1"/>
        <v>134395922</v>
      </c>
      <c r="E11" s="8" t="str">
        <f t="shared" si="2"/>
        <v>0802B812</v>
      </c>
      <c r="F11" s="9"/>
      <c r="G11" s="10"/>
      <c r="H11" s="6"/>
      <c r="I11" s="6"/>
      <c r="J11" s="6"/>
    </row>
    <row r="12" spans="1:10" x14ac:dyDescent="0.25">
      <c r="A12" s="12">
        <f t="shared" si="0"/>
        <v>10</v>
      </c>
      <c r="B12" s="12"/>
      <c r="C12" s="6"/>
      <c r="D12" s="13">
        <f t="shared" si="1"/>
        <v>134395924</v>
      </c>
      <c r="E12" s="8" t="str">
        <f t="shared" si="2"/>
        <v>0802B814</v>
      </c>
      <c r="F12" s="9"/>
      <c r="G12" s="10"/>
      <c r="H12" s="6"/>
      <c r="I12" s="6"/>
      <c r="J12" s="6"/>
    </row>
    <row r="13" spans="1:10" x14ac:dyDescent="0.25">
      <c r="A13" s="12">
        <f t="shared" si="0"/>
        <v>11</v>
      </c>
      <c r="B13" s="12"/>
      <c r="C13" s="6"/>
      <c r="D13" s="13">
        <f t="shared" si="1"/>
        <v>134395926</v>
      </c>
      <c r="E13" s="8" t="str">
        <f t="shared" si="2"/>
        <v>0802B816</v>
      </c>
      <c r="F13" s="9"/>
      <c r="G13" s="15"/>
      <c r="H13" s="6"/>
      <c r="I13" s="6"/>
      <c r="J13" s="6"/>
    </row>
    <row r="14" spans="1:10" x14ac:dyDescent="0.25">
      <c r="A14" s="12">
        <f t="shared" si="0"/>
        <v>12</v>
      </c>
      <c r="B14" s="12"/>
      <c r="C14" s="6"/>
      <c r="D14" s="13">
        <f t="shared" si="1"/>
        <v>134395928</v>
      </c>
      <c r="E14" s="8" t="str">
        <f t="shared" si="2"/>
        <v>0802B818</v>
      </c>
      <c r="F14" s="9"/>
      <c r="G14" s="10"/>
      <c r="H14" s="6"/>
      <c r="I14" s="6"/>
      <c r="J14" s="6"/>
    </row>
    <row r="15" spans="1:10" x14ac:dyDescent="0.25">
      <c r="A15" s="12">
        <f t="shared" si="0"/>
        <v>13</v>
      </c>
      <c r="B15" s="12"/>
      <c r="C15" s="6"/>
      <c r="D15" s="13">
        <f t="shared" si="1"/>
        <v>134395930</v>
      </c>
      <c r="E15" s="8" t="str">
        <f t="shared" si="2"/>
        <v>0802B81A</v>
      </c>
      <c r="F15" s="9"/>
      <c r="G15" s="10"/>
      <c r="H15" s="6"/>
      <c r="I15" s="6"/>
      <c r="J15" s="6"/>
    </row>
    <row r="16" spans="1:10" x14ac:dyDescent="0.25">
      <c r="A16" s="12">
        <f t="shared" si="0"/>
        <v>14</v>
      </c>
      <c r="B16" s="12"/>
      <c r="C16" s="6"/>
      <c r="D16" s="13">
        <f t="shared" si="1"/>
        <v>134395932</v>
      </c>
      <c r="E16" s="8" t="str">
        <f t="shared" si="2"/>
        <v>0802B81C</v>
      </c>
      <c r="F16" s="9"/>
      <c r="G16" s="10"/>
      <c r="H16" s="6"/>
      <c r="I16" s="6"/>
      <c r="J16" s="6"/>
    </row>
    <row r="17" spans="1:10" x14ac:dyDescent="0.25">
      <c r="A17" s="12">
        <f t="shared" si="0"/>
        <v>15</v>
      </c>
      <c r="B17" s="12"/>
      <c r="C17" s="6"/>
      <c r="D17" s="13">
        <f t="shared" si="1"/>
        <v>134395934</v>
      </c>
      <c r="E17" s="8" t="str">
        <f t="shared" si="2"/>
        <v>0802B81E</v>
      </c>
      <c r="F17" s="9"/>
      <c r="G17" s="10"/>
      <c r="H17" s="6"/>
      <c r="I17" s="6"/>
      <c r="J17" s="6"/>
    </row>
    <row r="18" spans="1:10" x14ac:dyDescent="0.25">
      <c r="A18" s="12">
        <f t="shared" si="0"/>
        <v>16</v>
      </c>
      <c r="B18" s="12"/>
      <c r="C18" s="6"/>
      <c r="D18" s="13">
        <f t="shared" si="1"/>
        <v>134395936</v>
      </c>
      <c r="E18" s="8" t="str">
        <f t="shared" si="2"/>
        <v>0802B820</v>
      </c>
      <c r="F18" s="9"/>
      <c r="G18" s="15"/>
      <c r="H18" s="6"/>
      <c r="I18" s="6"/>
      <c r="J18" s="6"/>
    </row>
    <row r="19" spans="1:10" x14ac:dyDescent="0.25">
      <c r="A19" s="12">
        <f t="shared" si="0"/>
        <v>17</v>
      </c>
      <c r="B19" s="12"/>
      <c r="C19" s="6"/>
      <c r="D19" s="13">
        <f t="shared" si="1"/>
        <v>134395938</v>
      </c>
      <c r="E19" s="8" t="str">
        <f t="shared" si="2"/>
        <v>0802B822</v>
      </c>
      <c r="F19" s="9"/>
      <c r="G19" s="15"/>
      <c r="H19" s="6"/>
      <c r="I19" s="6"/>
      <c r="J19" s="6"/>
    </row>
    <row r="20" spans="1:10" x14ac:dyDescent="0.25">
      <c r="A20" s="12">
        <f t="shared" si="0"/>
        <v>18</v>
      </c>
      <c r="B20" s="12" t="s">
        <v>10</v>
      </c>
      <c r="C20" s="6"/>
      <c r="D20" s="13">
        <f t="shared" si="1"/>
        <v>134395940</v>
      </c>
      <c r="E20" s="8" t="str">
        <f t="shared" si="2"/>
        <v>0802B824</v>
      </c>
      <c r="F20" s="9"/>
      <c r="G20" s="10"/>
      <c r="H20" s="6"/>
      <c r="I20" s="6"/>
      <c r="J20" s="6"/>
    </row>
    <row r="21" spans="1:10" x14ac:dyDescent="0.25">
      <c r="A21" s="12">
        <f t="shared" si="0"/>
        <v>19</v>
      </c>
      <c r="B21" s="12" t="s">
        <v>11</v>
      </c>
      <c r="C21" s="6"/>
      <c r="D21" s="13">
        <f t="shared" si="1"/>
        <v>134395942</v>
      </c>
      <c r="E21" s="8" t="str">
        <f t="shared" si="2"/>
        <v>0802B826</v>
      </c>
      <c r="F21" s="9"/>
      <c r="G21" s="10"/>
      <c r="H21" s="6"/>
      <c r="I21" s="6"/>
      <c r="J21" s="6"/>
    </row>
    <row r="22" spans="1:10" x14ac:dyDescent="0.25">
      <c r="A22" s="12">
        <f t="shared" si="0"/>
        <v>20</v>
      </c>
      <c r="B22" s="12" t="s">
        <v>12</v>
      </c>
      <c r="C22" s="6" t="s">
        <v>33</v>
      </c>
      <c r="D22" s="13">
        <f t="shared" si="1"/>
        <v>134395944</v>
      </c>
      <c r="E22" s="8" t="str">
        <f t="shared" si="2"/>
        <v>0802B828</v>
      </c>
      <c r="F22" s="9"/>
      <c r="G22" s="10"/>
      <c r="H22" s="6"/>
      <c r="I22" s="6"/>
      <c r="J22" s="6"/>
    </row>
    <row r="23" spans="1:10" x14ac:dyDescent="0.25">
      <c r="A23" s="12">
        <f t="shared" si="0"/>
        <v>21</v>
      </c>
      <c r="B23" s="12" t="s">
        <v>13</v>
      </c>
      <c r="C23" s="6" t="s">
        <v>34</v>
      </c>
      <c r="D23" s="13">
        <f t="shared" si="1"/>
        <v>134395946</v>
      </c>
      <c r="E23" s="8" t="str">
        <f t="shared" si="2"/>
        <v>0802B82A</v>
      </c>
      <c r="F23" s="9"/>
      <c r="G23" s="10"/>
      <c r="H23" s="6"/>
      <c r="I23" s="6"/>
      <c r="J23" s="6"/>
    </row>
    <row r="24" spans="1:10" x14ac:dyDescent="0.25">
      <c r="A24" s="12">
        <f t="shared" si="0"/>
        <v>22</v>
      </c>
      <c r="B24" s="12" t="s">
        <v>14</v>
      </c>
      <c r="C24" s="6" t="s">
        <v>35</v>
      </c>
      <c r="D24" s="13">
        <f t="shared" si="1"/>
        <v>134395948</v>
      </c>
      <c r="E24" s="8" t="str">
        <f t="shared" si="2"/>
        <v>0802B82C</v>
      </c>
      <c r="F24" s="9"/>
      <c r="G24" s="10"/>
      <c r="H24" s="6"/>
      <c r="I24" s="6"/>
      <c r="J24" s="6"/>
    </row>
    <row r="25" spans="1:10" x14ac:dyDescent="0.25">
      <c r="A25" s="12">
        <f t="shared" si="0"/>
        <v>23</v>
      </c>
      <c r="B25" s="12" t="s">
        <v>15</v>
      </c>
      <c r="C25" s="6"/>
      <c r="D25" s="13">
        <f t="shared" si="1"/>
        <v>134395950</v>
      </c>
      <c r="E25" s="8" t="str">
        <f t="shared" si="2"/>
        <v>0802B82E</v>
      </c>
      <c r="F25" s="9"/>
      <c r="G25" s="10"/>
      <c r="H25" s="6"/>
      <c r="I25" s="6"/>
      <c r="J25" s="6"/>
    </row>
    <row r="26" spans="1:10" x14ac:dyDescent="0.25">
      <c r="A26" s="12">
        <f t="shared" si="0"/>
        <v>24</v>
      </c>
      <c r="B26" s="12"/>
      <c r="C26" s="6"/>
      <c r="D26" s="13">
        <f t="shared" si="1"/>
        <v>134395952</v>
      </c>
      <c r="E26" s="8" t="str">
        <f t="shared" si="2"/>
        <v>0802B830</v>
      </c>
      <c r="F26" s="9"/>
      <c r="G26" s="10"/>
      <c r="H26" s="6"/>
      <c r="I26" s="6"/>
      <c r="J26" s="6"/>
    </row>
    <row r="27" spans="1:10" x14ac:dyDescent="0.25">
      <c r="A27" s="12">
        <f t="shared" si="0"/>
        <v>25</v>
      </c>
      <c r="B27" s="12" t="s">
        <v>16</v>
      </c>
      <c r="C27" s="6"/>
      <c r="D27" s="13">
        <f t="shared" si="1"/>
        <v>134395954</v>
      </c>
      <c r="E27" s="8" t="str">
        <f t="shared" si="2"/>
        <v>0802B832</v>
      </c>
      <c r="F27" s="9"/>
      <c r="G27" s="10"/>
      <c r="H27" s="6"/>
      <c r="I27" s="6"/>
      <c r="J27" s="6"/>
    </row>
    <row r="28" spans="1:10" x14ac:dyDescent="0.25">
      <c r="A28" s="12">
        <f t="shared" si="0"/>
        <v>26</v>
      </c>
      <c r="B28" s="12"/>
      <c r="C28" s="6"/>
      <c r="D28" s="13">
        <f t="shared" si="1"/>
        <v>134395956</v>
      </c>
      <c r="E28" s="8" t="str">
        <f t="shared" si="2"/>
        <v>0802B834</v>
      </c>
      <c r="F28" s="9"/>
      <c r="G28" s="10"/>
      <c r="H28" s="6"/>
      <c r="I28" s="6"/>
      <c r="J28" s="6"/>
    </row>
    <row r="29" spans="1:10" x14ac:dyDescent="0.25">
      <c r="A29" s="12">
        <f t="shared" si="0"/>
        <v>27</v>
      </c>
      <c r="B29" s="12"/>
      <c r="C29" s="6"/>
      <c r="D29" s="13">
        <f t="shared" si="1"/>
        <v>134395958</v>
      </c>
      <c r="E29" s="8" t="str">
        <f t="shared" si="2"/>
        <v>0802B836</v>
      </c>
      <c r="F29" s="9"/>
      <c r="G29" s="10"/>
      <c r="H29" s="6"/>
      <c r="I29" s="6"/>
      <c r="J29" s="6"/>
    </row>
    <row r="30" spans="1:10" x14ac:dyDescent="0.25">
      <c r="A30" s="12">
        <f t="shared" si="0"/>
        <v>28</v>
      </c>
      <c r="B30" s="12" t="s">
        <v>17</v>
      </c>
      <c r="C30" s="6"/>
      <c r="D30" s="13">
        <f t="shared" si="1"/>
        <v>134395960</v>
      </c>
      <c r="E30" s="8" t="str">
        <f t="shared" si="2"/>
        <v>0802B838</v>
      </c>
      <c r="F30" s="9"/>
      <c r="G30" s="10"/>
      <c r="H30" s="6"/>
      <c r="I30" s="6"/>
      <c r="J30" s="6"/>
    </row>
    <row r="31" spans="1:10" x14ac:dyDescent="0.25">
      <c r="A31" s="12">
        <f t="shared" si="0"/>
        <v>29</v>
      </c>
      <c r="B31" s="12" t="s">
        <v>18</v>
      </c>
      <c r="C31" s="6"/>
      <c r="D31" s="13">
        <f t="shared" si="1"/>
        <v>134395962</v>
      </c>
      <c r="E31" s="8" t="str">
        <f t="shared" si="2"/>
        <v>0802B83A</v>
      </c>
      <c r="F31" s="9"/>
      <c r="G31" s="10"/>
      <c r="H31" s="6"/>
      <c r="I31" s="6"/>
      <c r="J31" s="16"/>
    </row>
    <row r="32" spans="1:10" x14ac:dyDescent="0.25">
      <c r="A32" s="12">
        <f t="shared" si="0"/>
        <v>30</v>
      </c>
      <c r="B32" s="12"/>
      <c r="C32" s="6"/>
      <c r="D32" s="13">
        <f t="shared" si="1"/>
        <v>134395964</v>
      </c>
      <c r="E32" s="8" t="str">
        <f t="shared" si="2"/>
        <v>0802B83C</v>
      </c>
      <c r="F32" s="9"/>
      <c r="G32" s="10"/>
      <c r="H32" s="6"/>
      <c r="I32" s="6"/>
      <c r="J32" s="6"/>
    </row>
    <row r="33" spans="1:10" x14ac:dyDescent="0.25">
      <c r="A33" s="12">
        <f t="shared" si="0"/>
        <v>31</v>
      </c>
      <c r="B33" s="12"/>
      <c r="C33" s="6"/>
      <c r="D33" s="13">
        <f t="shared" si="1"/>
        <v>134395966</v>
      </c>
      <c r="E33" s="8" t="str">
        <f t="shared" si="2"/>
        <v>0802B83E</v>
      </c>
      <c r="F33" s="9"/>
      <c r="G33" s="10"/>
      <c r="H33" s="6"/>
      <c r="I33" s="6"/>
      <c r="J33" s="6"/>
    </row>
    <row r="34" spans="1:10" x14ac:dyDescent="0.25">
      <c r="A34" s="12">
        <f t="shared" si="0"/>
        <v>32</v>
      </c>
      <c r="B34" s="6" t="s">
        <v>19</v>
      </c>
      <c r="C34" s="6"/>
      <c r="D34" s="13">
        <f t="shared" si="1"/>
        <v>134395968</v>
      </c>
      <c r="E34" s="8" t="str">
        <f t="shared" si="2"/>
        <v>0802B840</v>
      </c>
      <c r="F34" s="9"/>
      <c r="G34" s="10"/>
      <c r="H34" s="6"/>
      <c r="I34" s="6"/>
      <c r="J34" s="6"/>
    </row>
    <row r="35" spans="1:10" x14ac:dyDescent="0.25">
      <c r="A35" s="12">
        <f t="shared" si="0"/>
        <v>33</v>
      </c>
      <c r="B35" s="6" t="s">
        <v>19</v>
      </c>
      <c r="C35" s="6"/>
      <c r="D35" s="13">
        <f t="shared" si="1"/>
        <v>134395970</v>
      </c>
      <c r="E35" s="8" t="str">
        <f t="shared" si="2"/>
        <v>0802B842</v>
      </c>
      <c r="F35" s="9"/>
      <c r="G35" s="10"/>
      <c r="H35" s="6"/>
      <c r="I35" s="6"/>
      <c r="J35" s="6"/>
    </row>
    <row r="36" spans="1:10" x14ac:dyDescent="0.25">
      <c r="A36" s="12">
        <f t="shared" si="0"/>
        <v>34</v>
      </c>
      <c r="B36" s="12"/>
      <c r="C36" s="6"/>
      <c r="D36" s="13">
        <f t="shared" si="1"/>
        <v>134395972</v>
      </c>
      <c r="E36" s="8" t="str">
        <f>DEC2HEX(D36,8)</f>
        <v>0802B844</v>
      </c>
      <c r="F36" s="9"/>
      <c r="G36" s="10"/>
      <c r="H36" s="6"/>
      <c r="I36" s="6"/>
      <c r="J36" s="6"/>
    </row>
    <row r="37" spans="1:10" x14ac:dyDescent="0.25">
      <c r="A37" s="12">
        <f t="shared" si="0"/>
        <v>35</v>
      </c>
      <c r="B37" s="12"/>
      <c r="C37" s="6"/>
      <c r="D37" s="13">
        <f t="shared" si="1"/>
        <v>134395974</v>
      </c>
      <c r="E37" s="8" t="str">
        <f>DEC2HEX(D37,8)</f>
        <v>0802B846</v>
      </c>
      <c r="F37" s="9"/>
      <c r="G37" s="15"/>
      <c r="H37" s="6"/>
      <c r="I37" s="6"/>
      <c r="J37" s="6"/>
    </row>
    <row r="38" spans="1:10" x14ac:dyDescent="0.25">
      <c r="A38" s="12">
        <f t="shared" si="0"/>
        <v>36</v>
      </c>
      <c r="B38" s="12"/>
      <c r="C38" s="6"/>
      <c r="D38" s="13">
        <f t="shared" si="1"/>
        <v>134395976</v>
      </c>
      <c r="E38" s="8" t="str">
        <f>DEC2HEX(D38,8)</f>
        <v>0802B848</v>
      </c>
      <c r="F38" s="9"/>
      <c r="G38" s="15"/>
      <c r="H38" s="6"/>
      <c r="I38" s="6"/>
      <c r="J38" s="6"/>
    </row>
    <row r="39" spans="1:10" x14ac:dyDescent="0.25">
      <c r="A39" s="12">
        <f t="shared" si="0"/>
        <v>37</v>
      </c>
      <c r="B39" s="12"/>
      <c r="C39" s="6"/>
      <c r="D39" s="13">
        <f t="shared" si="1"/>
        <v>134395978</v>
      </c>
      <c r="E39" s="8" t="str">
        <f>DEC2HEX(D39,8)</f>
        <v>0802B84A</v>
      </c>
      <c r="F39" s="9"/>
      <c r="G39" s="15"/>
      <c r="H39" s="6"/>
      <c r="I39" s="6"/>
      <c r="J39" s="6"/>
    </row>
    <row r="40" spans="1:10" x14ac:dyDescent="0.25">
      <c r="A40" s="12">
        <f t="shared" si="0"/>
        <v>38</v>
      </c>
      <c r="B40" s="12"/>
      <c r="C40" s="6"/>
      <c r="D40" s="13">
        <f t="shared" si="1"/>
        <v>134395980</v>
      </c>
      <c r="E40" s="8" t="str">
        <f t="shared" ref="E40:E103" si="3">DEC2HEX(D40,8)</f>
        <v>0802B84C</v>
      </c>
      <c r="F40" s="9"/>
      <c r="G40" s="15"/>
      <c r="H40" s="6"/>
      <c r="I40" s="6"/>
      <c r="J40" s="6"/>
    </row>
    <row r="41" spans="1:10" x14ac:dyDescent="0.25">
      <c r="A41" s="12">
        <f t="shared" si="0"/>
        <v>39</v>
      </c>
      <c r="B41" s="12"/>
      <c r="C41" s="6"/>
      <c r="D41" s="13">
        <f t="shared" si="1"/>
        <v>134395982</v>
      </c>
      <c r="E41" s="8" t="str">
        <f t="shared" si="3"/>
        <v>0802B84E</v>
      </c>
      <c r="F41" s="9"/>
      <c r="G41" s="15"/>
      <c r="H41" s="6"/>
      <c r="I41" s="6"/>
      <c r="J41" s="6"/>
    </row>
    <row r="42" spans="1:10" x14ac:dyDescent="0.25">
      <c r="A42" s="12">
        <f t="shared" si="0"/>
        <v>40</v>
      </c>
      <c r="B42" s="12"/>
      <c r="C42" s="6"/>
      <c r="D42" s="13">
        <f t="shared" si="1"/>
        <v>134395984</v>
      </c>
      <c r="E42" s="8" t="str">
        <f t="shared" si="3"/>
        <v>0802B850</v>
      </c>
      <c r="F42" s="9"/>
      <c r="G42" s="15"/>
      <c r="H42" s="6"/>
      <c r="I42" s="6"/>
      <c r="J42" s="6"/>
    </row>
    <row r="43" spans="1:10" x14ac:dyDescent="0.25">
      <c r="A43" s="12">
        <f t="shared" si="0"/>
        <v>41</v>
      </c>
      <c r="B43" s="12"/>
      <c r="C43" s="6"/>
      <c r="D43" s="13">
        <f t="shared" si="1"/>
        <v>134395986</v>
      </c>
      <c r="E43" s="8" t="str">
        <f t="shared" si="3"/>
        <v>0802B852</v>
      </c>
      <c r="F43" s="9"/>
      <c r="G43" s="15"/>
      <c r="H43" s="6"/>
      <c r="I43" s="6"/>
      <c r="J43" s="6"/>
    </row>
    <row r="44" spans="1:10" x14ac:dyDescent="0.25">
      <c r="A44" s="12">
        <f t="shared" si="0"/>
        <v>42</v>
      </c>
      <c r="B44" s="12"/>
      <c r="C44" s="6"/>
      <c r="D44" s="13">
        <f t="shared" si="1"/>
        <v>134395988</v>
      </c>
      <c r="E44" s="8" t="str">
        <f t="shared" si="3"/>
        <v>0802B854</v>
      </c>
      <c r="F44" s="9"/>
      <c r="G44" s="15"/>
      <c r="H44" s="6"/>
      <c r="I44" s="6"/>
      <c r="J44" s="6"/>
    </row>
    <row r="45" spans="1:10" x14ac:dyDescent="0.25">
      <c r="A45" s="12">
        <f t="shared" si="0"/>
        <v>43</v>
      </c>
      <c r="B45" s="12"/>
      <c r="C45" s="6"/>
      <c r="D45" s="13">
        <f t="shared" si="1"/>
        <v>134395990</v>
      </c>
      <c r="E45" s="8" t="str">
        <f t="shared" si="3"/>
        <v>0802B856</v>
      </c>
      <c r="F45" s="9"/>
      <c r="G45" s="15"/>
      <c r="H45" s="6"/>
      <c r="I45" s="6"/>
      <c r="J45" s="6"/>
    </row>
    <row r="46" spans="1:10" x14ac:dyDescent="0.25">
      <c r="A46" s="12">
        <f t="shared" si="0"/>
        <v>44</v>
      </c>
      <c r="B46" s="12"/>
      <c r="C46" s="6"/>
      <c r="D46" s="13">
        <f t="shared" si="1"/>
        <v>134395992</v>
      </c>
      <c r="E46" s="8" t="str">
        <f t="shared" si="3"/>
        <v>0802B858</v>
      </c>
      <c r="F46" s="9"/>
      <c r="G46" s="15"/>
      <c r="H46" s="6"/>
      <c r="I46" s="6"/>
      <c r="J46" s="6"/>
    </row>
    <row r="47" spans="1:10" x14ac:dyDescent="0.25">
      <c r="A47" s="12">
        <f t="shared" si="0"/>
        <v>45</v>
      </c>
      <c r="B47" s="12"/>
      <c r="C47" s="6"/>
      <c r="D47" s="13">
        <f t="shared" si="1"/>
        <v>134395994</v>
      </c>
      <c r="E47" s="8" t="str">
        <f t="shared" si="3"/>
        <v>0802B85A</v>
      </c>
      <c r="F47" s="9"/>
      <c r="G47" s="15"/>
      <c r="H47" s="6"/>
      <c r="I47" s="6"/>
      <c r="J47" s="6"/>
    </row>
    <row r="48" spans="1:10" x14ac:dyDescent="0.25">
      <c r="A48" s="12">
        <f t="shared" si="0"/>
        <v>46</v>
      </c>
      <c r="B48" s="12"/>
      <c r="C48" s="6"/>
      <c r="D48" s="13">
        <f t="shared" si="1"/>
        <v>134395996</v>
      </c>
      <c r="E48" s="8" t="str">
        <f t="shared" si="3"/>
        <v>0802B85C</v>
      </c>
      <c r="F48" s="9"/>
      <c r="G48" s="15"/>
      <c r="H48" s="6"/>
      <c r="I48" s="6"/>
      <c r="J48" s="6"/>
    </row>
    <row r="49" spans="1:10" x14ac:dyDescent="0.25">
      <c r="A49" s="12">
        <f t="shared" si="0"/>
        <v>47</v>
      </c>
      <c r="B49" s="12"/>
      <c r="C49" s="6"/>
      <c r="D49" s="13">
        <f t="shared" si="1"/>
        <v>134395998</v>
      </c>
      <c r="E49" s="8" t="str">
        <f t="shared" si="3"/>
        <v>0802B85E</v>
      </c>
      <c r="F49" s="9"/>
      <c r="G49" s="15"/>
      <c r="H49" s="6"/>
      <c r="I49" s="6"/>
      <c r="J49" s="6"/>
    </row>
    <row r="50" spans="1:10" x14ac:dyDescent="0.25">
      <c r="A50" s="12">
        <f t="shared" si="0"/>
        <v>48</v>
      </c>
      <c r="B50" s="12"/>
      <c r="C50" s="6"/>
      <c r="D50" s="13">
        <f t="shared" si="1"/>
        <v>134396000</v>
      </c>
      <c r="E50" s="8" t="str">
        <f t="shared" si="3"/>
        <v>0802B860</v>
      </c>
      <c r="F50" s="9"/>
      <c r="G50" s="15"/>
      <c r="H50" s="6"/>
      <c r="I50" s="6"/>
      <c r="J50" s="6"/>
    </row>
    <row r="51" spans="1:10" x14ac:dyDescent="0.25">
      <c r="A51" s="12">
        <f t="shared" si="0"/>
        <v>49</v>
      </c>
      <c r="B51" s="12"/>
      <c r="C51" s="6"/>
      <c r="D51" s="13">
        <f t="shared" si="1"/>
        <v>134396002</v>
      </c>
      <c r="E51" s="8" t="str">
        <f t="shared" si="3"/>
        <v>0802B862</v>
      </c>
      <c r="F51" s="9"/>
      <c r="G51" s="15"/>
      <c r="H51" s="6"/>
      <c r="I51" s="6"/>
      <c r="J51" s="6"/>
    </row>
    <row r="52" spans="1:10" x14ac:dyDescent="0.25">
      <c r="A52" s="12">
        <f t="shared" si="0"/>
        <v>50</v>
      </c>
      <c r="B52" s="12"/>
      <c r="C52" s="6"/>
      <c r="D52" s="13">
        <f t="shared" si="1"/>
        <v>134396004</v>
      </c>
      <c r="E52" s="8" t="str">
        <f t="shared" si="3"/>
        <v>0802B864</v>
      </c>
      <c r="F52" s="9"/>
      <c r="G52" s="15"/>
      <c r="H52" s="6"/>
      <c r="I52" s="6"/>
      <c r="J52" s="6"/>
    </row>
    <row r="53" spans="1:10" x14ac:dyDescent="0.25">
      <c r="A53" s="12">
        <f t="shared" si="0"/>
        <v>51</v>
      </c>
      <c r="B53" s="12"/>
      <c r="C53" s="6"/>
      <c r="D53" s="13">
        <f t="shared" si="1"/>
        <v>134396006</v>
      </c>
      <c r="E53" s="8" t="str">
        <f t="shared" si="3"/>
        <v>0802B866</v>
      </c>
      <c r="F53" s="9"/>
      <c r="G53" s="15"/>
      <c r="H53" s="6"/>
      <c r="I53" s="6"/>
      <c r="J53" s="6"/>
    </row>
    <row r="54" spans="1:10" x14ac:dyDescent="0.25">
      <c r="A54" s="12">
        <f t="shared" si="0"/>
        <v>52</v>
      </c>
      <c r="B54" s="12"/>
      <c r="C54" s="6"/>
      <c r="D54" s="13">
        <f t="shared" si="1"/>
        <v>134396008</v>
      </c>
      <c r="E54" s="8" t="str">
        <f t="shared" si="3"/>
        <v>0802B868</v>
      </c>
      <c r="F54" s="9"/>
      <c r="G54" s="15"/>
      <c r="H54" s="6"/>
      <c r="I54" s="6"/>
      <c r="J54" s="6"/>
    </row>
    <row r="55" spans="1:10" x14ac:dyDescent="0.25">
      <c r="A55" s="12">
        <f t="shared" si="0"/>
        <v>53</v>
      </c>
      <c r="B55" s="12"/>
      <c r="C55" s="6"/>
      <c r="D55" s="13">
        <f t="shared" si="1"/>
        <v>134396010</v>
      </c>
      <c r="E55" s="8" t="str">
        <f t="shared" si="3"/>
        <v>0802B86A</v>
      </c>
      <c r="F55" s="9"/>
      <c r="G55" s="15"/>
      <c r="H55" s="6"/>
      <c r="I55" s="6"/>
      <c r="J55" s="6"/>
    </row>
    <row r="56" spans="1:10" x14ac:dyDescent="0.25">
      <c r="A56" s="12">
        <f t="shared" si="0"/>
        <v>54</v>
      </c>
      <c r="B56" s="12"/>
      <c r="C56" s="6"/>
      <c r="D56" s="13">
        <f t="shared" si="1"/>
        <v>134396012</v>
      </c>
      <c r="E56" s="8" t="str">
        <f t="shared" si="3"/>
        <v>0802B86C</v>
      </c>
      <c r="F56" s="9"/>
      <c r="G56" s="15"/>
      <c r="H56" s="6"/>
      <c r="I56" s="6"/>
      <c r="J56" s="6"/>
    </row>
    <row r="57" spans="1:10" x14ac:dyDescent="0.25">
      <c r="A57" s="12">
        <f t="shared" si="0"/>
        <v>55</v>
      </c>
      <c r="B57" s="12"/>
      <c r="C57" s="6"/>
      <c r="D57" s="13">
        <f t="shared" si="1"/>
        <v>134396014</v>
      </c>
      <c r="E57" s="8" t="str">
        <f t="shared" si="3"/>
        <v>0802B86E</v>
      </c>
      <c r="F57" s="9"/>
      <c r="G57" s="15"/>
      <c r="H57" s="6"/>
      <c r="I57" s="6"/>
      <c r="J57" s="6"/>
    </row>
    <row r="58" spans="1:10" x14ac:dyDescent="0.25">
      <c r="A58" s="12">
        <f t="shared" si="0"/>
        <v>56</v>
      </c>
      <c r="B58" s="12"/>
      <c r="C58" s="6"/>
      <c r="D58" s="13">
        <f t="shared" si="1"/>
        <v>134396016</v>
      </c>
      <c r="E58" s="8" t="str">
        <f t="shared" si="3"/>
        <v>0802B870</v>
      </c>
      <c r="F58" s="9"/>
      <c r="G58" s="15"/>
      <c r="H58" s="6"/>
      <c r="I58" s="6"/>
      <c r="J58" s="6"/>
    </row>
    <row r="59" spans="1:10" x14ac:dyDescent="0.25">
      <c r="A59" s="12">
        <f t="shared" si="0"/>
        <v>57</v>
      </c>
      <c r="B59" s="12"/>
      <c r="C59" s="6"/>
      <c r="D59" s="13">
        <f t="shared" si="1"/>
        <v>134396018</v>
      </c>
      <c r="E59" s="8" t="str">
        <f t="shared" si="3"/>
        <v>0802B872</v>
      </c>
      <c r="F59" s="9"/>
      <c r="G59" s="15"/>
      <c r="H59" s="6"/>
      <c r="I59" s="6"/>
      <c r="J59" s="6"/>
    </row>
    <row r="60" spans="1:10" x14ac:dyDescent="0.25">
      <c r="A60" s="12">
        <f t="shared" si="0"/>
        <v>58</v>
      </c>
      <c r="B60" s="12"/>
      <c r="C60" s="6"/>
      <c r="D60" s="13">
        <f t="shared" si="1"/>
        <v>134396020</v>
      </c>
      <c r="E60" s="8" t="str">
        <f t="shared" si="3"/>
        <v>0802B874</v>
      </c>
      <c r="F60" s="9"/>
      <c r="G60" s="15"/>
      <c r="H60" s="6"/>
      <c r="I60" s="6"/>
      <c r="J60" s="6"/>
    </row>
    <row r="61" spans="1:10" x14ac:dyDescent="0.25">
      <c r="A61" s="12">
        <f t="shared" si="0"/>
        <v>59</v>
      </c>
      <c r="B61" s="12"/>
      <c r="C61" s="6"/>
      <c r="D61" s="13">
        <f t="shared" si="1"/>
        <v>134396022</v>
      </c>
      <c r="E61" s="8" t="str">
        <f t="shared" si="3"/>
        <v>0802B876</v>
      </c>
      <c r="F61" s="9"/>
      <c r="G61" s="15"/>
      <c r="H61" s="6"/>
      <c r="I61" s="6"/>
      <c r="J61" s="6"/>
    </row>
    <row r="62" spans="1:10" x14ac:dyDescent="0.25">
      <c r="A62" s="12">
        <f t="shared" si="0"/>
        <v>60</v>
      </c>
      <c r="B62" s="12"/>
      <c r="C62" s="6"/>
      <c r="D62" s="13">
        <f t="shared" si="1"/>
        <v>134396024</v>
      </c>
      <c r="E62" s="8" t="str">
        <f t="shared" si="3"/>
        <v>0802B878</v>
      </c>
      <c r="F62" s="9"/>
      <c r="G62" s="15"/>
      <c r="H62" s="6"/>
      <c r="I62" s="6"/>
      <c r="J62" s="6"/>
    </row>
    <row r="63" spans="1:10" x14ac:dyDescent="0.25">
      <c r="A63" s="12">
        <f t="shared" si="0"/>
        <v>61</v>
      </c>
      <c r="B63" s="12"/>
      <c r="C63" s="6"/>
      <c r="D63" s="13">
        <f t="shared" si="1"/>
        <v>134396026</v>
      </c>
      <c r="E63" s="8" t="str">
        <f t="shared" si="3"/>
        <v>0802B87A</v>
      </c>
      <c r="F63" s="9"/>
      <c r="G63" s="15"/>
      <c r="H63" s="6"/>
      <c r="I63" s="6"/>
      <c r="J63" s="6"/>
    </row>
    <row r="64" spans="1:10" x14ac:dyDescent="0.25">
      <c r="A64" s="12">
        <f t="shared" si="0"/>
        <v>62</v>
      </c>
      <c r="B64" s="12"/>
      <c r="C64" s="6"/>
      <c r="D64" s="13">
        <f t="shared" si="1"/>
        <v>134396028</v>
      </c>
      <c r="E64" s="8" t="str">
        <f t="shared" si="3"/>
        <v>0802B87C</v>
      </c>
      <c r="F64" s="9"/>
      <c r="G64" s="15"/>
      <c r="H64" s="6"/>
      <c r="I64" s="6"/>
      <c r="J64" s="6"/>
    </row>
    <row r="65" spans="1:10" x14ac:dyDescent="0.25">
      <c r="A65" s="12">
        <f t="shared" si="0"/>
        <v>63</v>
      </c>
      <c r="B65" s="12"/>
      <c r="C65" s="6"/>
      <c r="D65" s="13">
        <f t="shared" si="1"/>
        <v>134396030</v>
      </c>
      <c r="E65" s="8" t="str">
        <f t="shared" si="3"/>
        <v>0802B87E</v>
      </c>
      <c r="F65" s="9"/>
      <c r="G65" s="15"/>
      <c r="H65" s="6"/>
      <c r="I65" s="6"/>
      <c r="J65" s="6"/>
    </row>
    <row r="66" spans="1:10" x14ac:dyDescent="0.25">
      <c r="A66" s="12">
        <f t="shared" si="0"/>
        <v>64</v>
      </c>
      <c r="B66" s="12"/>
      <c r="C66" s="6"/>
      <c r="D66" s="13">
        <f t="shared" si="1"/>
        <v>134396032</v>
      </c>
      <c r="E66" s="8" t="str">
        <f t="shared" si="3"/>
        <v>0802B880</v>
      </c>
      <c r="F66" s="9"/>
      <c r="G66" s="15"/>
      <c r="H66" s="6"/>
      <c r="I66" s="6"/>
      <c r="J66" s="6"/>
    </row>
    <row r="67" spans="1:10" x14ac:dyDescent="0.25">
      <c r="A67" s="12">
        <f t="shared" si="0"/>
        <v>65</v>
      </c>
      <c r="B67" s="12"/>
      <c r="C67" s="6"/>
      <c r="D67" s="13">
        <f t="shared" si="1"/>
        <v>134396034</v>
      </c>
      <c r="E67" s="8" t="str">
        <f t="shared" si="3"/>
        <v>0802B882</v>
      </c>
      <c r="F67" s="9"/>
      <c r="G67" s="15"/>
      <c r="H67" s="6"/>
      <c r="I67" s="6"/>
      <c r="J67" s="6"/>
    </row>
    <row r="68" spans="1:10" x14ac:dyDescent="0.25">
      <c r="A68" s="12">
        <f t="shared" ref="A68:A131" si="4">A67+1</f>
        <v>66</v>
      </c>
      <c r="B68" s="12"/>
      <c r="C68" s="6"/>
      <c r="D68" s="13">
        <f t="shared" ref="D68:D131" si="5">D67+2</f>
        <v>134396036</v>
      </c>
      <c r="E68" s="8" t="str">
        <f t="shared" si="3"/>
        <v>0802B884</v>
      </c>
      <c r="F68" s="9"/>
      <c r="G68" s="15"/>
      <c r="H68" s="6"/>
      <c r="I68" s="6"/>
      <c r="J68" s="6"/>
    </row>
    <row r="69" spans="1:10" x14ac:dyDescent="0.25">
      <c r="A69" s="12">
        <f t="shared" si="4"/>
        <v>67</v>
      </c>
      <c r="B69" s="12"/>
      <c r="C69" s="6"/>
      <c r="D69" s="13">
        <f t="shared" si="5"/>
        <v>134396038</v>
      </c>
      <c r="E69" s="8" t="str">
        <f t="shared" si="3"/>
        <v>0802B886</v>
      </c>
      <c r="F69" s="9"/>
      <c r="G69" s="15"/>
      <c r="H69" s="6"/>
      <c r="I69" s="6"/>
      <c r="J69" s="6"/>
    </row>
    <row r="70" spans="1:10" x14ac:dyDescent="0.25">
      <c r="A70" s="12">
        <f t="shared" si="4"/>
        <v>68</v>
      </c>
      <c r="B70" s="12"/>
      <c r="C70" s="6"/>
      <c r="D70" s="13">
        <f t="shared" si="5"/>
        <v>134396040</v>
      </c>
      <c r="E70" s="8" t="str">
        <f t="shared" si="3"/>
        <v>0802B888</v>
      </c>
      <c r="F70" s="9"/>
      <c r="G70" s="15"/>
      <c r="H70" s="6"/>
      <c r="I70" s="6"/>
      <c r="J70" s="6"/>
    </row>
    <row r="71" spans="1:10" x14ac:dyDescent="0.25">
      <c r="A71" s="12">
        <f t="shared" si="4"/>
        <v>69</v>
      </c>
      <c r="B71" s="12"/>
      <c r="C71" s="6"/>
      <c r="D71" s="13">
        <f t="shared" si="5"/>
        <v>134396042</v>
      </c>
      <c r="E71" s="8" t="str">
        <f t="shared" si="3"/>
        <v>0802B88A</v>
      </c>
      <c r="F71" s="9"/>
      <c r="G71" s="15"/>
      <c r="H71" s="6"/>
      <c r="I71" s="6"/>
      <c r="J71" s="6"/>
    </row>
    <row r="72" spans="1:10" x14ac:dyDescent="0.25">
      <c r="A72" s="12">
        <f t="shared" si="4"/>
        <v>70</v>
      </c>
      <c r="B72" s="12"/>
      <c r="C72" s="6"/>
      <c r="D72" s="13">
        <f t="shared" si="5"/>
        <v>134396044</v>
      </c>
      <c r="E72" s="8" t="str">
        <f t="shared" si="3"/>
        <v>0802B88C</v>
      </c>
      <c r="F72" s="9"/>
      <c r="G72" s="15"/>
      <c r="H72" s="6"/>
      <c r="I72" s="6"/>
      <c r="J72" s="6"/>
    </row>
    <row r="73" spans="1:10" x14ac:dyDescent="0.25">
      <c r="A73" s="12">
        <f t="shared" si="4"/>
        <v>71</v>
      </c>
      <c r="B73" s="12"/>
      <c r="C73" s="6"/>
      <c r="D73" s="13">
        <f t="shared" si="5"/>
        <v>134396046</v>
      </c>
      <c r="E73" s="8" t="str">
        <f t="shared" si="3"/>
        <v>0802B88E</v>
      </c>
      <c r="F73" s="9"/>
      <c r="G73" s="15"/>
      <c r="H73" s="6"/>
      <c r="I73" s="6"/>
      <c r="J73" s="6"/>
    </row>
    <row r="74" spans="1:10" x14ac:dyDescent="0.25">
      <c r="A74" s="12">
        <f t="shared" si="4"/>
        <v>72</v>
      </c>
      <c r="B74" s="12"/>
      <c r="C74" s="6"/>
      <c r="D74" s="13">
        <f t="shared" si="5"/>
        <v>134396048</v>
      </c>
      <c r="E74" s="8" t="str">
        <f t="shared" si="3"/>
        <v>0802B890</v>
      </c>
      <c r="F74" s="9"/>
      <c r="G74" s="15"/>
      <c r="H74" s="6"/>
      <c r="I74" s="6"/>
      <c r="J74" s="6"/>
    </row>
    <row r="75" spans="1:10" x14ac:dyDescent="0.25">
      <c r="A75" s="12">
        <f t="shared" si="4"/>
        <v>73</v>
      </c>
      <c r="B75" s="12"/>
      <c r="C75" s="6"/>
      <c r="D75" s="13">
        <f t="shared" si="5"/>
        <v>134396050</v>
      </c>
      <c r="E75" s="8" t="str">
        <f t="shared" si="3"/>
        <v>0802B892</v>
      </c>
      <c r="F75" s="9"/>
      <c r="G75" s="15"/>
      <c r="H75" s="6"/>
      <c r="I75" s="6"/>
      <c r="J75" s="6"/>
    </row>
    <row r="76" spans="1:10" x14ac:dyDescent="0.25">
      <c r="A76" s="12">
        <f t="shared" si="4"/>
        <v>74</v>
      </c>
      <c r="B76" s="12"/>
      <c r="C76" s="6"/>
      <c r="D76" s="13">
        <f t="shared" si="5"/>
        <v>134396052</v>
      </c>
      <c r="E76" s="8" t="str">
        <f t="shared" si="3"/>
        <v>0802B894</v>
      </c>
      <c r="F76" s="9"/>
      <c r="G76" s="15"/>
      <c r="H76" s="6"/>
      <c r="I76" s="6"/>
      <c r="J76" s="6"/>
    </row>
    <row r="77" spans="1:10" x14ac:dyDescent="0.25">
      <c r="A77" s="12">
        <f t="shared" si="4"/>
        <v>75</v>
      </c>
      <c r="B77" s="12"/>
      <c r="C77" s="6"/>
      <c r="D77" s="13">
        <f t="shared" si="5"/>
        <v>134396054</v>
      </c>
      <c r="E77" s="8" t="str">
        <f t="shared" si="3"/>
        <v>0802B896</v>
      </c>
      <c r="F77" s="9"/>
      <c r="G77" s="10"/>
      <c r="H77" s="6"/>
      <c r="I77" s="6"/>
      <c r="J77" s="6"/>
    </row>
    <row r="78" spans="1:10" x14ac:dyDescent="0.25">
      <c r="A78" s="12">
        <f t="shared" si="4"/>
        <v>76</v>
      </c>
      <c r="B78" s="12"/>
      <c r="C78" s="6"/>
      <c r="D78" s="13">
        <f t="shared" si="5"/>
        <v>134396056</v>
      </c>
      <c r="E78" s="8" t="str">
        <f t="shared" si="3"/>
        <v>0802B898</v>
      </c>
      <c r="F78" s="9"/>
      <c r="G78" s="10"/>
      <c r="H78" s="6"/>
      <c r="I78" s="6"/>
      <c r="J78" s="6"/>
    </row>
    <row r="79" spans="1:10" x14ac:dyDescent="0.25">
      <c r="A79" s="12">
        <f t="shared" si="4"/>
        <v>77</v>
      </c>
      <c r="B79" s="12" t="s">
        <v>20</v>
      </c>
      <c r="C79" s="6"/>
      <c r="D79" s="13">
        <f t="shared" si="5"/>
        <v>134396058</v>
      </c>
      <c r="E79" s="8" t="str">
        <f t="shared" si="3"/>
        <v>0802B89A</v>
      </c>
      <c r="F79" s="9"/>
      <c r="G79" s="10"/>
      <c r="H79" s="6"/>
      <c r="I79" s="6"/>
      <c r="J79" s="6"/>
    </row>
    <row r="80" spans="1:10" x14ac:dyDescent="0.25">
      <c r="A80" s="12">
        <f t="shared" si="4"/>
        <v>78</v>
      </c>
      <c r="B80" s="12"/>
      <c r="C80" s="6"/>
      <c r="D80" s="13">
        <f t="shared" si="5"/>
        <v>134396060</v>
      </c>
      <c r="E80" s="8" t="str">
        <f t="shared" si="3"/>
        <v>0802B89C</v>
      </c>
      <c r="F80" s="9"/>
      <c r="G80" s="10"/>
      <c r="H80" s="6"/>
      <c r="I80" s="6"/>
      <c r="J80" s="6"/>
    </row>
    <row r="81" spans="1:10" x14ac:dyDescent="0.25">
      <c r="A81" s="12">
        <f t="shared" si="4"/>
        <v>79</v>
      </c>
      <c r="B81" s="12"/>
      <c r="C81" s="6"/>
      <c r="D81" s="13">
        <f t="shared" si="5"/>
        <v>134396062</v>
      </c>
      <c r="E81" s="8" t="str">
        <f t="shared" si="3"/>
        <v>0802B89E</v>
      </c>
      <c r="F81" s="9"/>
      <c r="G81" s="10"/>
      <c r="H81" s="6"/>
      <c r="I81" s="6"/>
      <c r="J81" s="6"/>
    </row>
    <row r="82" spans="1:10" x14ac:dyDescent="0.25">
      <c r="A82" s="12">
        <f t="shared" si="4"/>
        <v>80</v>
      </c>
      <c r="B82" s="12"/>
      <c r="C82" s="6"/>
      <c r="D82" s="13">
        <f t="shared" si="5"/>
        <v>134396064</v>
      </c>
      <c r="E82" s="8" t="str">
        <f t="shared" si="3"/>
        <v>0802B8A0</v>
      </c>
      <c r="F82" s="9"/>
      <c r="G82" s="15"/>
      <c r="H82" s="6"/>
      <c r="I82" s="6"/>
      <c r="J82" s="6"/>
    </row>
    <row r="83" spans="1:10" x14ac:dyDescent="0.25">
      <c r="A83" s="12">
        <f t="shared" si="4"/>
        <v>81</v>
      </c>
      <c r="B83" s="12"/>
      <c r="C83" s="6"/>
      <c r="D83" s="13">
        <f t="shared" si="5"/>
        <v>134396066</v>
      </c>
      <c r="E83" s="8" t="str">
        <f t="shared" si="3"/>
        <v>0802B8A2</v>
      </c>
      <c r="F83" s="9"/>
      <c r="G83" s="10"/>
      <c r="H83" s="6"/>
      <c r="I83" s="6"/>
      <c r="J83" s="6"/>
    </row>
    <row r="84" spans="1:10" x14ac:dyDescent="0.25">
      <c r="A84" s="12">
        <f t="shared" si="4"/>
        <v>82</v>
      </c>
      <c r="B84" s="12"/>
      <c r="C84" s="6"/>
      <c r="D84" s="13">
        <f t="shared" si="5"/>
        <v>134396068</v>
      </c>
      <c r="E84" s="8" t="str">
        <f t="shared" si="3"/>
        <v>0802B8A4</v>
      </c>
      <c r="F84" s="9"/>
      <c r="G84" s="15"/>
      <c r="H84" s="6"/>
      <c r="I84" s="6"/>
      <c r="J84" s="6"/>
    </row>
    <row r="85" spans="1:10" x14ac:dyDescent="0.25">
      <c r="A85" s="12">
        <f t="shared" si="4"/>
        <v>83</v>
      </c>
      <c r="B85" s="12"/>
      <c r="C85" s="6"/>
      <c r="D85" s="13">
        <f t="shared" si="5"/>
        <v>134396070</v>
      </c>
      <c r="E85" s="8" t="str">
        <f t="shared" si="3"/>
        <v>0802B8A6</v>
      </c>
      <c r="F85" s="9"/>
      <c r="G85" s="15"/>
      <c r="H85" s="6"/>
      <c r="I85" s="6"/>
      <c r="J85" s="6"/>
    </row>
    <row r="86" spans="1:10" x14ac:dyDescent="0.25">
      <c r="A86" s="12">
        <f t="shared" si="4"/>
        <v>84</v>
      </c>
      <c r="B86" s="12"/>
      <c r="C86" s="6"/>
      <c r="D86" s="13">
        <f t="shared" si="5"/>
        <v>134396072</v>
      </c>
      <c r="E86" s="8" t="str">
        <f t="shared" si="3"/>
        <v>0802B8A8</v>
      </c>
      <c r="F86" s="9"/>
      <c r="G86" s="15"/>
      <c r="H86" s="6"/>
      <c r="I86" s="6"/>
      <c r="J86" s="6"/>
    </row>
    <row r="87" spans="1:10" x14ac:dyDescent="0.25">
      <c r="A87" s="12">
        <f t="shared" si="4"/>
        <v>85</v>
      </c>
      <c r="B87" s="12"/>
      <c r="C87" s="6"/>
      <c r="D87" s="13">
        <f t="shared" si="5"/>
        <v>134396074</v>
      </c>
      <c r="E87" s="8" t="str">
        <f t="shared" si="3"/>
        <v>0802B8AA</v>
      </c>
      <c r="F87" s="9"/>
      <c r="G87" s="15"/>
      <c r="H87" s="6"/>
      <c r="I87" s="6"/>
      <c r="J87" s="6"/>
    </row>
    <row r="88" spans="1:10" x14ac:dyDescent="0.25">
      <c r="A88" s="12">
        <f t="shared" si="4"/>
        <v>86</v>
      </c>
      <c r="B88" s="12"/>
      <c r="C88" s="6"/>
      <c r="D88" s="13">
        <f t="shared" si="5"/>
        <v>134396076</v>
      </c>
      <c r="E88" s="8" t="str">
        <f t="shared" si="3"/>
        <v>0802B8AC</v>
      </c>
      <c r="F88" s="9"/>
      <c r="G88" s="10"/>
      <c r="H88" s="6"/>
      <c r="I88" s="6"/>
      <c r="J88" s="6"/>
    </row>
    <row r="89" spans="1:10" x14ac:dyDescent="0.25">
      <c r="A89" s="12">
        <f t="shared" si="4"/>
        <v>87</v>
      </c>
      <c r="B89" s="12"/>
      <c r="C89" s="6"/>
      <c r="D89" s="13">
        <f t="shared" si="5"/>
        <v>134396078</v>
      </c>
      <c r="E89" s="8" t="str">
        <f t="shared" si="3"/>
        <v>0802B8AE</v>
      </c>
      <c r="F89" s="9"/>
      <c r="G89" s="15"/>
      <c r="H89" s="6"/>
      <c r="I89" s="6"/>
      <c r="J89" s="6"/>
    </row>
    <row r="90" spans="1:10" x14ac:dyDescent="0.25">
      <c r="A90" s="12">
        <f t="shared" si="4"/>
        <v>88</v>
      </c>
      <c r="B90" s="12"/>
      <c r="C90" s="6"/>
      <c r="D90" s="13">
        <f t="shared" si="5"/>
        <v>134396080</v>
      </c>
      <c r="E90" s="8" t="str">
        <f t="shared" si="3"/>
        <v>0802B8B0</v>
      </c>
      <c r="F90" s="9"/>
      <c r="G90" s="15"/>
      <c r="H90" s="6"/>
      <c r="I90" s="6"/>
      <c r="J90" s="6"/>
    </row>
    <row r="91" spans="1:10" x14ac:dyDescent="0.25">
      <c r="A91" s="12">
        <f t="shared" si="4"/>
        <v>89</v>
      </c>
      <c r="B91" s="12"/>
      <c r="C91" s="6"/>
      <c r="D91" s="13">
        <f t="shared" si="5"/>
        <v>134396082</v>
      </c>
      <c r="E91" s="8" t="str">
        <f t="shared" si="3"/>
        <v>0802B8B2</v>
      </c>
      <c r="F91" s="9"/>
      <c r="G91" s="10"/>
      <c r="H91" s="6"/>
      <c r="I91" s="6"/>
      <c r="J91" s="6"/>
    </row>
    <row r="92" spans="1:10" x14ac:dyDescent="0.25">
      <c r="A92" s="12">
        <f t="shared" si="4"/>
        <v>90</v>
      </c>
      <c r="B92" s="12"/>
      <c r="C92" s="6"/>
      <c r="D92" s="13">
        <f t="shared" si="5"/>
        <v>134396084</v>
      </c>
      <c r="E92" s="8" t="str">
        <f t="shared" si="3"/>
        <v>0802B8B4</v>
      </c>
      <c r="F92" s="9"/>
      <c r="G92" s="15"/>
      <c r="H92" s="6"/>
      <c r="I92" s="6"/>
      <c r="J92" s="6"/>
    </row>
    <row r="93" spans="1:10" x14ac:dyDescent="0.25">
      <c r="A93" s="12">
        <f t="shared" si="4"/>
        <v>91</v>
      </c>
      <c r="B93" s="12"/>
      <c r="C93" s="6"/>
      <c r="D93" s="13">
        <f t="shared" si="5"/>
        <v>134396086</v>
      </c>
      <c r="E93" s="8" t="str">
        <f t="shared" si="3"/>
        <v>0802B8B6</v>
      </c>
      <c r="F93" s="9"/>
      <c r="G93" s="15"/>
      <c r="H93" s="6"/>
      <c r="I93" s="6"/>
      <c r="J93" s="6"/>
    </row>
    <row r="94" spans="1:10" x14ac:dyDescent="0.25">
      <c r="A94" s="12">
        <f t="shared" si="4"/>
        <v>92</v>
      </c>
      <c r="B94" s="12"/>
      <c r="C94" s="6"/>
      <c r="D94" s="13">
        <f t="shared" si="5"/>
        <v>134396088</v>
      </c>
      <c r="E94" s="8" t="str">
        <f t="shared" si="3"/>
        <v>0802B8B8</v>
      </c>
      <c r="F94" s="9"/>
      <c r="G94" s="15"/>
      <c r="H94" s="6"/>
      <c r="I94" s="6"/>
      <c r="J94" s="6"/>
    </row>
    <row r="95" spans="1:10" x14ac:dyDescent="0.25">
      <c r="A95" s="12">
        <f t="shared" si="4"/>
        <v>93</v>
      </c>
      <c r="B95" s="12"/>
      <c r="C95" s="6"/>
      <c r="D95" s="13">
        <f t="shared" si="5"/>
        <v>134396090</v>
      </c>
      <c r="E95" s="8" t="str">
        <f t="shared" si="3"/>
        <v>0802B8BA</v>
      </c>
      <c r="F95" s="9"/>
      <c r="G95" s="10"/>
      <c r="H95" s="6"/>
      <c r="I95" s="6"/>
      <c r="J95" s="6"/>
    </row>
    <row r="96" spans="1:10" x14ac:dyDescent="0.25">
      <c r="A96" s="12">
        <f t="shared" si="4"/>
        <v>94</v>
      </c>
      <c r="B96" s="12"/>
      <c r="C96" s="6"/>
      <c r="D96" s="13">
        <f t="shared" si="5"/>
        <v>134396092</v>
      </c>
      <c r="E96" s="8" t="str">
        <f t="shared" si="3"/>
        <v>0802B8BC</v>
      </c>
      <c r="F96" s="9"/>
      <c r="G96" s="10"/>
      <c r="H96" s="6"/>
      <c r="I96" s="6"/>
      <c r="J96" s="6"/>
    </row>
    <row r="97" spans="1:10" x14ac:dyDescent="0.25">
      <c r="A97" s="12">
        <f t="shared" si="4"/>
        <v>95</v>
      </c>
      <c r="B97" s="12"/>
      <c r="C97" s="6"/>
      <c r="D97" s="13">
        <f t="shared" si="5"/>
        <v>134396094</v>
      </c>
      <c r="E97" s="8" t="str">
        <f t="shared" si="3"/>
        <v>0802B8BE</v>
      </c>
      <c r="F97" s="9"/>
      <c r="G97" s="10"/>
      <c r="H97" s="6"/>
      <c r="I97" s="6"/>
      <c r="J97" s="6"/>
    </row>
    <row r="98" spans="1:10" x14ac:dyDescent="0.25">
      <c r="A98" s="12">
        <f t="shared" si="4"/>
        <v>96</v>
      </c>
      <c r="B98" s="12"/>
      <c r="C98" s="6"/>
      <c r="D98" s="13">
        <f t="shared" si="5"/>
        <v>134396096</v>
      </c>
      <c r="E98" s="8" t="str">
        <f t="shared" si="3"/>
        <v>0802B8C0</v>
      </c>
      <c r="F98" s="9"/>
      <c r="G98" s="10"/>
      <c r="H98" s="6"/>
      <c r="I98" s="6"/>
      <c r="J98" s="6"/>
    </row>
    <row r="99" spans="1:10" x14ac:dyDescent="0.25">
      <c r="A99" s="12">
        <f t="shared" si="4"/>
        <v>97</v>
      </c>
      <c r="B99" s="12"/>
      <c r="C99" s="6"/>
      <c r="D99" s="13">
        <f t="shared" si="5"/>
        <v>134396098</v>
      </c>
      <c r="E99" s="8" t="str">
        <f t="shared" si="3"/>
        <v>0802B8C2</v>
      </c>
      <c r="F99" s="9"/>
      <c r="G99" s="10"/>
      <c r="H99" s="6"/>
      <c r="I99" s="6"/>
      <c r="J99" s="6"/>
    </row>
    <row r="100" spans="1:10" x14ac:dyDescent="0.25">
      <c r="A100" s="12">
        <f t="shared" si="4"/>
        <v>98</v>
      </c>
      <c r="B100" s="12"/>
      <c r="C100" s="6"/>
      <c r="D100" s="13">
        <f t="shared" si="5"/>
        <v>134396100</v>
      </c>
      <c r="E100" s="8" t="str">
        <f t="shared" si="3"/>
        <v>0802B8C4</v>
      </c>
      <c r="F100" s="9"/>
      <c r="G100" s="15"/>
      <c r="H100" s="6"/>
      <c r="I100" s="6"/>
      <c r="J100" s="6"/>
    </row>
    <row r="101" spans="1:10" x14ac:dyDescent="0.25">
      <c r="A101" s="12">
        <f t="shared" si="4"/>
        <v>99</v>
      </c>
      <c r="B101" s="12"/>
      <c r="C101" s="6"/>
      <c r="D101" s="13">
        <f t="shared" si="5"/>
        <v>134396102</v>
      </c>
      <c r="E101" s="8" t="str">
        <f t="shared" si="3"/>
        <v>0802B8C6</v>
      </c>
      <c r="F101" s="9"/>
      <c r="G101" s="15"/>
      <c r="H101" s="6"/>
      <c r="I101" s="6"/>
      <c r="J101" s="6"/>
    </row>
    <row r="102" spans="1:10" x14ac:dyDescent="0.25">
      <c r="A102" s="12">
        <f t="shared" si="4"/>
        <v>100</v>
      </c>
      <c r="B102" s="12"/>
      <c r="C102" s="6"/>
      <c r="D102" s="13">
        <f t="shared" si="5"/>
        <v>134396104</v>
      </c>
      <c r="E102" s="8" t="str">
        <f t="shared" si="3"/>
        <v>0802B8C8</v>
      </c>
      <c r="F102" s="9"/>
      <c r="G102" s="10"/>
      <c r="H102" s="6"/>
      <c r="I102" s="6"/>
      <c r="J102" s="6"/>
    </row>
    <row r="103" spans="1:10" x14ac:dyDescent="0.25">
      <c r="A103" s="12">
        <f t="shared" si="4"/>
        <v>101</v>
      </c>
      <c r="B103" s="12"/>
      <c r="C103" s="6"/>
      <c r="D103" s="13">
        <f t="shared" si="5"/>
        <v>134396106</v>
      </c>
      <c r="E103" s="8" t="str">
        <f t="shared" si="3"/>
        <v>0802B8CA</v>
      </c>
      <c r="F103" s="9"/>
      <c r="G103" s="10"/>
      <c r="H103" s="6"/>
      <c r="I103" s="6"/>
      <c r="J103" s="6"/>
    </row>
    <row r="104" spans="1:10" x14ac:dyDescent="0.25">
      <c r="A104" s="12">
        <f t="shared" si="4"/>
        <v>102</v>
      </c>
      <c r="B104" s="12"/>
      <c r="C104" s="6"/>
      <c r="D104" s="13">
        <f t="shared" si="5"/>
        <v>134396108</v>
      </c>
      <c r="E104" s="8" t="str">
        <f t="shared" ref="E104:E167" si="6">DEC2HEX(D104,8)</f>
        <v>0802B8CC</v>
      </c>
      <c r="F104" s="9"/>
      <c r="G104" s="10"/>
      <c r="H104" s="6"/>
      <c r="I104" s="6"/>
      <c r="J104" s="6"/>
    </row>
    <row r="105" spans="1:10" x14ac:dyDescent="0.25">
      <c r="A105" s="12">
        <f t="shared" si="4"/>
        <v>103</v>
      </c>
      <c r="B105" s="12"/>
      <c r="C105" s="6"/>
      <c r="D105" s="13">
        <f t="shared" si="5"/>
        <v>134396110</v>
      </c>
      <c r="E105" s="8" t="str">
        <f t="shared" si="6"/>
        <v>0802B8CE</v>
      </c>
      <c r="F105" s="9"/>
      <c r="G105" s="15"/>
      <c r="H105" s="6"/>
      <c r="I105" s="6"/>
      <c r="J105" s="6"/>
    </row>
    <row r="106" spans="1:10" x14ac:dyDescent="0.25">
      <c r="A106" s="12">
        <f t="shared" si="4"/>
        <v>104</v>
      </c>
      <c r="B106" s="12"/>
      <c r="C106" s="6"/>
      <c r="D106" s="13">
        <f t="shared" si="5"/>
        <v>134396112</v>
      </c>
      <c r="E106" s="8" t="str">
        <f t="shared" si="6"/>
        <v>0802B8D0</v>
      </c>
      <c r="F106" s="9"/>
      <c r="G106" s="10"/>
      <c r="H106" s="6"/>
      <c r="I106" s="6"/>
      <c r="J106" s="6"/>
    </row>
    <row r="107" spans="1:10" x14ac:dyDescent="0.25">
      <c r="A107" s="12">
        <f t="shared" si="4"/>
        <v>105</v>
      </c>
      <c r="B107" s="12"/>
      <c r="C107" s="6"/>
      <c r="D107" s="13">
        <f t="shared" si="5"/>
        <v>134396114</v>
      </c>
      <c r="E107" s="8" t="str">
        <f t="shared" si="6"/>
        <v>0802B8D2</v>
      </c>
      <c r="F107" s="9"/>
      <c r="G107" s="15"/>
      <c r="H107" s="6"/>
      <c r="I107" s="6"/>
      <c r="J107" s="6"/>
    </row>
    <row r="108" spans="1:10" x14ac:dyDescent="0.25">
      <c r="A108" s="12">
        <f t="shared" si="4"/>
        <v>106</v>
      </c>
      <c r="B108" s="12"/>
      <c r="C108" s="6"/>
      <c r="D108" s="13">
        <f t="shared" si="5"/>
        <v>134396116</v>
      </c>
      <c r="E108" s="8" t="str">
        <f t="shared" si="6"/>
        <v>0802B8D4</v>
      </c>
      <c r="F108" s="9"/>
      <c r="G108" s="15"/>
      <c r="H108" s="6"/>
      <c r="I108" s="6"/>
      <c r="J108" s="6"/>
    </row>
    <row r="109" spans="1:10" x14ac:dyDescent="0.25">
      <c r="A109" s="12">
        <f t="shared" si="4"/>
        <v>107</v>
      </c>
      <c r="B109" s="12"/>
      <c r="C109" s="6"/>
      <c r="D109" s="13">
        <f t="shared" si="5"/>
        <v>134396118</v>
      </c>
      <c r="E109" s="8" t="str">
        <f t="shared" si="6"/>
        <v>0802B8D6</v>
      </c>
      <c r="F109" s="9"/>
      <c r="G109" s="15"/>
      <c r="H109" s="6"/>
      <c r="I109" s="6"/>
      <c r="J109" s="6"/>
    </row>
    <row r="110" spans="1:10" x14ac:dyDescent="0.25">
      <c r="A110" s="12">
        <f t="shared" si="4"/>
        <v>108</v>
      </c>
      <c r="B110" s="12"/>
      <c r="C110" s="6"/>
      <c r="D110" s="13">
        <f t="shared" si="5"/>
        <v>134396120</v>
      </c>
      <c r="E110" s="8" t="str">
        <f t="shared" si="6"/>
        <v>0802B8D8</v>
      </c>
      <c r="F110" s="9"/>
      <c r="G110" s="15"/>
      <c r="H110" s="6"/>
      <c r="I110" s="6"/>
      <c r="J110" s="6"/>
    </row>
    <row r="111" spans="1:10" x14ac:dyDescent="0.25">
      <c r="A111" s="12">
        <f t="shared" si="4"/>
        <v>109</v>
      </c>
      <c r="B111" s="12"/>
      <c r="C111" s="6"/>
      <c r="D111" s="13">
        <f t="shared" si="5"/>
        <v>134396122</v>
      </c>
      <c r="E111" s="8" t="str">
        <f t="shared" si="6"/>
        <v>0802B8DA</v>
      </c>
      <c r="F111" s="9"/>
      <c r="G111" s="15"/>
      <c r="H111" s="6"/>
      <c r="I111" s="6"/>
      <c r="J111" s="6"/>
    </row>
    <row r="112" spans="1:10" x14ac:dyDescent="0.25">
      <c r="A112" s="12">
        <f t="shared" si="4"/>
        <v>110</v>
      </c>
      <c r="B112" s="12"/>
      <c r="C112" s="6"/>
      <c r="D112" s="13">
        <f t="shared" si="5"/>
        <v>134396124</v>
      </c>
      <c r="E112" s="8" t="str">
        <f t="shared" si="6"/>
        <v>0802B8DC</v>
      </c>
      <c r="F112" s="9"/>
      <c r="G112" s="15"/>
      <c r="H112" s="6"/>
      <c r="I112" s="6"/>
      <c r="J112" s="6"/>
    </row>
    <row r="113" spans="1:10" x14ac:dyDescent="0.25">
      <c r="A113" s="12">
        <f t="shared" si="4"/>
        <v>111</v>
      </c>
      <c r="B113" s="12"/>
      <c r="C113" s="6"/>
      <c r="D113" s="13">
        <f t="shared" si="5"/>
        <v>134396126</v>
      </c>
      <c r="E113" s="8" t="str">
        <f t="shared" si="6"/>
        <v>0802B8DE</v>
      </c>
      <c r="F113" s="9"/>
      <c r="G113" s="15"/>
      <c r="H113" s="6"/>
      <c r="I113" s="6"/>
      <c r="J113" s="6"/>
    </row>
    <row r="114" spans="1:10" x14ac:dyDescent="0.25">
      <c r="A114" s="12">
        <f t="shared" si="4"/>
        <v>112</v>
      </c>
      <c r="B114" s="12"/>
      <c r="C114" s="6"/>
      <c r="D114" s="13">
        <f t="shared" si="5"/>
        <v>134396128</v>
      </c>
      <c r="E114" s="8" t="str">
        <f t="shared" si="6"/>
        <v>0802B8E0</v>
      </c>
      <c r="F114" s="9"/>
      <c r="G114" s="15"/>
      <c r="H114" s="6"/>
      <c r="I114" s="6"/>
      <c r="J114" s="6"/>
    </row>
    <row r="115" spans="1:10" x14ac:dyDescent="0.25">
      <c r="A115" s="12">
        <f t="shared" si="4"/>
        <v>113</v>
      </c>
      <c r="B115" s="12"/>
      <c r="C115" s="6"/>
      <c r="D115" s="13">
        <f t="shared" si="5"/>
        <v>134396130</v>
      </c>
      <c r="E115" s="8" t="str">
        <f t="shared" si="6"/>
        <v>0802B8E2</v>
      </c>
      <c r="F115" s="9"/>
      <c r="G115" s="10"/>
      <c r="H115" s="6"/>
      <c r="I115" s="6"/>
      <c r="J115" s="6"/>
    </row>
    <row r="116" spans="1:10" x14ac:dyDescent="0.25">
      <c r="A116" s="12">
        <f t="shared" si="4"/>
        <v>114</v>
      </c>
      <c r="B116" s="12"/>
      <c r="C116" s="6"/>
      <c r="D116" s="13">
        <f t="shared" si="5"/>
        <v>134396132</v>
      </c>
      <c r="E116" s="8" t="str">
        <f t="shared" si="6"/>
        <v>0802B8E4</v>
      </c>
      <c r="F116" s="9"/>
      <c r="G116" s="15"/>
      <c r="H116" s="6"/>
      <c r="I116" s="6"/>
      <c r="J116" s="6"/>
    </row>
    <row r="117" spans="1:10" x14ac:dyDescent="0.25">
      <c r="A117" s="12">
        <f t="shared" si="4"/>
        <v>115</v>
      </c>
      <c r="B117" s="12"/>
      <c r="C117" s="6"/>
      <c r="D117" s="13">
        <f t="shared" si="5"/>
        <v>134396134</v>
      </c>
      <c r="E117" s="8" t="str">
        <f t="shared" si="6"/>
        <v>0802B8E6</v>
      </c>
      <c r="F117" s="9"/>
      <c r="G117" s="10"/>
      <c r="H117" s="6"/>
      <c r="I117" s="6"/>
      <c r="J117" s="6"/>
    </row>
    <row r="118" spans="1:10" x14ac:dyDescent="0.25">
      <c r="A118" s="12">
        <f t="shared" si="4"/>
        <v>116</v>
      </c>
      <c r="B118" s="12"/>
      <c r="C118" s="6"/>
      <c r="D118" s="13">
        <f t="shared" si="5"/>
        <v>134396136</v>
      </c>
      <c r="E118" s="8" t="str">
        <f t="shared" si="6"/>
        <v>0802B8E8</v>
      </c>
      <c r="F118" s="9"/>
      <c r="G118" s="10"/>
      <c r="H118" s="6"/>
      <c r="I118" s="6"/>
      <c r="J118" s="6"/>
    </row>
    <row r="119" spans="1:10" x14ac:dyDescent="0.25">
      <c r="A119" s="12">
        <f t="shared" si="4"/>
        <v>117</v>
      </c>
      <c r="B119" s="12"/>
      <c r="C119" s="6"/>
      <c r="D119" s="13">
        <f t="shared" si="5"/>
        <v>134396138</v>
      </c>
      <c r="E119" s="8" t="str">
        <f t="shared" si="6"/>
        <v>0802B8EA</v>
      </c>
      <c r="F119" s="9"/>
      <c r="G119" s="15"/>
      <c r="H119" s="6"/>
      <c r="I119" s="6"/>
      <c r="J119" s="6"/>
    </row>
    <row r="120" spans="1:10" x14ac:dyDescent="0.25">
      <c r="A120" s="12">
        <f t="shared" si="4"/>
        <v>118</v>
      </c>
      <c r="B120" s="12"/>
      <c r="C120" s="6"/>
      <c r="D120" s="13">
        <f t="shared" si="5"/>
        <v>134396140</v>
      </c>
      <c r="E120" s="8" t="str">
        <f t="shared" si="6"/>
        <v>0802B8EC</v>
      </c>
      <c r="F120" s="9"/>
      <c r="G120" s="15"/>
      <c r="H120" s="6"/>
      <c r="I120" s="6"/>
      <c r="J120" s="6"/>
    </row>
    <row r="121" spans="1:10" x14ac:dyDescent="0.25">
      <c r="A121" s="12">
        <f t="shared" si="4"/>
        <v>119</v>
      </c>
      <c r="B121" s="12"/>
      <c r="C121" s="6"/>
      <c r="D121" s="13">
        <f t="shared" si="5"/>
        <v>134396142</v>
      </c>
      <c r="E121" s="8" t="str">
        <f t="shared" si="6"/>
        <v>0802B8EE</v>
      </c>
      <c r="F121" s="9"/>
      <c r="G121" s="15"/>
      <c r="H121" s="6"/>
      <c r="I121" s="6"/>
      <c r="J121" s="6"/>
    </row>
    <row r="122" spans="1:10" x14ac:dyDescent="0.25">
      <c r="A122" s="12">
        <f t="shared" si="4"/>
        <v>120</v>
      </c>
      <c r="B122" s="12"/>
      <c r="C122" s="6"/>
      <c r="D122" s="13">
        <f t="shared" si="5"/>
        <v>134396144</v>
      </c>
      <c r="E122" s="8" t="str">
        <f t="shared" si="6"/>
        <v>0802B8F0</v>
      </c>
      <c r="F122" s="9"/>
      <c r="G122" s="15"/>
      <c r="H122" s="6"/>
      <c r="I122" s="6"/>
      <c r="J122" s="6"/>
    </row>
    <row r="123" spans="1:10" x14ac:dyDescent="0.25">
      <c r="A123" s="12">
        <f t="shared" si="4"/>
        <v>121</v>
      </c>
      <c r="B123" s="12"/>
      <c r="C123" s="6"/>
      <c r="D123" s="13">
        <f t="shared" si="5"/>
        <v>134396146</v>
      </c>
      <c r="E123" s="8" t="str">
        <f t="shared" si="6"/>
        <v>0802B8F2</v>
      </c>
      <c r="F123" s="9"/>
      <c r="G123" s="15"/>
      <c r="H123" s="6"/>
      <c r="I123" s="6"/>
      <c r="J123" s="6"/>
    </row>
    <row r="124" spans="1:10" x14ac:dyDescent="0.25">
      <c r="A124" s="12">
        <f t="shared" si="4"/>
        <v>122</v>
      </c>
      <c r="B124" s="12"/>
      <c r="C124" s="6"/>
      <c r="D124" s="13">
        <f t="shared" si="5"/>
        <v>134396148</v>
      </c>
      <c r="E124" s="8" t="str">
        <f t="shared" si="6"/>
        <v>0802B8F4</v>
      </c>
      <c r="F124" s="9"/>
      <c r="G124" s="10"/>
      <c r="H124" s="6"/>
      <c r="I124" s="6"/>
      <c r="J124" s="6"/>
    </row>
    <row r="125" spans="1:10" x14ac:dyDescent="0.25">
      <c r="A125" s="12">
        <f t="shared" si="4"/>
        <v>123</v>
      </c>
      <c r="B125" s="12"/>
      <c r="C125" s="6"/>
      <c r="D125" s="13">
        <f t="shared" si="5"/>
        <v>134396150</v>
      </c>
      <c r="E125" s="8" t="str">
        <f t="shared" si="6"/>
        <v>0802B8F6</v>
      </c>
      <c r="F125" s="9"/>
      <c r="G125" s="10"/>
      <c r="H125" s="6"/>
      <c r="I125" s="6"/>
      <c r="J125" s="6"/>
    </row>
    <row r="126" spans="1:10" x14ac:dyDescent="0.25">
      <c r="A126" s="12">
        <f t="shared" si="4"/>
        <v>124</v>
      </c>
      <c r="B126" s="12"/>
      <c r="C126" s="6"/>
      <c r="D126" s="13">
        <f t="shared" si="5"/>
        <v>134396152</v>
      </c>
      <c r="E126" s="8" t="str">
        <f t="shared" si="6"/>
        <v>0802B8F8</v>
      </c>
      <c r="F126" s="9"/>
      <c r="G126" s="10"/>
      <c r="H126" s="6"/>
      <c r="I126" s="6"/>
      <c r="J126" s="6"/>
    </row>
    <row r="127" spans="1:10" x14ac:dyDescent="0.25">
      <c r="A127" s="12">
        <f t="shared" si="4"/>
        <v>125</v>
      </c>
      <c r="B127" s="12"/>
      <c r="C127" s="6"/>
      <c r="D127" s="13">
        <f t="shared" si="5"/>
        <v>134396154</v>
      </c>
      <c r="E127" s="8" t="str">
        <f t="shared" si="6"/>
        <v>0802B8FA</v>
      </c>
      <c r="F127" s="9"/>
      <c r="G127" s="10"/>
      <c r="H127" s="6"/>
      <c r="I127" s="6"/>
      <c r="J127" s="6"/>
    </row>
    <row r="128" spans="1:10" x14ac:dyDescent="0.25">
      <c r="A128" s="12">
        <f t="shared" si="4"/>
        <v>126</v>
      </c>
      <c r="B128" s="12"/>
      <c r="C128" s="6"/>
      <c r="D128" s="13">
        <f t="shared" si="5"/>
        <v>134396156</v>
      </c>
      <c r="E128" s="8" t="str">
        <f t="shared" si="6"/>
        <v>0802B8FC</v>
      </c>
      <c r="F128" s="9"/>
      <c r="G128" s="10"/>
      <c r="H128" s="6"/>
      <c r="I128" s="6"/>
      <c r="J128" s="6"/>
    </row>
    <row r="129" spans="1:10" x14ac:dyDescent="0.25">
      <c r="A129" s="12">
        <f t="shared" si="4"/>
        <v>127</v>
      </c>
      <c r="B129" s="12"/>
      <c r="C129" s="6"/>
      <c r="D129" s="13">
        <f t="shared" si="5"/>
        <v>134396158</v>
      </c>
      <c r="E129" s="8" t="str">
        <f t="shared" si="6"/>
        <v>0802B8FE</v>
      </c>
      <c r="F129" s="9"/>
      <c r="G129" s="10"/>
      <c r="H129" s="6"/>
      <c r="I129" s="6"/>
      <c r="J129" s="6"/>
    </row>
    <row r="130" spans="1:10" x14ac:dyDescent="0.25">
      <c r="A130" s="12">
        <f t="shared" si="4"/>
        <v>128</v>
      </c>
      <c r="B130" s="12"/>
      <c r="C130" s="6"/>
      <c r="D130" s="13">
        <f t="shared" si="5"/>
        <v>134396160</v>
      </c>
      <c r="E130" s="8" t="str">
        <f t="shared" si="6"/>
        <v>0802B900</v>
      </c>
      <c r="F130" s="9"/>
      <c r="G130" s="15"/>
      <c r="H130" s="6"/>
      <c r="I130" s="6"/>
      <c r="J130" s="6"/>
    </row>
    <row r="131" spans="1:10" x14ac:dyDescent="0.25">
      <c r="A131" s="12">
        <f t="shared" si="4"/>
        <v>129</v>
      </c>
      <c r="B131" s="12"/>
      <c r="C131" s="6"/>
      <c r="D131" s="13">
        <f t="shared" si="5"/>
        <v>134396162</v>
      </c>
      <c r="E131" s="8" t="str">
        <f t="shared" si="6"/>
        <v>0802B902</v>
      </c>
      <c r="F131" s="9"/>
      <c r="G131" s="10"/>
      <c r="H131" s="6"/>
      <c r="I131" s="6"/>
      <c r="J131" s="6"/>
    </row>
    <row r="132" spans="1:10" x14ac:dyDescent="0.25">
      <c r="A132" s="12">
        <f t="shared" ref="A132:A195" si="7">A131+1</f>
        <v>130</v>
      </c>
      <c r="B132" s="12"/>
      <c r="C132" s="6"/>
      <c r="D132" s="13">
        <f>D131+2</f>
        <v>134396164</v>
      </c>
      <c r="E132" s="8" t="str">
        <f>DEC2HEX(D132,8)</f>
        <v>0802B904</v>
      </c>
      <c r="F132" s="9"/>
      <c r="G132" s="10"/>
      <c r="H132" s="6"/>
      <c r="I132" s="6"/>
      <c r="J132" s="6"/>
    </row>
    <row r="133" spans="1:10" x14ac:dyDescent="0.25">
      <c r="A133" s="12">
        <f t="shared" si="7"/>
        <v>131</v>
      </c>
      <c r="B133" s="12"/>
      <c r="C133" s="6"/>
      <c r="D133" s="13">
        <f t="shared" ref="D133:D196" si="8">D132+2</f>
        <v>134396166</v>
      </c>
      <c r="E133" s="8" t="str">
        <f t="shared" si="6"/>
        <v>0802B906</v>
      </c>
      <c r="F133" s="9"/>
      <c r="G133" s="15"/>
      <c r="H133" s="6"/>
      <c r="I133" s="6"/>
      <c r="J133" s="6"/>
    </row>
    <row r="134" spans="1:10" x14ac:dyDescent="0.25">
      <c r="A134" s="12">
        <f t="shared" si="7"/>
        <v>132</v>
      </c>
      <c r="B134" s="12"/>
      <c r="C134" s="6"/>
      <c r="D134" s="13">
        <f t="shared" si="8"/>
        <v>134396168</v>
      </c>
      <c r="E134" s="8" t="str">
        <f t="shared" si="6"/>
        <v>0802B908</v>
      </c>
      <c r="F134" s="9"/>
      <c r="G134" s="15"/>
      <c r="H134" s="6"/>
      <c r="I134" s="6"/>
      <c r="J134" s="6"/>
    </row>
    <row r="135" spans="1:10" x14ac:dyDescent="0.25">
      <c r="A135" s="12">
        <f t="shared" si="7"/>
        <v>133</v>
      </c>
      <c r="B135" s="12"/>
      <c r="C135" s="6"/>
      <c r="D135" s="13">
        <f t="shared" si="8"/>
        <v>134396170</v>
      </c>
      <c r="E135" s="8" t="str">
        <f t="shared" si="6"/>
        <v>0802B90A</v>
      </c>
      <c r="F135" s="9"/>
      <c r="G135" s="15"/>
      <c r="H135" s="6"/>
      <c r="I135" s="6"/>
      <c r="J135" s="6"/>
    </row>
    <row r="136" spans="1:10" x14ac:dyDescent="0.25">
      <c r="A136" s="12">
        <f t="shared" si="7"/>
        <v>134</v>
      </c>
      <c r="B136" s="12"/>
      <c r="C136" s="6"/>
      <c r="D136" s="13">
        <f t="shared" si="8"/>
        <v>134396172</v>
      </c>
      <c r="E136" s="8" t="str">
        <f t="shared" si="6"/>
        <v>0802B90C</v>
      </c>
      <c r="F136" s="9"/>
      <c r="G136" s="10"/>
      <c r="H136" s="6"/>
      <c r="I136" s="6"/>
      <c r="J136" s="6"/>
    </row>
    <row r="137" spans="1:10" x14ac:dyDescent="0.25">
      <c r="A137" s="12">
        <f t="shared" si="7"/>
        <v>135</v>
      </c>
      <c r="B137" s="12"/>
      <c r="C137" s="6"/>
      <c r="D137" s="13">
        <f t="shared" si="8"/>
        <v>134396174</v>
      </c>
      <c r="E137" s="8" t="str">
        <f t="shared" si="6"/>
        <v>0802B90E</v>
      </c>
      <c r="F137" s="9"/>
      <c r="G137" s="10"/>
      <c r="H137" s="6"/>
      <c r="I137" s="6"/>
      <c r="J137" s="6"/>
    </row>
    <row r="138" spans="1:10" x14ac:dyDescent="0.25">
      <c r="A138" s="12">
        <f t="shared" si="7"/>
        <v>136</v>
      </c>
      <c r="B138" s="12"/>
      <c r="C138" s="6"/>
      <c r="D138" s="13">
        <f t="shared" si="8"/>
        <v>134396176</v>
      </c>
      <c r="E138" s="8" t="str">
        <f t="shared" si="6"/>
        <v>0802B910</v>
      </c>
      <c r="F138" s="9"/>
      <c r="G138" s="10"/>
      <c r="H138" s="6"/>
      <c r="I138" s="6"/>
      <c r="J138" s="6"/>
    </row>
    <row r="139" spans="1:10" x14ac:dyDescent="0.25">
      <c r="A139" s="12">
        <f t="shared" si="7"/>
        <v>137</v>
      </c>
      <c r="B139" s="12"/>
      <c r="C139" s="6"/>
      <c r="D139" s="13">
        <f t="shared" si="8"/>
        <v>134396178</v>
      </c>
      <c r="E139" s="8" t="str">
        <f t="shared" si="6"/>
        <v>0802B912</v>
      </c>
      <c r="F139" s="9"/>
      <c r="G139" s="10"/>
      <c r="H139" s="6"/>
      <c r="I139" s="6"/>
      <c r="J139" s="6"/>
    </row>
    <row r="140" spans="1:10" x14ac:dyDescent="0.25">
      <c r="A140" s="12">
        <f t="shared" si="7"/>
        <v>138</v>
      </c>
      <c r="B140" s="12"/>
      <c r="C140" s="6"/>
      <c r="D140" s="13">
        <f t="shared" si="8"/>
        <v>134396180</v>
      </c>
      <c r="E140" s="8" t="str">
        <f t="shared" si="6"/>
        <v>0802B914</v>
      </c>
      <c r="F140" s="9"/>
      <c r="G140" s="15"/>
      <c r="H140" s="6"/>
      <c r="I140" s="6"/>
      <c r="J140" s="6"/>
    </row>
    <row r="141" spans="1:10" x14ac:dyDescent="0.25">
      <c r="A141" s="12">
        <f t="shared" si="7"/>
        <v>139</v>
      </c>
      <c r="B141" s="12"/>
      <c r="C141" s="6"/>
      <c r="D141" s="13">
        <f t="shared" si="8"/>
        <v>134396182</v>
      </c>
      <c r="E141" s="8" t="str">
        <f t="shared" si="6"/>
        <v>0802B916</v>
      </c>
      <c r="F141" s="9"/>
      <c r="G141" s="10"/>
      <c r="H141" s="6"/>
      <c r="I141" s="6"/>
      <c r="J141" s="6"/>
    </row>
    <row r="142" spans="1:10" x14ac:dyDescent="0.25">
      <c r="A142" s="12">
        <f t="shared" si="7"/>
        <v>140</v>
      </c>
      <c r="B142" s="12"/>
      <c r="C142" s="6"/>
      <c r="D142" s="13">
        <f t="shared" si="8"/>
        <v>134396184</v>
      </c>
      <c r="E142" s="8" t="str">
        <f t="shared" si="6"/>
        <v>0802B918</v>
      </c>
      <c r="F142" s="9"/>
      <c r="G142" s="15"/>
      <c r="H142" s="6"/>
      <c r="I142" s="6"/>
      <c r="J142" s="6"/>
    </row>
    <row r="143" spans="1:10" x14ac:dyDescent="0.25">
      <c r="A143" s="12">
        <f t="shared" si="7"/>
        <v>141</v>
      </c>
      <c r="B143" s="12"/>
      <c r="C143" s="6"/>
      <c r="D143" s="13">
        <f t="shared" si="8"/>
        <v>134396186</v>
      </c>
      <c r="E143" s="8" t="str">
        <f t="shared" si="6"/>
        <v>0802B91A</v>
      </c>
      <c r="F143" s="9"/>
      <c r="G143" s="15"/>
      <c r="H143" s="6"/>
      <c r="I143" s="6"/>
      <c r="J143" s="6"/>
    </row>
    <row r="144" spans="1:10" x14ac:dyDescent="0.25">
      <c r="A144" s="12">
        <f t="shared" si="7"/>
        <v>142</v>
      </c>
      <c r="B144" s="12"/>
      <c r="C144" s="6"/>
      <c r="D144" s="13">
        <f t="shared" si="8"/>
        <v>134396188</v>
      </c>
      <c r="E144" s="8" t="str">
        <f t="shared" si="6"/>
        <v>0802B91C</v>
      </c>
      <c r="F144" s="9"/>
      <c r="G144" s="10"/>
      <c r="H144" s="6"/>
      <c r="I144" s="6"/>
      <c r="J144" s="6"/>
    </row>
    <row r="145" spans="1:10" x14ac:dyDescent="0.25">
      <c r="A145" s="12">
        <f t="shared" si="7"/>
        <v>143</v>
      </c>
      <c r="B145" s="12"/>
      <c r="C145" s="6"/>
      <c r="D145" s="13">
        <f t="shared" si="8"/>
        <v>134396190</v>
      </c>
      <c r="E145" s="8" t="str">
        <f t="shared" si="6"/>
        <v>0802B91E</v>
      </c>
      <c r="F145" s="9"/>
      <c r="G145" s="10"/>
      <c r="H145" s="6"/>
      <c r="I145" s="6"/>
      <c r="J145" s="6"/>
    </row>
    <row r="146" spans="1:10" x14ac:dyDescent="0.25">
      <c r="A146" s="12">
        <f t="shared" si="7"/>
        <v>144</v>
      </c>
      <c r="B146" s="12"/>
      <c r="C146" s="6"/>
      <c r="D146" s="13">
        <f t="shared" si="8"/>
        <v>134396192</v>
      </c>
      <c r="E146" s="8" t="str">
        <f t="shared" si="6"/>
        <v>0802B920</v>
      </c>
      <c r="F146" s="9"/>
      <c r="G146" s="10"/>
      <c r="H146" s="6"/>
      <c r="I146" s="6"/>
      <c r="J146" s="6"/>
    </row>
    <row r="147" spans="1:10" x14ac:dyDescent="0.25">
      <c r="A147" s="12">
        <f t="shared" si="7"/>
        <v>145</v>
      </c>
      <c r="B147" s="12"/>
      <c r="C147" s="6"/>
      <c r="D147" s="13">
        <f t="shared" si="8"/>
        <v>134396194</v>
      </c>
      <c r="E147" s="8" t="str">
        <f t="shared" si="6"/>
        <v>0802B922</v>
      </c>
      <c r="F147" s="9"/>
      <c r="G147" s="10"/>
      <c r="H147" s="6"/>
      <c r="I147" s="6"/>
      <c r="J147" s="6"/>
    </row>
    <row r="148" spans="1:10" x14ac:dyDescent="0.25">
      <c r="A148" s="12">
        <f t="shared" si="7"/>
        <v>146</v>
      </c>
      <c r="B148" s="12"/>
      <c r="C148" s="6"/>
      <c r="D148" s="13">
        <f t="shared" si="8"/>
        <v>134396196</v>
      </c>
      <c r="E148" s="8" t="str">
        <f t="shared" si="6"/>
        <v>0802B924</v>
      </c>
      <c r="F148" s="9"/>
      <c r="G148" s="15"/>
      <c r="H148" s="6"/>
      <c r="I148" s="6"/>
      <c r="J148" s="6"/>
    </row>
    <row r="149" spans="1:10" x14ac:dyDescent="0.25">
      <c r="A149" s="12">
        <f t="shared" si="7"/>
        <v>147</v>
      </c>
      <c r="B149" s="12"/>
      <c r="C149" s="6"/>
      <c r="D149" s="13">
        <f t="shared" si="8"/>
        <v>134396198</v>
      </c>
      <c r="E149" s="8" t="str">
        <f t="shared" si="6"/>
        <v>0802B926</v>
      </c>
      <c r="F149" s="9"/>
      <c r="G149" s="10"/>
      <c r="H149" s="6"/>
      <c r="I149" s="6"/>
      <c r="J149" s="6"/>
    </row>
    <row r="150" spans="1:10" x14ac:dyDescent="0.25">
      <c r="A150" s="12">
        <f t="shared" si="7"/>
        <v>148</v>
      </c>
      <c r="B150" s="12"/>
      <c r="C150" s="6"/>
      <c r="D150" s="13">
        <f t="shared" si="8"/>
        <v>134396200</v>
      </c>
      <c r="E150" s="8" t="str">
        <f t="shared" si="6"/>
        <v>0802B928</v>
      </c>
      <c r="F150" s="9"/>
      <c r="G150" s="10"/>
      <c r="H150" s="6"/>
      <c r="I150" s="6"/>
      <c r="J150" s="6"/>
    </row>
    <row r="151" spans="1:10" x14ac:dyDescent="0.25">
      <c r="A151" s="12">
        <f t="shared" si="7"/>
        <v>149</v>
      </c>
      <c r="B151" s="12"/>
      <c r="C151" s="6"/>
      <c r="D151" s="13">
        <f t="shared" si="8"/>
        <v>134396202</v>
      </c>
      <c r="E151" s="8" t="str">
        <f t="shared" si="6"/>
        <v>0802B92A</v>
      </c>
      <c r="F151" s="9"/>
      <c r="G151" s="15"/>
      <c r="H151" s="6"/>
      <c r="I151" s="6"/>
      <c r="J151" s="6"/>
    </row>
    <row r="152" spans="1:10" x14ac:dyDescent="0.25">
      <c r="A152" s="12">
        <f t="shared" si="7"/>
        <v>150</v>
      </c>
      <c r="B152" s="12"/>
      <c r="C152" s="6"/>
      <c r="D152" s="13">
        <f t="shared" si="8"/>
        <v>134396204</v>
      </c>
      <c r="E152" s="8" t="str">
        <f t="shared" si="6"/>
        <v>0802B92C</v>
      </c>
      <c r="F152" s="9"/>
      <c r="G152" s="15"/>
      <c r="H152" s="6"/>
      <c r="I152" s="6"/>
      <c r="J152" s="6"/>
    </row>
    <row r="153" spans="1:10" x14ac:dyDescent="0.25">
      <c r="A153" s="12">
        <f t="shared" si="7"/>
        <v>151</v>
      </c>
      <c r="B153" s="12"/>
      <c r="C153" s="6"/>
      <c r="D153" s="13">
        <f t="shared" si="8"/>
        <v>134396206</v>
      </c>
      <c r="E153" s="8" t="str">
        <f t="shared" si="6"/>
        <v>0802B92E</v>
      </c>
      <c r="F153" s="9"/>
      <c r="G153" s="10"/>
      <c r="H153" s="6"/>
      <c r="I153" s="6"/>
      <c r="J153" s="6"/>
    </row>
    <row r="154" spans="1:10" x14ac:dyDescent="0.25">
      <c r="A154" s="12">
        <f t="shared" si="7"/>
        <v>152</v>
      </c>
      <c r="B154" s="12"/>
      <c r="C154" s="6"/>
      <c r="D154" s="13">
        <f t="shared" si="8"/>
        <v>134396208</v>
      </c>
      <c r="E154" s="8" t="str">
        <f t="shared" si="6"/>
        <v>0802B930</v>
      </c>
      <c r="F154" s="9"/>
      <c r="G154" s="6"/>
      <c r="H154" s="6"/>
      <c r="I154" s="6"/>
      <c r="J154" s="6"/>
    </row>
    <row r="155" spans="1:10" x14ac:dyDescent="0.25">
      <c r="A155" s="12">
        <f t="shared" si="7"/>
        <v>153</v>
      </c>
      <c r="B155" s="12"/>
      <c r="C155" s="6"/>
      <c r="D155" s="13">
        <f t="shared" si="8"/>
        <v>134396210</v>
      </c>
      <c r="E155" s="8" t="str">
        <f t="shared" si="6"/>
        <v>0802B932</v>
      </c>
      <c r="F155" s="9"/>
      <c r="G155" s="6"/>
      <c r="H155" s="6"/>
      <c r="I155" s="6"/>
      <c r="J155" s="6"/>
    </row>
    <row r="156" spans="1:10" x14ac:dyDescent="0.25">
      <c r="A156" s="12">
        <f t="shared" si="7"/>
        <v>154</v>
      </c>
      <c r="B156" s="12"/>
      <c r="C156" s="6"/>
      <c r="D156" s="13">
        <f t="shared" si="8"/>
        <v>134396212</v>
      </c>
      <c r="E156" s="8" t="str">
        <f t="shared" si="6"/>
        <v>0802B934</v>
      </c>
      <c r="F156" s="9"/>
      <c r="G156" s="10"/>
      <c r="H156" s="6"/>
      <c r="I156" s="6"/>
      <c r="J156" s="6"/>
    </row>
    <row r="157" spans="1:10" x14ac:dyDescent="0.25">
      <c r="A157" s="12">
        <f t="shared" si="7"/>
        <v>155</v>
      </c>
      <c r="B157" s="12"/>
      <c r="C157" s="6"/>
      <c r="D157" s="13">
        <f t="shared" si="8"/>
        <v>134396214</v>
      </c>
      <c r="E157" s="8" t="str">
        <f t="shared" si="6"/>
        <v>0802B936</v>
      </c>
      <c r="F157" s="9"/>
      <c r="G157" s="10"/>
      <c r="H157" s="6"/>
      <c r="I157" s="6"/>
      <c r="J157" s="6"/>
    </row>
    <row r="158" spans="1:10" x14ac:dyDescent="0.25">
      <c r="A158" s="12">
        <f t="shared" si="7"/>
        <v>156</v>
      </c>
      <c r="B158" s="12"/>
      <c r="C158" s="6"/>
      <c r="D158" s="13">
        <f t="shared" si="8"/>
        <v>134396216</v>
      </c>
      <c r="E158" s="8" t="str">
        <f t="shared" si="6"/>
        <v>0802B938</v>
      </c>
      <c r="F158" s="9"/>
      <c r="G158" s="6"/>
      <c r="H158" s="6"/>
      <c r="I158" s="6"/>
      <c r="J158" s="6"/>
    </row>
    <row r="159" spans="1:10" x14ac:dyDescent="0.25">
      <c r="A159" s="12">
        <f t="shared" si="7"/>
        <v>157</v>
      </c>
      <c r="B159" s="12"/>
      <c r="C159" s="6"/>
      <c r="D159" s="13">
        <f t="shared" si="8"/>
        <v>134396218</v>
      </c>
      <c r="E159" s="8" t="str">
        <f t="shared" si="6"/>
        <v>0802B93A</v>
      </c>
      <c r="F159" s="9"/>
      <c r="G159" s="10"/>
      <c r="H159" s="6"/>
      <c r="I159" s="6"/>
      <c r="J159" s="6"/>
    </row>
    <row r="160" spans="1:10" x14ac:dyDescent="0.25">
      <c r="A160" s="12">
        <f t="shared" si="7"/>
        <v>158</v>
      </c>
      <c r="B160" s="12"/>
      <c r="C160" s="6"/>
      <c r="D160" s="13">
        <f t="shared" si="8"/>
        <v>134396220</v>
      </c>
      <c r="E160" s="8" t="str">
        <f t="shared" si="6"/>
        <v>0802B93C</v>
      </c>
      <c r="F160" s="9"/>
      <c r="G160" s="10"/>
      <c r="H160" s="6"/>
      <c r="I160" s="6"/>
      <c r="J160" s="6"/>
    </row>
    <row r="161" spans="1:10" x14ac:dyDescent="0.25">
      <c r="A161" s="12">
        <f t="shared" si="7"/>
        <v>159</v>
      </c>
      <c r="B161" s="12"/>
      <c r="C161" s="6"/>
      <c r="D161" s="13">
        <f t="shared" si="8"/>
        <v>134396222</v>
      </c>
      <c r="E161" s="8" t="str">
        <f t="shared" si="6"/>
        <v>0802B93E</v>
      </c>
      <c r="F161" s="9"/>
      <c r="G161" s="10"/>
      <c r="H161" s="6"/>
      <c r="I161" s="6"/>
      <c r="J161" s="6"/>
    </row>
    <row r="162" spans="1:10" x14ac:dyDescent="0.25">
      <c r="A162" s="12">
        <f t="shared" si="7"/>
        <v>160</v>
      </c>
      <c r="B162" s="12"/>
      <c r="C162" s="6"/>
      <c r="D162" s="13">
        <f t="shared" si="8"/>
        <v>134396224</v>
      </c>
      <c r="E162" s="8" t="str">
        <f t="shared" si="6"/>
        <v>0802B940</v>
      </c>
      <c r="F162" s="9"/>
      <c r="G162" s="10"/>
      <c r="H162" s="6"/>
      <c r="I162" s="6"/>
      <c r="J162" s="6"/>
    </row>
    <row r="163" spans="1:10" x14ac:dyDescent="0.25">
      <c r="A163" s="12">
        <f t="shared" si="7"/>
        <v>161</v>
      </c>
      <c r="B163" s="12"/>
      <c r="C163" s="6"/>
      <c r="D163" s="13">
        <f t="shared" si="8"/>
        <v>134396226</v>
      </c>
      <c r="E163" s="8" t="str">
        <f t="shared" si="6"/>
        <v>0802B942</v>
      </c>
      <c r="F163" s="9"/>
      <c r="G163" s="10"/>
      <c r="H163" s="6"/>
      <c r="I163" s="6"/>
      <c r="J163" s="6"/>
    </row>
    <row r="164" spans="1:10" x14ac:dyDescent="0.25">
      <c r="A164" s="12">
        <f t="shared" si="7"/>
        <v>162</v>
      </c>
      <c r="B164" s="12"/>
      <c r="C164" s="6"/>
      <c r="D164" s="13">
        <f t="shared" si="8"/>
        <v>134396228</v>
      </c>
      <c r="E164" s="8" t="str">
        <f t="shared" si="6"/>
        <v>0802B944</v>
      </c>
      <c r="F164" s="9"/>
      <c r="G164" s="10"/>
      <c r="H164" s="6"/>
      <c r="I164" s="6"/>
      <c r="J164" s="6"/>
    </row>
    <row r="165" spans="1:10" x14ac:dyDescent="0.25">
      <c r="A165" s="12">
        <f t="shared" si="7"/>
        <v>163</v>
      </c>
      <c r="B165" s="12"/>
      <c r="C165" s="6"/>
      <c r="D165" s="13">
        <f t="shared" si="8"/>
        <v>134396230</v>
      </c>
      <c r="E165" s="8" t="str">
        <f t="shared" si="6"/>
        <v>0802B946</v>
      </c>
      <c r="F165" s="9"/>
      <c r="G165" s="10"/>
      <c r="H165" s="6"/>
      <c r="I165" s="6"/>
      <c r="J165" s="6"/>
    </row>
    <row r="166" spans="1:10" x14ac:dyDescent="0.25">
      <c r="A166" s="12">
        <f t="shared" si="7"/>
        <v>164</v>
      </c>
      <c r="B166" s="12"/>
      <c r="C166" s="6"/>
      <c r="D166" s="13">
        <f t="shared" si="8"/>
        <v>134396232</v>
      </c>
      <c r="E166" s="8" t="str">
        <f t="shared" si="6"/>
        <v>0802B948</v>
      </c>
      <c r="F166" s="9"/>
      <c r="G166" s="10"/>
      <c r="H166" s="6"/>
      <c r="I166" s="6"/>
      <c r="J166" s="6"/>
    </row>
    <row r="167" spans="1:10" x14ac:dyDescent="0.25">
      <c r="A167" s="12">
        <f t="shared" si="7"/>
        <v>165</v>
      </c>
      <c r="B167" s="12"/>
      <c r="C167" s="6"/>
      <c r="D167" s="13">
        <f t="shared" si="8"/>
        <v>134396234</v>
      </c>
      <c r="E167" s="8" t="str">
        <f t="shared" si="6"/>
        <v>0802B94A</v>
      </c>
      <c r="F167" s="9"/>
      <c r="G167" s="10"/>
      <c r="H167" s="6"/>
      <c r="I167" s="6"/>
      <c r="J167" s="6"/>
    </row>
    <row r="168" spans="1:10" x14ac:dyDescent="0.25">
      <c r="A168" s="12">
        <f t="shared" si="7"/>
        <v>166</v>
      </c>
      <c r="B168" s="12"/>
      <c r="C168" s="6"/>
      <c r="D168" s="13">
        <f t="shared" si="8"/>
        <v>134396236</v>
      </c>
      <c r="E168" s="8" t="str">
        <f t="shared" ref="E168:E231" si="9">DEC2HEX(D168,8)</f>
        <v>0802B94C</v>
      </c>
      <c r="F168" s="9"/>
      <c r="G168" s="10"/>
      <c r="H168" s="6"/>
      <c r="I168" s="6"/>
      <c r="J168" s="6"/>
    </row>
    <row r="169" spans="1:10" x14ac:dyDescent="0.25">
      <c r="A169" s="12">
        <f t="shared" si="7"/>
        <v>167</v>
      </c>
      <c r="B169" s="12"/>
      <c r="C169" s="6"/>
      <c r="D169" s="13">
        <f t="shared" si="8"/>
        <v>134396238</v>
      </c>
      <c r="E169" s="8" t="str">
        <f t="shared" si="9"/>
        <v>0802B94E</v>
      </c>
      <c r="F169" s="9"/>
      <c r="G169" s="10"/>
      <c r="H169" s="6"/>
      <c r="I169" s="6"/>
      <c r="J169" s="6"/>
    </row>
    <row r="170" spans="1:10" x14ac:dyDescent="0.25">
      <c r="A170" s="12">
        <f t="shared" si="7"/>
        <v>168</v>
      </c>
      <c r="B170" s="12"/>
      <c r="C170" s="6"/>
      <c r="D170" s="13">
        <f t="shared" si="8"/>
        <v>134396240</v>
      </c>
      <c r="E170" s="8" t="str">
        <f t="shared" si="9"/>
        <v>0802B950</v>
      </c>
      <c r="F170" s="9"/>
      <c r="G170" s="10"/>
      <c r="H170" s="6"/>
      <c r="I170" s="6"/>
      <c r="J170" s="6"/>
    </row>
    <row r="171" spans="1:10" x14ac:dyDescent="0.25">
      <c r="A171" s="12">
        <f t="shared" si="7"/>
        <v>169</v>
      </c>
      <c r="B171" s="12"/>
      <c r="C171" s="6"/>
      <c r="D171" s="13">
        <f t="shared" si="8"/>
        <v>134396242</v>
      </c>
      <c r="E171" s="8" t="str">
        <f t="shared" si="9"/>
        <v>0802B952</v>
      </c>
      <c r="F171" s="9"/>
      <c r="G171" s="10"/>
      <c r="H171" s="6"/>
      <c r="I171" s="6"/>
      <c r="J171" s="6"/>
    </row>
    <row r="172" spans="1:10" x14ac:dyDescent="0.25">
      <c r="A172" s="12">
        <f t="shared" si="7"/>
        <v>170</v>
      </c>
      <c r="B172" s="12"/>
      <c r="C172" s="6"/>
      <c r="D172" s="13">
        <f t="shared" si="8"/>
        <v>134396244</v>
      </c>
      <c r="E172" s="8" t="str">
        <f t="shared" si="9"/>
        <v>0802B954</v>
      </c>
      <c r="F172" s="9"/>
      <c r="G172" s="10"/>
      <c r="H172" s="6"/>
      <c r="I172" s="6"/>
      <c r="J172" s="6"/>
    </row>
    <row r="173" spans="1:10" x14ac:dyDescent="0.25">
      <c r="A173" s="12">
        <f t="shared" si="7"/>
        <v>171</v>
      </c>
      <c r="B173" s="12"/>
      <c r="C173" s="6"/>
      <c r="D173" s="13">
        <f t="shared" si="8"/>
        <v>134396246</v>
      </c>
      <c r="E173" s="8" t="str">
        <f t="shared" si="9"/>
        <v>0802B956</v>
      </c>
      <c r="F173" s="9"/>
      <c r="G173" s="10"/>
      <c r="H173" s="6"/>
      <c r="I173" s="6"/>
      <c r="J173" s="6"/>
    </row>
    <row r="174" spans="1:10" x14ac:dyDescent="0.25">
      <c r="A174" s="12">
        <f t="shared" si="7"/>
        <v>172</v>
      </c>
      <c r="B174" s="12"/>
      <c r="C174" s="6"/>
      <c r="D174" s="13">
        <f t="shared" si="8"/>
        <v>134396248</v>
      </c>
      <c r="E174" s="8" t="str">
        <f t="shared" si="9"/>
        <v>0802B958</v>
      </c>
      <c r="F174" s="9"/>
      <c r="G174" s="10"/>
      <c r="H174" s="6"/>
      <c r="I174" s="6"/>
      <c r="J174" s="6"/>
    </row>
    <row r="175" spans="1:10" x14ac:dyDescent="0.25">
      <c r="A175" s="12">
        <f t="shared" si="7"/>
        <v>173</v>
      </c>
      <c r="B175" s="12"/>
      <c r="C175" s="6"/>
      <c r="D175" s="13">
        <f t="shared" si="8"/>
        <v>134396250</v>
      </c>
      <c r="E175" s="8" t="str">
        <f t="shared" si="9"/>
        <v>0802B95A</v>
      </c>
      <c r="F175" s="9"/>
      <c r="G175" s="10"/>
      <c r="H175" s="6"/>
      <c r="I175" s="6"/>
      <c r="J175" s="6"/>
    </row>
    <row r="176" spans="1:10" x14ac:dyDescent="0.25">
      <c r="A176" s="12">
        <f t="shared" si="7"/>
        <v>174</v>
      </c>
      <c r="B176" s="12"/>
      <c r="C176" s="6"/>
      <c r="D176" s="13">
        <f t="shared" si="8"/>
        <v>134396252</v>
      </c>
      <c r="E176" s="8" t="str">
        <f t="shared" si="9"/>
        <v>0802B95C</v>
      </c>
      <c r="F176" s="9"/>
      <c r="G176" s="10"/>
      <c r="H176" s="6"/>
      <c r="I176" s="6"/>
      <c r="J176" s="6"/>
    </row>
    <row r="177" spans="1:10" x14ac:dyDescent="0.25">
      <c r="A177" s="12">
        <f t="shared" si="7"/>
        <v>175</v>
      </c>
      <c r="B177" s="12"/>
      <c r="C177" s="6"/>
      <c r="D177" s="13">
        <f t="shared" si="8"/>
        <v>134396254</v>
      </c>
      <c r="E177" s="8" t="str">
        <f t="shared" si="9"/>
        <v>0802B95E</v>
      </c>
      <c r="F177" s="9"/>
      <c r="G177" s="10"/>
      <c r="H177" s="6"/>
      <c r="I177" s="6"/>
      <c r="J177" s="6"/>
    </row>
    <row r="178" spans="1:10" x14ac:dyDescent="0.25">
      <c r="A178" s="12">
        <f t="shared" si="7"/>
        <v>176</v>
      </c>
      <c r="B178" s="12"/>
      <c r="C178" s="6"/>
      <c r="D178" s="13">
        <f t="shared" si="8"/>
        <v>134396256</v>
      </c>
      <c r="E178" s="8" t="str">
        <f t="shared" si="9"/>
        <v>0802B960</v>
      </c>
      <c r="F178" s="9"/>
      <c r="G178" s="10"/>
      <c r="H178" s="6"/>
      <c r="I178" s="6"/>
      <c r="J178" s="6"/>
    </row>
    <row r="179" spans="1:10" x14ac:dyDescent="0.25">
      <c r="A179" s="12">
        <f t="shared" si="7"/>
        <v>177</v>
      </c>
      <c r="B179" s="12"/>
      <c r="C179" s="6"/>
      <c r="D179" s="13">
        <f t="shared" si="8"/>
        <v>134396258</v>
      </c>
      <c r="E179" s="8" t="str">
        <f t="shared" si="9"/>
        <v>0802B962</v>
      </c>
      <c r="F179" s="9"/>
      <c r="G179" s="10"/>
      <c r="H179" s="6"/>
      <c r="I179" s="6"/>
      <c r="J179" s="6"/>
    </row>
    <row r="180" spans="1:10" x14ac:dyDescent="0.25">
      <c r="A180" s="12">
        <f t="shared" si="7"/>
        <v>178</v>
      </c>
      <c r="B180" s="12"/>
      <c r="C180" s="6"/>
      <c r="D180" s="13">
        <f t="shared" si="8"/>
        <v>134396260</v>
      </c>
      <c r="E180" s="8" t="str">
        <f t="shared" si="9"/>
        <v>0802B964</v>
      </c>
      <c r="F180" s="9"/>
      <c r="G180" s="10"/>
      <c r="H180" s="6"/>
      <c r="I180" s="6"/>
      <c r="J180" s="6"/>
    </row>
    <row r="181" spans="1:10" x14ac:dyDescent="0.25">
      <c r="A181" s="12">
        <f t="shared" si="7"/>
        <v>179</v>
      </c>
      <c r="B181" s="12"/>
      <c r="C181" s="6"/>
      <c r="D181" s="13">
        <f t="shared" si="8"/>
        <v>134396262</v>
      </c>
      <c r="E181" s="8" t="str">
        <f t="shared" si="9"/>
        <v>0802B966</v>
      </c>
      <c r="F181" s="9"/>
      <c r="G181" s="10"/>
      <c r="H181" s="6"/>
      <c r="I181" s="6"/>
      <c r="J181" s="6"/>
    </row>
    <row r="182" spans="1:10" x14ac:dyDescent="0.25">
      <c r="A182" s="12">
        <f t="shared" si="7"/>
        <v>180</v>
      </c>
      <c r="B182" s="12"/>
      <c r="C182" s="6"/>
      <c r="D182" s="13">
        <f t="shared" si="8"/>
        <v>134396264</v>
      </c>
      <c r="E182" s="8" t="str">
        <f t="shared" si="9"/>
        <v>0802B968</v>
      </c>
      <c r="F182" s="9"/>
      <c r="G182" s="10"/>
      <c r="H182" s="6"/>
      <c r="I182" s="6"/>
      <c r="J182" s="6"/>
    </row>
    <row r="183" spans="1:10" x14ac:dyDescent="0.25">
      <c r="A183" s="12">
        <f t="shared" si="7"/>
        <v>181</v>
      </c>
      <c r="B183" s="12"/>
      <c r="C183" s="6"/>
      <c r="D183" s="13">
        <f t="shared" si="8"/>
        <v>134396266</v>
      </c>
      <c r="E183" s="8" t="str">
        <f t="shared" si="9"/>
        <v>0802B96A</v>
      </c>
      <c r="F183" s="9"/>
      <c r="G183" s="10"/>
      <c r="H183" s="6"/>
      <c r="I183" s="6"/>
      <c r="J183" s="6"/>
    </row>
    <row r="184" spans="1:10" x14ac:dyDescent="0.25">
      <c r="A184" s="12">
        <f t="shared" si="7"/>
        <v>182</v>
      </c>
      <c r="B184" s="12"/>
      <c r="C184" s="6"/>
      <c r="D184" s="13">
        <f t="shared" si="8"/>
        <v>134396268</v>
      </c>
      <c r="E184" s="8" t="str">
        <f t="shared" si="9"/>
        <v>0802B96C</v>
      </c>
      <c r="F184" s="9"/>
      <c r="G184" s="10"/>
      <c r="H184" s="6"/>
      <c r="I184" s="6"/>
      <c r="J184" s="6"/>
    </row>
    <row r="185" spans="1:10" x14ac:dyDescent="0.25">
      <c r="A185" s="12">
        <f t="shared" si="7"/>
        <v>183</v>
      </c>
      <c r="B185" s="12"/>
      <c r="C185" s="6"/>
      <c r="D185" s="13">
        <f t="shared" si="8"/>
        <v>134396270</v>
      </c>
      <c r="E185" s="8" t="str">
        <f t="shared" si="9"/>
        <v>0802B96E</v>
      </c>
      <c r="F185" s="9"/>
      <c r="G185" s="10"/>
      <c r="H185" s="6"/>
      <c r="I185" s="6"/>
      <c r="J185" s="6"/>
    </row>
    <row r="186" spans="1:10" x14ac:dyDescent="0.25">
      <c r="A186" s="12">
        <f t="shared" si="7"/>
        <v>184</v>
      </c>
      <c r="B186" s="12"/>
      <c r="C186" s="6"/>
      <c r="D186" s="13">
        <f t="shared" si="8"/>
        <v>134396272</v>
      </c>
      <c r="E186" s="8" t="str">
        <f t="shared" si="9"/>
        <v>0802B970</v>
      </c>
      <c r="F186" s="9"/>
      <c r="G186" s="10"/>
      <c r="H186" s="6"/>
      <c r="I186" s="6"/>
      <c r="J186" s="6"/>
    </row>
    <row r="187" spans="1:10" x14ac:dyDescent="0.25">
      <c r="A187" s="12">
        <f t="shared" si="7"/>
        <v>185</v>
      </c>
      <c r="B187" s="12"/>
      <c r="C187" s="6"/>
      <c r="D187" s="13">
        <f t="shared" si="8"/>
        <v>134396274</v>
      </c>
      <c r="E187" s="8" t="str">
        <f t="shared" si="9"/>
        <v>0802B972</v>
      </c>
      <c r="F187" s="9"/>
      <c r="G187" s="10"/>
      <c r="H187" s="6"/>
      <c r="I187" s="6"/>
      <c r="J187" s="6"/>
    </row>
    <row r="188" spans="1:10" x14ac:dyDescent="0.25">
      <c r="A188" s="12">
        <f t="shared" si="7"/>
        <v>186</v>
      </c>
      <c r="B188" s="12"/>
      <c r="C188" s="6"/>
      <c r="D188" s="13">
        <f t="shared" si="8"/>
        <v>134396276</v>
      </c>
      <c r="E188" s="8" t="str">
        <f t="shared" si="9"/>
        <v>0802B974</v>
      </c>
      <c r="F188" s="9"/>
      <c r="G188" s="10"/>
      <c r="H188" s="6"/>
      <c r="I188" s="6"/>
      <c r="J188" s="6"/>
    </row>
    <row r="189" spans="1:10" x14ac:dyDescent="0.25">
      <c r="A189" s="12">
        <f t="shared" si="7"/>
        <v>187</v>
      </c>
      <c r="B189" s="12"/>
      <c r="C189" s="6"/>
      <c r="D189" s="13">
        <f t="shared" si="8"/>
        <v>134396278</v>
      </c>
      <c r="E189" s="8" t="str">
        <f t="shared" si="9"/>
        <v>0802B976</v>
      </c>
      <c r="F189" s="9"/>
      <c r="G189" s="10"/>
      <c r="H189" s="6"/>
      <c r="I189" s="6"/>
      <c r="J189" s="6"/>
    </row>
    <row r="190" spans="1:10" x14ac:dyDescent="0.25">
      <c r="A190" s="12">
        <f t="shared" si="7"/>
        <v>188</v>
      </c>
      <c r="B190" s="12"/>
      <c r="C190" s="6"/>
      <c r="D190" s="13">
        <f t="shared" si="8"/>
        <v>134396280</v>
      </c>
      <c r="E190" s="8" t="str">
        <f t="shared" si="9"/>
        <v>0802B978</v>
      </c>
      <c r="F190" s="9"/>
      <c r="G190" s="10"/>
      <c r="H190" s="6"/>
      <c r="I190" s="6"/>
      <c r="J190" s="6"/>
    </row>
    <row r="191" spans="1:10" x14ac:dyDescent="0.25">
      <c r="A191" s="12">
        <f t="shared" si="7"/>
        <v>189</v>
      </c>
      <c r="B191" s="12"/>
      <c r="C191" s="6"/>
      <c r="D191" s="13">
        <f t="shared" si="8"/>
        <v>134396282</v>
      </c>
      <c r="E191" s="8" t="str">
        <f t="shared" si="9"/>
        <v>0802B97A</v>
      </c>
      <c r="F191" s="9"/>
      <c r="G191" s="10"/>
      <c r="H191" s="6"/>
      <c r="I191" s="6"/>
      <c r="J191" s="6"/>
    </row>
    <row r="192" spans="1:10" x14ac:dyDescent="0.25">
      <c r="A192" s="12">
        <f t="shared" si="7"/>
        <v>190</v>
      </c>
      <c r="B192" s="12"/>
      <c r="C192" s="6"/>
      <c r="D192" s="13">
        <f t="shared" si="8"/>
        <v>134396284</v>
      </c>
      <c r="E192" s="8" t="str">
        <f t="shared" si="9"/>
        <v>0802B97C</v>
      </c>
      <c r="F192" s="9"/>
      <c r="G192" s="10"/>
      <c r="H192" s="6"/>
      <c r="I192" s="6"/>
      <c r="J192" s="6"/>
    </row>
    <row r="193" spans="1:10" x14ac:dyDescent="0.25">
      <c r="A193" s="12">
        <f t="shared" si="7"/>
        <v>191</v>
      </c>
      <c r="B193" s="12"/>
      <c r="C193" s="6"/>
      <c r="D193" s="13">
        <f t="shared" si="8"/>
        <v>134396286</v>
      </c>
      <c r="E193" s="8" t="str">
        <f t="shared" si="9"/>
        <v>0802B97E</v>
      </c>
      <c r="F193" s="9"/>
      <c r="G193" s="10"/>
      <c r="H193" s="6"/>
      <c r="I193" s="6"/>
      <c r="J193" s="6"/>
    </row>
    <row r="194" spans="1:10" x14ac:dyDescent="0.25">
      <c r="A194" s="12">
        <f t="shared" si="7"/>
        <v>192</v>
      </c>
      <c r="B194" s="12"/>
      <c r="C194" s="6"/>
      <c r="D194" s="13">
        <f t="shared" si="8"/>
        <v>134396288</v>
      </c>
      <c r="E194" s="8" t="str">
        <f t="shared" si="9"/>
        <v>0802B980</v>
      </c>
      <c r="F194" s="9"/>
      <c r="G194" s="10"/>
      <c r="H194" s="6"/>
      <c r="I194" s="6"/>
      <c r="J194" s="6"/>
    </row>
    <row r="195" spans="1:10" x14ac:dyDescent="0.25">
      <c r="A195" s="12">
        <f t="shared" si="7"/>
        <v>193</v>
      </c>
      <c r="B195" s="12"/>
      <c r="C195" s="6"/>
      <c r="D195" s="13">
        <f t="shared" si="8"/>
        <v>134396290</v>
      </c>
      <c r="E195" s="8" t="str">
        <f t="shared" si="9"/>
        <v>0802B982</v>
      </c>
      <c r="F195" s="9"/>
      <c r="G195" s="10"/>
      <c r="H195" s="6"/>
      <c r="I195" s="6"/>
      <c r="J195" s="6"/>
    </row>
    <row r="196" spans="1:10" x14ac:dyDescent="0.25">
      <c r="A196" s="12">
        <f t="shared" ref="A196:A257" si="10">A195+1</f>
        <v>194</v>
      </c>
      <c r="B196" s="12"/>
      <c r="C196" s="6"/>
      <c r="D196" s="13">
        <f t="shared" si="8"/>
        <v>134396292</v>
      </c>
      <c r="E196" s="8" t="str">
        <f t="shared" si="9"/>
        <v>0802B984</v>
      </c>
      <c r="F196" s="9"/>
      <c r="G196" s="10"/>
      <c r="H196" s="6"/>
      <c r="I196" s="6"/>
      <c r="J196" s="6"/>
    </row>
    <row r="197" spans="1:10" x14ac:dyDescent="0.25">
      <c r="A197" s="12">
        <f t="shared" si="10"/>
        <v>195</v>
      </c>
      <c r="B197" s="12"/>
      <c r="C197" s="6"/>
      <c r="D197" s="13">
        <f t="shared" ref="D197:D257" si="11">D196+2</f>
        <v>134396294</v>
      </c>
      <c r="E197" s="8" t="str">
        <f t="shared" si="9"/>
        <v>0802B986</v>
      </c>
      <c r="F197" s="9"/>
      <c r="G197" s="10"/>
      <c r="H197" s="6"/>
      <c r="I197" s="6"/>
      <c r="J197" s="6"/>
    </row>
    <row r="198" spans="1:10" x14ac:dyDescent="0.25">
      <c r="A198" s="12">
        <f t="shared" si="10"/>
        <v>196</v>
      </c>
      <c r="B198" s="12"/>
      <c r="C198" s="6"/>
      <c r="D198" s="13">
        <f t="shared" si="11"/>
        <v>134396296</v>
      </c>
      <c r="E198" s="8" t="str">
        <f t="shared" si="9"/>
        <v>0802B988</v>
      </c>
      <c r="F198" s="9"/>
      <c r="G198" s="10"/>
      <c r="H198" s="6"/>
      <c r="I198" s="6"/>
      <c r="J198" s="6"/>
    </row>
    <row r="199" spans="1:10" x14ac:dyDescent="0.25">
      <c r="A199" s="12">
        <f t="shared" si="10"/>
        <v>197</v>
      </c>
      <c r="B199" s="12"/>
      <c r="C199" s="6"/>
      <c r="D199" s="13">
        <f t="shared" si="11"/>
        <v>134396298</v>
      </c>
      <c r="E199" s="8" t="str">
        <f t="shared" si="9"/>
        <v>0802B98A</v>
      </c>
      <c r="F199" s="9"/>
      <c r="G199" s="10"/>
      <c r="H199" s="6"/>
      <c r="I199" s="6"/>
      <c r="J199" s="6"/>
    </row>
    <row r="200" spans="1:10" x14ac:dyDescent="0.25">
      <c r="A200" s="12">
        <f t="shared" si="10"/>
        <v>198</v>
      </c>
      <c r="B200" s="12"/>
      <c r="C200" s="6"/>
      <c r="D200" s="13">
        <f t="shared" si="11"/>
        <v>134396300</v>
      </c>
      <c r="E200" s="8" t="str">
        <f t="shared" si="9"/>
        <v>0802B98C</v>
      </c>
      <c r="F200" s="9"/>
      <c r="G200" s="10"/>
      <c r="H200" s="6"/>
      <c r="I200" s="6"/>
      <c r="J200" s="6"/>
    </row>
    <row r="201" spans="1:10" x14ac:dyDescent="0.25">
      <c r="A201" s="12">
        <f t="shared" si="10"/>
        <v>199</v>
      </c>
      <c r="B201" s="12"/>
      <c r="C201" s="6"/>
      <c r="D201" s="13">
        <f t="shared" si="11"/>
        <v>134396302</v>
      </c>
      <c r="E201" s="8" t="str">
        <f t="shared" si="9"/>
        <v>0802B98E</v>
      </c>
      <c r="F201" s="9"/>
      <c r="G201" s="10"/>
      <c r="H201" s="6"/>
      <c r="I201" s="6"/>
      <c r="J201" s="6"/>
    </row>
    <row r="202" spans="1:10" x14ac:dyDescent="0.25">
      <c r="A202" s="12">
        <f t="shared" si="10"/>
        <v>200</v>
      </c>
      <c r="B202" s="12"/>
      <c r="C202" s="6"/>
      <c r="D202" s="13">
        <f t="shared" si="11"/>
        <v>134396304</v>
      </c>
      <c r="E202" s="8" t="str">
        <f t="shared" si="9"/>
        <v>0802B990</v>
      </c>
      <c r="F202" s="9"/>
      <c r="G202" s="10"/>
      <c r="H202" s="6"/>
      <c r="I202" s="6"/>
      <c r="J202" s="6"/>
    </row>
    <row r="203" spans="1:10" x14ac:dyDescent="0.25">
      <c r="A203" s="12">
        <f t="shared" si="10"/>
        <v>201</v>
      </c>
      <c r="B203" s="12"/>
      <c r="C203" s="6"/>
      <c r="D203" s="13">
        <f t="shared" si="11"/>
        <v>134396306</v>
      </c>
      <c r="E203" s="8" t="str">
        <f t="shared" si="9"/>
        <v>0802B992</v>
      </c>
      <c r="F203" s="9"/>
      <c r="G203" s="10"/>
      <c r="H203" s="6"/>
      <c r="I203" s="6"/>
      <c r="J203" s="6"/>
    </row>
    <row r="204" spans="1:10" x14ac:dyDescent="0.25">
      <c r="A204" s="12">
        <f t="shared" si="10"/>
        <v>202</v>
      </c>
      <c r="B204" s="12"/>
      <c r="C204" s="6"/>
      <c r="D204" s="13">
        <f t="shared" si="11"/>
        <v>134396308</v>
      </c>
      <c r="E204" s="8" t="str">
        <f t="shared" si="9"/>
        <v>0802B994</v>
      </c>
      <c r="F204" s="9"/>
      <c r="G204" s="10"/>
      <c r="H204" s="6"/>
      <c r="I204" s="6"/>
      <c r="J204" s="6"/>
    </row>
    <row r="205" spans="1:10" x14ac:dyDescent="0.25">
      <c r="A205" s="12">
        <f t="shared" si="10"/>
        <v>203</v>
      </c>
      <c r="B205" s="12"/>
      <c r="C205" s="6"/>
      <c r="D205" s="13">
        <f t="shared" si="11"/>
        <v>134396310</v>
      </c>
      <c r="E205" s="8" t="str">
        <f t="shared" si="9"/>
        <v>0802B996</v>
      </c>
      <c r="F205" s="9"/>
      <c r="G205" s="10"/>
      <c r="H205" s="6"/>
      <c r="I205" s="6"/>
      <c r="J205" s="6"/>
    </row>
    <row r="206" spans="1:10" x14ac:dyDescent="0.25">
      <c r="A206" s="12">
        <f t="shared" si="10"/>
        <v>204</v>
      </c>
      <c r="B206" s="12"/>
      <c r="C206" s="6"/>
      <c r="D206" s="13">
        <f t="shared" si="11"/>
        <v>134396312</v>
      </c>
      <c r="E206" s="8" t="str">
        <f t="shared" si="9"/>
        <v>0802B998</v>
      </c>
      <c r="F206" s="9"/>
      <c r="G206" s="10"/>
      <c r="H206" s="6"/>
      <c r="I206" s="6"/>
      <c r="J206" s="6"/>
    </row>
    <row r="207" spans="1:10" x14ac:dyDescent="0.25">
      <c r="A207" s="12">
        <f t="shared" si="10"/>
        <v>205</v>
      </c>
      <c r="B207" s="12"/>
      <c r="C207" s="6"/>
      <c r="D207" s="13">
        <f t="shared" si="11"/>
        <v>134396314</v>
      </c>
      <c r="E207" s="8" t="str">
        <f t="shared" si="9"/>
        <v>0802B99A</v>
      </c>
      <c r="F207" s="9"/>
      <c r="G207" s="10"/>
      <c r="H207" s="6"/>
      <c r="I207" s="6"/>
      <c r="J207" s="6"/>
    </row>
    <row r="208" spans="1:10" x14ac:dyDescent="0.25">
      <c r="A208" s="12">
        <f t="shared" si="10"/>
        <v>206</v>
      </c>
      <c r="B208" s="12"/>
      <c r="C208" s="6"/>
      <c r="D208" s="13">
        <f t="shared" si="11"/>
        <v>134396316</v>
      </c>
      <c r="E208" s="8" t="str">
        <f t="shared" si="9"/>
        <v>0802B99C</v>
      </c>
      <c r="F208" s="9"/>
      <c r="G208" s="10"/>
      <c r="H208" s="6"/>
      <c r="I208" s="6"/>
      <c r="J208" s="6"/>
    </row>
    <row r="209" spans="1:10" x14ac:dyDescent="0.25">
      <c r="A209" s="12">
        <f t="shared" si="10"/>
        <v>207</v>
      </c>
      <c r="B209" s="12"/>
      <c r="C209" s="6"/>
      <c r="D209" s="13">
        <f t="shared" si="11"/>
        <v>134396318</v>
      </c>
      <c r="E209" s="8" t="str">
        <f t="shared" si="9"/>
        <v>0802B99E</v>
      </c>
      <c r="F209" s="9"/>
      <c r="G209" s="10"/>
      <c r="H209" s="6"/>
      <c r="I209" s="6"/>
      <c r="J209" s="6"/>
    </row>
    <row r="210" spans="1:10" x14ac:dyDescent="0.25">
      <c r="A210" s="12">
        <f t="shared" si="10"/>
        <v>208</v>
      </c>
      <c r="B210" s="12"/>
      <c r="C210" s="6"/>
      <c r="D210" s="13">
        <f t="shared" si="11"/>
        <v>134396320</v>
      </c>
      <c r="E210" s="8" t="str">
        <f t="shared" si="9"/>
        <v>0802B9A0</v>
      </c>
      <c r="F210" s="9"/>
      <c r="G210" s="10"/>
      <c r="H210" s="6"/>
      <c r="I210" s="6"/>
      <c r="J210" s="6"/>
    </row>
    <row r="211" spans="1:10" x14ac:dyDescent="0.25">
      <c r="A211" s="12">
        <f t="shared" si="10"/>
        <v>209</v>
      </c>
      <c r="B211" s="12"/>
      <c r="C211" s="6"/>
      <c r="D211" s="13">
        <f t="shared" si="11"/>
        <v>134396322</v>
      </c>
      <c r="E211" s="8" t="str">
        <f t="shared" si="9"/>
        <v>0802B9A2</v>
      </c>
      <c r="F211" s="9"/>
      <c r="G211" s="10"/>
      <c r="H211" s="6"/>
      <c r="I211" s="6"/>
      <c r="J211" s="6"/>
    </row>
    <row r="212" spans="1:10" x14ac:dyDescent="0.25">
      <c r="A212" s="12">
        <f t="shared" si="10"/>
        <v>210</v>
      </c>
      <c r="B212" s="12"/>
      <c r="C212" s="6"/>
      <c r="D212" s="13">
        <f t="shared" si="11"/>
        <v>134396324</v>
      </c>
      <c r="E212" s="8" t="str">
        <f t="shared" si="9"/>
        <v>0802B9A4</v>
      </c>
      <c r="F212" s="9"/>
      <c r="G212" s="10"/>
      <c r="H212" s="6"/>
      <c r="I212" s="6"/>
      <c r="J212" s="6"/>
    </row>
    <row r="213" spans="1:10" x14ac:dyDescent="0.25">
      <c r="A213" s="12">
        <f t="shared" si="10"/>
        <v>211</v>
      </c>
      <c r="B213" s="12"/>
      <c r="C213" s="6"/>
      <c r="D213" s="13">
        <f t="shared" si="11"/>
        <v>134396326</v>
      </c>
      <c r="E213" s="8" t="str">
        <f t="shared" si="9"/>
        <v>0802B9A6</v>
      </c>
      <c r="F213" s="9"/>
      <c r="G213" s="10"/>
      <c r="H213" s="6"/>
      <c r="I213" s="6"/>
      <c r="J213" s="6"/>
    </row>
    <row r="214" spans="1:10" x14ac:dyDescent="0.25">
      <c r="A214" s="12">
        <f t="shared" si="10"/>
        <v>212</v>
      </c>
      <c r="B214" s="12"/>
      <c r="C214" s="6"/>
      <c r="D214" s="13">
        <f t="shared" si="11"/>
        <v>134396328</v>
      </c>
      <c r="E214" s="8" t="str">
        <f t="shared" si="9"/>
        <v>0802B9A8</v>
      </c>
      <c r="F214" s="9"/>
      <c r="G214" s="10"/>
      <c r="H214" s="6"/>
      <c r="I214" s="6"/>
      <c r="J214" s="6"/>
    </row>
    <row r="215" spans="1:10" x14ac:dyDescent="0.25">
      <c r="A215" s="12">
        <f t="shared" si="10"/>
        <v>213</v>
      </c>
      <c r="B215" s="12"/>
      <c r="C215" s="6"/>
      <c r="D215" s="13">
        <f t="shared" si="11"/>
        <v>134396330</v>
      </c>
      <c r="E215" s="8" t="str">
        <f t="shared" si="9"/>
        <v>0802B9AA</v>
      </c>
      <c r="F215" s="9"/>
      <c r="G215" s="10"/>
      <c r="H215" s="6"/>
      <c r="I215" s="6"/>
      <c r="J215" s="6"/>
    </row>
    <row r="216" spans="1:10" x14ac:dyDescent="0.25">
      <c r="A216" s="12">
        <f t="shared" si="10"/>
        <v>214</v>
      </c>
      <c r="B216" s="12"/>
      <c r="C216" s="6"/>
      <c r="D216" s="13">
        <f t="shared" si="11"/>
        <v>134396332</v>
      </c>
      <c r="E216" s="8" t="str">
        <f t="shared" si="9"/>
        <v>0802B9AC</v>
      </c>
      <c r="F216" s="9"/>
      <c r="G216" s="10"/>
      <c r="H216" s="6"/>
      <c r="I216" s="6"/>
      <c r="J216" s="6"/>
    </row>
    <row r="217" spans="1:10" x14ac:dyDescent="0.25">
      <c r="A217" s="12">
        <f t="shared" si="10"/>
        <v>215</v>
      </c>
      <c r="B217" s="12"/>
      <c r="C217" s="6"/>
      <c r="D217" s="13">
        <f t="shared" si="11"/>
        <v>134396334</v>
      </c>
      <c r="E217" s="8" t="str">
        <f t="shared" si="9"/>
        <v>0802B9AE</v>
      </c>
      <c r="F217" s="9"/>
      <c r="G217" s="10"/>
      <c r="H217" s="6"/>
      <c r="I217" s="6"/>
      <c r="J217" s="6"/>
    </row>
    <row r="218" spans="1:10" x14ac:dyDescent="0.25">
      <c r="A218" s="12">
        <f t="shared" si="10"/>
        <v>216</v>
      </c>
      <c r="B218" s="12"/>
      <c r="C218" s="6"/>
      <c r="D218" s="13">
        <f t="shared" si="11"/>
        <v>134396336</v>
      </c>
      <c r="E218" s="8" t="str">
        <f t="shared" si="9"/>
        <v>0802B9B0</v>
      </c>
      <c r="F218" s="9"/>
      <c r="G218" s="10"/>
      <c r="H218" s="6"/>
      <c r="I218" s="6"/>
      <c r="J218" s="6"/>
    </row>
    <row r="219" spans="1:10" x14ac:dyDescent="0.25">
      <c r="A219" s="12">
        <f t="shared" si="10"/>
        <v>217</v>
      </c>
      <c r="B219" s="12"/>
      <c r="C219" s="6"/>
      <c r="D219" s="13">
        <f t="shared" si="11"/>
        <v>134396338</v>
      </c>
      <c r="E219" s="8" t="str">
        <f t="shared" si="9"/>
        <v>0802B9B2</v>
      </c>
      <c r="F219" s="9"/>
      <c r="G219" s="10"/>
      <c r="H219" s="6"/>
      <c r="I219" s="6"/>
      <c r="J219" s="6"/>
    </row>
    <row r="220" spans="1:10" x14ac:dyDescent="0.25">
      <c r="A220" s="12">
        <f t="shared" si="10"/>
        <v>218</v>
      </c>
      <c r="B220" s="12"/>
      <c r="C220" s="6"/>
      <c r="D220" s="13">
        <f t="shared" si="11"/>
        <v>134396340</v>
      </c>
      <c r="E220" s="8" t="str">
        <f t="shared" si="9"/>
        <v>0802B9B4</v>
      </c>
      <c r="F220" s="9"/>
      <c r="G220" s="10"/>
      <c r="H220" s="6"/>
      <c r="I220" s="6"/>
      <c r="J220" s="6"/>
    </row>
    <row r="221" spans="1:10" x14ac:dyDescent="0.25">
      <c r="A221" s="12">
        <f t="shared" si="10"/>
        <v>219</v>
      </c>
      <c r="B221" s="12"/>
      <c r="C221" s="6"/>
      <c r="D221" s="13">
        <f t="shared" si="11"/>
        <v>134396342</v>
      </c>
      <c r="E221" s="8" t="str">
        <f t="shared" si="9"/>
        <v>0802B9B6</v>
      </c>
      <c r="F221" s="9"/>
      <c r="G221" s="10"/>
      <c r="H221" s="6"/>
      <c r="I221" s="6"/>
      <c r="J221" s="6"/>
    </row>
    <row r="222" spans="1:10" x14ac:dyDescent="0.25">
      <c r="A222" s="12">
        <f t="shared" si="10"/>
        <v>220</v>
      </c>
      <c r="B222" s="12"/>
      <c r="C222" s="6"/>
      <c r="D222" s="13">
        <f t="shared" si="11"/>
        <v>134396344</v>
      </c>
      <c r="E222" s="8" t="str">
        <f t="shared" si="9"/>
        <v>0802B9B8</v>
      </c>
      <c r="F222" s="9"/>
      <c r="G222" s="10"/>
      <c r="H222" s="6"/>
      <c r="I222" s="6"/>
      <c r="J222" s="6"/>
    </row>
    <row r="223" spans="1:10" x14ac:dyDescent="0.25">
      <c r="A223" s="12">
        <f t="shared" si="10"/>
        <v>221</v>
      </c>
      <c r="B223" s="12"/>
      <c r="C223" s="6"/>
      <c r="D223" s="13">
        <f t="shared" si="11"/>
        <v>134396346</v>
      </c>
      <c r="E223" s="8" t="str">
        <f t="shared" si="9"/>
        <v>0802B9BA</v>
      </c>
      <c r="F223" s="9"/>
      <c r="G223" s="10"/>
      <c r="H223" s="6"/>
      <c r="I223" s="6"/>
      <c r="J223" s="6"/>
    </row>
    <row r="224" spans="1:10" x14ac:dyDescent="0.25">
      <c r="A224" s="12">
        <f t="shared" si="10"/>
        <v>222</v>
      </c>
      <c r="B224" s="12"/>
      <c r="C224" s="6"/>
      <c r="D224" s="13">
        <f t="shared" si="11"/>
        <v>134396348</v>
      </c>
      <c r="E224" s="8" t="str">
        <f t="shared" si="9"/>
        <v>0802B9BC</v>
      </c>
      <c r="F224" s="9"/>
      <c r="G224" s="10"/>
      <c r="H224" s="6"/>
      <c r="I224" s="6"/>
      <c r="J224" s="6"/>
    </row>
    <row r="225" spans="1:10" x14ac:dyDescent="0.25">
      <c r="A225" s="12">
        <f t="shared" si="10"/>
        <v>223</v>
      </c>
      <c r="B225" s="12"/>
      <c r="C225" s="6"/>
      <c r="D225" s="13">
        <f t="shared" si="11"/>
        <v>134396350</v>
      </c>
      <c r="E225" s="8" t="str">
        <f t="shared" si="9"/>
        <v>0802B9BE</v>
      </c>
      <c r="F225" s="9"/>
      <c r="G225" s="10"/>
      <c r="H225" s="6"/>
      <c r="I225" s="6"/>
      <c r="J225" s="6"/>
    </row>
    <row r="226" spans="1:10" x14ac:dyDescent="0.25">
      <c r="A226" s="12">
        <f t="shared" si="10"/>
        <v>224</v>
      </c>
      <c r="B226" s="12"/>
      <c r="C226" s="6"/>
      <c r="D226" s="13">
        <f t="shared" si="11"/>
        <v>134396352</v>
      </c>
      <c r="E226" s="8" t="str">
        <f t="shared" si="9"/>
        <v>0802B9C0</v>
      </c>
      <c r="F226" s="9"/>
      <c r="G226" s="10"/>
      <c r="H226" s="6"/>
      <c r="I226" s="6"/>
      <c r="J226" s="6"/>
    </row>
    <row r="227" spans="1:10" x14ac:dyDescent="0.25">
      <c r="A227" s="12">
        <f t="shared" si="10"/>
        <v>225</v>
      </c>
      <c r="B227" s="12"/>
      <c r="C227" s="6"/>
      <c r="D227" s="13">
        <f t="shared" si="11"/>
        <v>134396354</v>
      </c>
      <c r="E227" s="8" t="str">
        <f t="shared" si="9"/>
        <v>0802B9C2</v>
      </c>
      <c r="F227" s="9"/>
      <c r="G227" s="10"/>
      <c r="H227" s="6"/>
      <c r="I227" s="6"/>
      <c r="J227" s="6"/>
    </row>
    <row r="228" spans="1:10" x14ac:dyDescent="0.25">
      <c r="A228" s="12">
        <f t="shared" si="10"/>
        <v>226</v>
      </c>
      <c r="B228" s="12"/>
      <c r="C228" s="6"/>
      <c r="D228" s="13">
        <f t="shared" si="11"/>
        <v>134396356</v>
      </c>
      <c r="E228" s="8" t="str">
        <f t="shared" si="9"/>
        <v>0802B9C4</v>
      </c>
      <c r="F228" s="9"/>
      <c r="G228" s="10"/>
      <c r="H228" s="6"/>
      <c r="I228" s="6"/>
      <c r="J228" s="6"/>
    </row>
    <row r="229" spans="1:10" x14ac:dyDescent="0.25">
      <c r="A229" s="12">
        <f t="shared" si="10"/>
        <v>227</v>
      </c>
      <c r="B229" s="12"/>
      <c r="C229" s="6"/>
      <c r="D229" s="13">
        <f t="shared" si="11"/>
        <v>134396358</v>
      </c>
      <c r="E229" s="8" t="str">
        <f t="shared" si="9"/>
        <v>0802B9C6</v>
      </c>
      <c r="F229" s="9"/>
      <c r="G229" s="10"/>
      <c r="H229" s="6"/>
      <c r="I229" s="6"/>
      <c r="J229" s="6"/>
    </row>
    <row r="230" spans="1:10" x14ac:dyDescent="0.25">
      <c r="A230" s="12">
        <f t="shared" si="10"/>
        <v>228</v>
      </c>
      <c r="B230" s="12"/>
      <c r="C230" s="6"/>
      <c r="D230" s="13">
        <f t="shared" si="11"/>
        <v>134396360</v>
      </c>
      <c r="E230" s="8" t="str">
        <f t="shared" si="9"/>
        <v>0802B9C8</v>
      </c>
      <c r="F230" s="9"/>
      <c r="G230" s="10"/>
      <c r="H230" s="6"/>
      <c r="I230" s="6"/>
      <c r="J230" s="6"/>
    </row>
    <row r="231" spans="1:10" x14ac:dyDescent="0.25">
      <c r="A231" s="12">
        <f t="shared" si="10"/>
        <v>229</v>
      </c>
      <c r="B231" s="12"/>
      <c r="C231" s="6"/>
      <c r="D231" s="13">
        <f t="shared" si="11"/>
        <v>134396362</v>
      </c>
      <c r="E231" s="8" t="str">
        <f t="shared" si="9"/>
        <v>0802B9CA</v>
      </c>
      <c r="F231" s="9"/>
      <c r="G231" s="10"/>
      <c r="H231" s="6"/>
      <c r="I231" s="6"/>
      <c r="J231" s="6"/>
    </row>
    <row r="232" spans="1:10" x14ac:dyDescent="0.25">
      <c r="A232" s="12">
        <f t="shared" si="10"/>
        <v>230</v>
      </c>
      <c r="B232" s="12"/>
      <c r="C232" s="6"/>
      <c r="D232" s="13">
        <f t="shared" si="11"/>
        <v>134396364</v>
      </c>
      <c r="E232" s="8" t="str">
        <f t="shared" ref="E232:E257" si="12">DEC2HEX(D232,8)</f>
        <v>0802B9CC</v>
      </c>
      <c r="F232" s="9"/>
      <c r="G232" s="10"/>
      <c r="H232" s="6"/>
      <c r="I232" s="6"/>
      <c r="J232" s="6"/>
    </row>
    <row r="233" spans="1:10" x14ac:dyDescent="0.25">
      <c r="A233" s="12">
        <f t="shared" si="10"/>
        <v>231</v>
      </c>
      <c r="B233" s="12"/>
      <c r="C233" s="6"/>
      <c r="D233" s="13">
        <f t="shared" si="11"/>
        <v>134396366</v>
      </c>
      <c r="E233" s="8" t="str">
        <f t="shared" si="12"/>
        <v>0802B9CE</v>
      </c>
      <c r="F233" s="9"/>
      <c r="G233" s="10"/>
      <c r="H233" s="6"/>
      <c r="I233" s="6"/>
      <c r="J233" s="6"/>
    </row>
    <row r="234" spans="1:10" x14ac:dyDescent="0.25">
      <c r="A234" s="12">
        <f t="shared" si="10"/>
        <v>232</v>
      </c>
      <c r="B234" s="12"/>
      <c r="C234" s="6"/>
      <c r="D234" s="13">
        <f t="shared" si="11"/>
        <v>134396368</v>
      </c>
      <c r="E234" s="8" t="str">
        <f t="shared" si="12"/>
        <v>0802B9D0</v>
      </c>
      <c r="F234" s="9"/>
      <c r="G234" s="10"/>
      <c r="H234" s="6"/>
      <c r="I234" s="6"/>
      <c r="J234" s="6"/>
    </row>
    <row r="235" spans="1:10" x14ac:dyDescent="0.25">
      <c r="A235" s="12">
        <f t="shared" si="10"/>
        <v>233</v>
      </c>
      <c r="B235" s="12"/>
      <c r="C235" s="6"/>
      <c r="D235" s="13">
        <f t="shared" si="11"/>
        <v>134396370</v>
      </c>
      <c r="E235" s="8" t="str">
        <f t="shared" si="12"/>
        <v>0802B9D2</v>
      </c>
      <c r="F235" s="9"/>
      <c r="G235" s="10"/>
      <c r="H235" s="6"/>
      <c r="I235" s="6"/>
      <c r="J235" s="6"/>
    </row>
    <row r="236" spans="1:10" x14ac:dyDescent="0.25">
      <c r="A236" s="12">
        <f t="shared" si="10"/>
        <v>234</v>
      </c>
      <c r="B236" s="12"/>
      <c r="C236" s="6"/>
      <c r="D236" s="13">
        <f t="shared" si="11"/>
        <v>134396372</v>
      </c>
      <c r="E236" s="8" t="str">
        <f t="shared" si="12"/>
        <v>0802B9D4</v>
      </c>
      <c r="F236" s="9"/>
      <c r="G236" s="10"/>
      <c r="H236" s="6"/>
      <c r="I236" s="6"/>
      <c r="J236" s="6"/>
    </row>
    <row r="237" spans="1:10" x14ac:dyDescent="0.25">
      <c r="A237" s="12">
        <f t="shared" si="10"/>
        <v>235</v>
      </c>
      <c r="B237" s="12"/>
      <c r="C237" s="6"/>
      <c r="D237" s="13">
        <f t="shared" si="11"/>
        <v>134396374</v>
      </c>
      <c r="E237" s="8" t="str">
        <f t="shared" si="12"/>
        <v>0802B9D6</v>
      </c>
      <c r="F237" s="9"/>
      <c r="G237" s="10"/>
      <c r="H237" s="6"/>
      <c r="I237" s="6"/>
      <c r="J237" s="6"/>
    </row>
    <row r="238" spans="1:10" x14ac:dyDescent="0.25">
      <c r="A238" s="12">
        <f t="shared" si="10"/>
        <v>236</v>
      </c>
      <c r="B238" s="12"/>
      <c r="C238" s="6"/>
      <c r="D238" s="13">
        <f t="shared" si="11"/>
        <v>134396376</v>
      </c>
      <c r="E238" s="8" t="str">
        <f t="shared" si="12"/>
        <v>0802B9D8</v>
      </c>
      <c r="F238" s="9"/>
      <c r="G238" s="10"/>
      <c r="H238" s="6"/>
      <c r="I238" s="6"/>
      <c r="J238" s="6"/>
    </row>
    <row r="239" spans="1:10" x14ac:dyDescent="0.25">
      <c r="A239" s="12">
        <f t="shared" si="10"/>
        <v>237</v>
      </c>
      <c r="B239" s="12"/>
      <c r="C239" s="6"/>
      <c r="D239" s="13">
        <f t="shared" si="11"/>
        <v>134396378</v>
      </c>
      <c r="E239" s="8" t="str">
        <f t="shared" si="12"/>
        <v>0802B9DA</v>
      </c>
      <c r="F239" s="9"/>
      <c r="G239" s="10"/>
      <c r="H239" s="6"/>
      <c r="I239" s="6"/>
      <c r="J239" s="6"/>
    </row>
    <row r="240" spans="1:10" x14ac:dyDescent="0.25">
      <c r="A240" s="12">
        <f t="shared" si="10"/>
        <v>238</v>
      </c>
      <c r="B240" s="12"/>
      <c r="C240" s="6"/>
      <c r="D240" s="13">
        <f t="shared" si="11"/>
        <v>134396380</v>
      </c>
      <c r="E240" s="8" t="str">
        <f t="shared" si="12"/>
        <v>0802B9DC</v>
      </c>
      <c r="F240" s="9"/>
      <c r="G240" s="10"/>
      <c r="H240" s="6"/>
      <c r="I240" s="6"/>
      <c r="J240" s="6"/>
    </row>
    <row r="241" spans="1:10" x14ac:dyDescent="0.25">
      <c r="A241" s="12">
        <f t="shared" si="10"/>
        <v>239</v>
      </c>
      <c r="B241" s="12"/>
      <c r="C241" s="6"/>
      <c r="D241" s="13">
        <f t="shared" si="11"/>
        <v>134396382</v>
      </c>
      <c r="E241" s="8" t="str">
        <f t="shared" si="12"/>
        <v>0802B9DE</v>
      </c>
      <c r="F241" s="9"/>
      <c r="G241" s="10"/>
      <c r="H241" s="6"/>
      <c r="I241" s="6"/>
      <c r="J241" s="6"/>
    </row>
    <row r="242" spans="1:10" x14ac:dyDescent="0.25">
      <c r="A242" s="12">
        <f t="shared" si="10"/>
        <v>240</v>
      </c>
      <c r="B242" s="12"/>
      <c r="C242" s="6"/>
      <c r="D242" s="13">
        <f t="shared" si="11"/>
        <v>134396384</v>
      </c>
      <c r="E242" s="8" t="str">
        <f t="shared" si="12"/>
        <v>0802B9E0</v>
      </c>
      <c r="F242" s="9"/>
      <c r="G242" s="10"/>
      <c r="H242" s="6"/>
      <c r="I242" s="6"/>
      <c r="J242" s="6"/>
    </row>
    <row r="243" spans="1:10" x14ac:dyDescent="0.25">
      <c r="A243" s="12">
        <f t="shared" si="10"/>
        <v>241</v>
      </c>
      <c r="B243" s="12"/>
      <c r="C243" s="6"/>
      <c r="D243" s="13">
        <f t="shared" si="11"/>
        <v>134396386</v>
      </c>
      <c r="E243" s="8" t="str">
        <f t="shared" si="12"/>
        <v>0802B9E2</v>
      </c>
      <c r="F243" s="9"/>
      <c r="G243" s="10"/>
      <c r="H243" s="6"/>
      <c r="I243" s="6"/>
      <c r="J243" s="6"/>
    </row>
    <row r="244" spans="1:10" x14ac:dyDescent="0.25">
      <c r="A244" s="12">
        <f t="shared" si="10"/>
        <v>242</v>
      </c>
      <c r="B244" s="12"/>
      <c r="C244" s="6"/>
      <c r="D244" s="13">
        <f t="shared" si="11"/>
        <v>134396388</v>
      </c>
      <c r="E244" s="8" t="str">
        <f t="shared" si="12"/>
        <v>0802B9E4</v>
      </c>
      <c r="F244" s="9"/>
      <c r="G244" s="10"/>
      <c r="H244" s="6"/>
      <c r="I244" s="6"/>
      <c r="J244" s="6"/>
    </row>
    <row r="245" spans="1:10" x14ac:dyDescent="0.25">
      <c r="A245" s="12">
        <f t="shared" si="10"/>
        <v>243</v>
      </c>
      <c r="B245" s="12"/>
      <c r="C245" s="6"/>
      <c r="D245" s="13">
        <f t="shared" si="11"/>
        <v>134396390</v>
      </c>
      <c r="E245" s="8" t="str">
        <f t="shared" si="12"/>
        <v>0802B9E6</v>
      </c>
      <c r="F245" s="9"/>
      <c r="G245" s="10"/>
      <c r="H245" s="6"/>
      <c r="I245" s="6"/>
      <c r="J245" s="6"/>
    </row>
    <row r="246" spans="1:10" x14ac:dyDescent="0.25">
      <c r="A246" s="12">
        <f t="shared" si="10"/>
        <v>244</v>
      </c>
      <c r="B246" s="12"/>
      <c r="C246" s="6"/>
      <c r="D246" s="13">
        <f t="shared" si="11"/>
        <v>134396392</v>
      </c>
      <c r="E246" s="8" t="str">
        <f t="shared" si="12"/>
        <v>0802B9E8</v>
      </c>
      <c r="F246" s="9"/>
      <c r="G246" s="10"/>
      <c r="H246" s="6"/>
      <c r="I246" s="6"/>
      <c r="J246" s="6"/>
    </row>
    <row r="247" spans="1:10" x14ac:dyDescent="0.25">
      <c r="A247" s="12">
        <f t="shared" si="10"/>
        <v>245</v>
      </c>
      <c r="B247" s="12"/>
      <c r="C247" s="6"/>
      <c r="D247" s="13">
        <f t="shared" si="11"/>
        <v>134396394</v>
      </c>
      <c r="E247" s="8" t="str">
        <f t="shared" si="12"/>
        <v>0802B9EA</v>
      </c>
      <c r="F247" s="9"/>
      <c r="G247" s="10"/>
      <c r="H247" s="6"/>
      <c r="I247" s="6"/>
      <c r="J247" s="6"/>
    </row>
    <row r="248" spans="1:10" x14ac:dyDescent="0.25">
      <c r="A248" s="12">
        <f t="shared" si="10"/>
        <v>246</v>
      </c>
      <c r="B248" s="12"/>
      <c r="C248" s="6"/>
      <c r="D248" s="13">
        <f t="shared" si="11"/>
        <v>134396396</v>
      </c>
      <c r="E248" s="8" t="str">
        <f t="shared" si="12"/>
        <v>0802B9EC</v>
      </c>
      <c r="F248" s="9"/>
      <c r="G248" s="10"/>
      <c r="H248" s="6"/>
      <c r="I248" s="6"/>
      <c r="J248" s="6"/>
    </row>
    <row r="249" spans="1:10" x14ac:dyDescent="0.25">
      <c r="A249" s="12">
        <f t="shared" si="10"/>
        <v>247</v>
      </c>
      <c r="B249" s="12"/>
      <c r="C249" s="6"/>
      <c r="D249" s="13">
        <f t="shared" si="11"/>
        <v>134396398</v>
      </c>
      <c r="E249" s="8" t="str">
        <f t="shared" si="12"/>
        <v>0802B9EE</v>
      </c>
      <c r="F249" s="9"/>
      <c r="G249" s="10"/>
      <c r="H249" s="6"/>
      <c r="I249" s="6"/>
      <c r="J249" s="6"/>
    </row>
    <row r="250" spans="1:10" x14ac:dyDescent="0.25">
      <c r="A250" s="12">
        <f t="shared" si="10"/>
        <v>248</v>
      </c>
      <c r="B250" s="12"/>
      <c r="C250" s="6"/>
      <c r="D250" s="13">
        <f t="shared" si="11"/>
        <v>134396400</v>
      </c>
      <c r="E250" s="8" t="str">
        <f t="shared" si="12"/>
        <v>0802B9F0</v>
      </c>
      <c r="F250" s="9"/>
      <c r="G250" s="10"/>
      <c r="H250" s="6"/>
      <c r="I250" s="6"/>
      <c r="J250" s="6"/>
    </row>
    <row r="251" spans="1:10" x14ac:dyDescent="0.25">
      <c r="A251" s="12">
        <f t="shared" si="10"/>
        <v>249</v>
      </c>
      <c r="B251" s="12"/>
      <c r="C251" s="6"/>
      <c r="D251" s="13">
        <f t="shared" si="11"/>
        <v>134396402</v>
      </c>
      <c r="E251" s="8" t="str">
        <f t="shared" si="12"/>
        <v>0802B9F2</v>
      </c>
      <c r="F251" s="9"/>
      <c r="G251" s="10"/>
      <c r="H251" s="6"/>
      <c r="I251" s="6"/>
      <c r="J251" s="6"/>
    </row>
    <row r="252" spans="1:10" x14ac:dyDescent="0.25">
      <c r="A252" s="12">
        <f t="shared" si="10"/>
        <v>250</v>
      </c>
      <c r="B252" s="12"/>
      <c r="C252" s="6"/>
      <c r="D252" s="13">
        <f t="shared" si="11"/>
        <v>134396404</v>
      </c>
      <c r="E252" s="8" t="str">
        <f t="shared" si="12"/>
        <v>0802B9F4</v>
      </c>
      <c r="F252" s="9"/>
      <c r="G252" s="10"/>
      <c r="H252" s="6"/>
      <c r="I252" s="6"/>
      <c r="J252" s="6"/>
    </row>
    <row r="253" spans="1:10" x14ac:dyDescent="0.25">
      <c r="A253" s="12">
        <f t="shared" si="10"/>
        <v>251</v>
      </c>
      <c r="B253" s="12"/>
      <c r="C253" s="6"/>
      <c r="D253" s="13">
        <f t="shared" si="11"/>
        <v>134396406</v>
      </c>
      <c r="E253" s="8" t="str">
        <f t="shared" si="12"/>
        <v>0802B9F6</v>
      </c>
      <c r="F253" s="9"/>
      <c r="G253" s="10"/>
      <c r="H253" s="6"/>
      <c r="I253" s="6"/>
      <c r="J253" s="6"/>
    </row>
    <row r="254" spans="1:10" x14ac:dyDescent="0.25">
      <c r="A254" s="12">
        <f t="shared" si="10"/>
        <v>252</v>
      </c>
      <c r="B254" s="12"/>
      <c r="C254" s="6"/>
      <c r="D254" s="13">
        <f t="shared" si="11"/>
        <v>134396408</v>
      </c>
      <c r="E254" s="8" t="str">
        <f t="shared" si="12"/>
        <v>0802B9F8</v>
      </c>
      <c r="F254" s="9"/>
      <c r="G254" s="10"/>
      <c r="H254" s="6"/>
      <c r="I254" s="6"/>
      <c r="J254" s="6"/>
    </row>
    <row r="255" spans="1:10" x14ac:dyDescent="0.25">
      <c r="A255" s="12">
        <f t="shared" si="10"/>
        <v>253</v>
      </c>
      <c r="B255" s="12"/>
      <c r="C255" s="6"/>
      <c r="D255" s="13">
        <f t="shared" si="11"/>
        <v>134396410</v>
      </c>
      <c r="E255" s="8" t="str">
        <f t="shared" si="12"/>
        <v>0802B9FA</v>
      </c>
      <c r="F255" s="9"/>
      <c r="G255" s="10"/>
      <c r="H255" s="6"/>
      <c r="I255" s="6"/>
      <c r="J255" s="6"/>
    </row>
    <row r="256" spans="1:10" x14ac:dyDescent="0.25">
      <c r="A256" s="12">
        <f t="shared" si="10"/>
        <v>254</v>
      </c>
      <c r="B256" s="12"/>
      <c r="C256" s="6"/>
      <c r="D256" s="13">
        <f t="shared" si="11"/>
        <v>134396412</v>
      </c>
      <c r="E256" s="8" t="str">
        <f t="shared" si="12"/>
        <v>0802B9FC</v>
      </c>
      <c r="F256" s="9"/>
      <c r="G256" s="10"/>
      <c r="H256" s="6"/>
      <c r="I256" s="6"/>
      <c r="J256" s="6"/>
    </row>
    <row r="257" spans="1:10" x14ac:dyDescent="0.25">
      <c r="A257" s="12">
        <f t="shared" si="10"/>
        <v>255</v>
      </c>
      <c r="B257" s="12"/>
      <c r="C257" s="6"/>
      <c r="D257" s="13">
        <f t="shared" si="11"/>
        <v>134396414</v>
      </c>
      <c r="E257" s="8" t="str">
        <f t="shared" si="12"/>
        <v>0802B9FE</v>
      </c>
      <c r="F257" s="9"/>
      <c r="G257" s="10"/>
      <c r="H257" s="6"/>
      <c r="I257" s="6"/>
      <c r="J257" s="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9</xdr:col>
                <xdr:colOff>3495675</xdr:colOff>
                <xdr:row>0</xdr:row>
                <xdr:rowOff>104775</xdr:rowOff>
              </from>
              <to>
                <xdr:col>9</xdr:col>
                <xdr:colOff>4362450</xdr:colOff>
                <xdr:row>0</xdr:row>
                <xdr:rowOff>581025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61BE0-C18B-4170-973D-58823A1146A7}">
  <sheetPr codeName="Sheet7">
    <pageSetUpPr fitToPage="1"/>
  </sheetPr>
  <dimension ref="A1:K199"/>
  <sheetViews>
    <sheetView showGridLines="0" tabSelected="1" topLeftCell="F1" zoomScaleNormal="115" workbookViewId="0">
      <pane ySplit="1" topLeftCell="A2" activePane="bottomLeft" state="frozen"/>
      <selection pane="bottomLeft" activeCell="G2" sqref="G2"/>
    </sheetView>
  </sheetViews>
  <sheetFormatPr defaultColWidth="8.25" defaultRowHeight="12.75" x14ac:dyDescent="0.2"/>
  <cols>
    <col min="1" max="1" width="16" style="22" bestFit="1" customWidth="1"/>
    <col min="2" max="4" width="3.375" style="22" customWidth="1"/>
    <col min="5" max="5" width="6.375" style="22" customWidth="1"/>
    <col min="6" max="8" width="30.625" style="23" customWidth="1"/>
    <col min="9" max="9" width="26.625" style="23" customWidth="1"/>
    <col min="10" max="10" width="61.25" style="23" customWidth="1"/>
    <col min="11" max="11" width="44" style="23" bestFit="1" customWidth="1"/>
    <col min="12" max="16384" width="8.25" style="22"/>
  </cols>
  <sheetData>
    <row r="1" spans="1:11" ht="82.9" customHeight="1" x14ac:dyDescent="0.2">
      <c r="A1" s="20" t="s">
        <v>4</v>
      </c>
      <c r="B1" s="26" t="s">
        <v>39</v>
      </c>
      <c r="C1" s="26" t="s">
        <v>38</v>
      </c>
      <c r="D1" s="26" t="s">
        <v>46</v>
      </c>
      <c r="E1" s="20" t="s">
        <v>45</v>
      </c>
      <c r="F1" s="21" t="s">
        <v>306</v>
      </c>
      <c r="G1" s="21" t="s">
        <v>308</v>
      </c>
      <c r="H1" s="21" t="s">
        <v>307</v>
      </c>
      <c r="I1" s="21" t="s">
        <v>36</v>
      </c>
      <c r="J1" s="21" t="s">
        <v>37</v>
      </c>
      <c r="K1" s="21" t="s">
        <v>0</v>
      </c>
    </row>
    <row r="2" spans="1:11" s="24" customFormat="1" x14ac:dyDescent="0.2">
      <c r="A2" s="76" t="s">
        <v>253</v>
      </c>
      <c r="B2" s="79" t="s">
        <v>125</v>
      </c>
      <c r="C2" s="79"/>
      <c r="D2" s="79"/>
      <c r="E2" s="80">
        <v>11001</v>
      </c>
      <c r="F2" s="81" t="s">
        <v>247</v>
      </c>
      <c r="G2" s="81"/>
      <c r="H2" s="81"/>
      <c r="I2" s="81" t="s">
        <v>248</v>
      </c>
      <c r="J2" s="81" t="s">
        <v>250</v>
      </c>
      <c r="K2" s="81"/>
    </row>
    <row r="3" spans="1:11" s="24" customFormat="1" x14ac:dyDescent="0.2">
      <c r="A3" s="77"/>
      <c r="B3" s="82" t="s">
        <v>125</v>
      </c>
      <c r="C3" s="82"/>
      <c r="D3" s="82"/>
      <c r="E3" s="83">
        <f>E2+1</f>
        <v>11002</v>
      </c>
      <c r="F3" s="84" t="s">
        <v>249</v>
      </c>
      <c r="G3" s="84"/>
      <c r="H3" s="84"/>
      <c r="I3" s="84"/>
      <c r="J3" s="84" t="s">
        <v>251</v>
      </c>
      <c r="K3" s="84"/>
    </row>
    <row r="4" spans="1:11" s="24" customFormat="1" x14ac:dyDescent="0.2">
      <c r="A4" s="77"/>
      <c r="B4" s="82" t="s">
        <v>125</v>
      </c>
      <c r="C4" s="82"/>
      <c r="D4" s="82"/>
      <c r="E4" s="83">
        <f>E3+1</f>
        <v>11003</v>
      </c>
      <c r="F4" s="84"/>
      <c r="G4" s="84"/>
      <c r="H4" s="84"/>
      <c r="I4" s="84"/>
      <c r="J4" s="84"/>
      <c r="K4" s="84"/>
    </row>
    <row r="5" spans="1:11" s="24" customFormat="1" x14ac:dyDescent="0.2">
      <c r="A5" s="77"/>
      <c r="B5" s="82" t="s">
        <v>125</v>
      </c>
      <c r="C5" s="82"/>
      <c r="D5" s="82"/>
      <c r="E5" s="83">
        <f>E4+1</f>
        <v>11004</v>
      </c>
      <c r="F5" s="84"/>
      <c r="G5" s="84"/>
      <c r="H5" s="84"/>
      <c r="I5" s="84"/>
      <c r="J5" s="84"/>
      <c r="K5" s="84"/>
    </row>
    <row r="6" spans="1:11" s="24" customFormat="1" x14ac:dyDescent="0.2">
      <c r="A6" s="77"/>
      <c r="B6" s="85" t="s">
        <v>125</v>
      </c>
      <c r="C6" s="85"/>
      <c r="D6" s="85"/>
      <c r="E6" s="86"/>
      <c r="F6" s="87"/>
      <c r="G6" s="87"/>
      <c r="H6" s="87"/>
      <c r="I6" s="87"/>
      <c r="J6" s="87"/>
      <c r="K6" s="87"/>
    </row>
    <row r="7" spans="1:11" s="24" customFormat="1" x14ac:dyDescent="0.2">
      <c r="A7" s="77"/>
      <c r="B7" s="79"/>
      <c r="C7" s="79" t="s">
        <v>125</v>
      </c>
      <c r="D7" s="79"/>
      <c r="E7" s="80">
        <v>12001</v>
      </c>
      <c r="F7" s="81"/>
      <c r="G7" s="81"/>
      <c r="H7" s="81"/>
      <c r="I7" s="81"/>
      <c r="J7" s="81"/>
      <c r="K7" s="81"/>
    </row>
    <row r="8" spans="1:11" s="24" customFormat="1" x14ac:dyDescent="0.2">
      <c r="A8" s="77"/>
      <c r="B8" s="82"/>
      <c r="C8" s="82" t="s">
        <v>125</v>
      </c>
      <c r="D8" s="82"/>
      <c r="E8" s="83">
        <f>E7+1</f>
        <v>12002</v>
      </c>
      <c r="F8" s="84"/>
      <c r="G8" s="84"/>
      <c r="H8" s="84"/>
      <c r="I8" s="84"/>
      <c r="J8" s="84"/>
      <c r="K8" s="84"/>
    </row>
    <row r="9" spans="1:11" s="24" customFormat="1" x14ac:dyDescent="0.2">
      <c r="A9" s="77"/>
      <c r="B9" s="85"/>
      <c r="C9" s="85" t="s">
        <v>125</v>
      </c>
      <c r="D9" s="85"/>
      <c r="E9" s="86"/>
      <c r="F9" s="87"/>
      <c r="G9" s="87"/>
      <c r="H9" s="87"/>
      <c r="I9" s="87"/>
      <c r="J9" s="87"/>
      <c r="K9" s="87"/>
    </row>
    <row r="10" spans="1:11" s="24" customFormat="1" x14ac:dyDescent="0.2">
      <c r="A10" s="77"/>
      <c r="B10" s="76"/>
      <c r="C10" s="76"/>
      <c r="D10" s="76" t="s">
        <v>125</v>
      </c>
      <c r="E10" s="107">
        <v>13001</v>
      </c>
      <c r="F10" s="81" t="s">
        <v>286</v>
      </c>
      <c r="G10" s="81"/>
      <c r="H10" s="81"/>
      <c r="I10" s="81" t="s">
        <v>285</v>
      </c>
      <c r="J10" s="81" t="s">
        <v>289</v>
      </c>
      <c r="K10" s="81"/>
    </row>
    <row r="11" spans="1:11" s="24" customFormat="1" x14ac:dyDescent="0.2">
      <c r="A11" s="77"/>
      <c r="B11" s="108"/>
      <c r="C11" s="108"/>
      <c r="D11" s="108"/>
      <c r="E11" s="109"/>
      <c r="F11" s="84"/>
      <c r="G11" s="84"/>
      <c r="H11" s="84"/>
      <c r="I11" s="84" t="s">
        <v>287</v>
      </c>
      <c r="J11" s="84" t="s">
        <v>290</v>
      </c>
      <c r="K11" s="84"/>
    </row>
    <row r="12" spans="1:11" s="24" customFormat="1" x14ac:dyDescent="0.2">
      <c r="A12" s="77"/>
      <c r="B12" s="82"/>
      <c r="C12" s="82"/>
      <c r="D12" s="82" t="s">
        <v>125</v>
      </c>
      <c r="E12" s="83">
        <f>E10+1</f>
        <v>13002</v>
      </c>
      <c r="F12" s="84" t="s">
        <v>296</v>
      </c>
      <c r="G12" s="84"/>
      <c r="H12" s="84"/>
      <c r="I12" s="84"/>
      <c r="J12" s="84" t="s">
        <v>297</v>
      </c>
      <c r="K12" s="84"/>
    </row>
    <row r="13" spans="1:11" s="24" customFormat="1" x14ac:dyDescent="0.2">
      <c r="A13" s="77"/>
      <c r="B13" s="82"/>
      <c r="C13" s="82"/>
      <c r="D13" s="82" t="s">
        <v>125</v>
      </c>
      <c r="E13" s="83">
        <f>E12+1</f>
        <v>13003</v>
      </c>
      <c r="F13" s="84" t="s">
        <v>292</v>
      </c>
      <c r="G13" s="84"/>
      <c r="H13" s="84"/>
      <c r="I13" s="84"/>
      <c r="J13" s="84" t="s">
        <v>295</v>
      </c>
      <c r="K13" s="84"/>
    </row>
    <row r="14" spans="1:11" s="24" customFormat="1" x14ac:dyDescent="0.2">
      <c r="A14" s="78"/>
      <c r="B14" s="85"/>
      <c r="C14" s="85"/>
      <c r="D14" s="85" t="s">
        <v>125</v>
      </c>
      <c r="E14" s="86"/>
      <c r="F14" s="87"/>
      <c r="G14" s="87"/>
      <c r="H14" s="87"/>
      <c r="I14" s="87"/>
      <c r="J14" s="87"/>
      <c r="K14" s="87"/>
    </row>
    <row r="15" spans="1:11" s="24" customFormat="1" x14ac:dyDescent="0.2">
      <c r="A15" s="76" t="s">
        <v>252</v>
      </c>
      <c r="B15" s="79" t="s">
        <v>125</v>
      </c>
      <c r="C15" s="79"/>
      <c r="D15" s="79"/>
      <c r="E15" s="80">
        <v>21001</v>
      </c>
      <c r="F15" s="81" t="s">
        <v>256</v>
      </c>
      <c r="G15" s="81"/>
      <c r="H15" s="81"/>
      <c r="I15" s="81"/>
      <c r="J15" s="81"/>
      <c r="K15" s="81"/>
    </row>
    <row r="16" spans="1:11" s="24" customFormat="1" x14ac:dyDescent="0.2">
      <c r="A16" s="77"/>
      <c r="B16" s="82" t="s">
        <v>125</v>
      </c>
      <c r="C16" s="82"/>
      <c r="D16" s="82"/>
      <c r="E16" s="83">
        <f>E15+1</f>
        <v>21002</v>
      </c>
      <c r="F16" s="84" t="s">
        <v>257</v>
      </c>
      <c r="G16" s="84"/>
      <c r="H16" s="84"/>
      <c r="I16" s="84"/>
      <c r="J16" s="84"/>
      <c r="K16" s="84"/>
    </row>
    <row r="17" spans="1:11" s="24" customFormat="1" x14ac:dyDescent="0.2">
      <c r="A17" s="77"/>
      <c r="B17" s="82" t="s">
        <v>125</v>
      </c>
      <c r="C17" s="82"/>
      <c r="D17" s="82"/>
      <c r="E17" s="83">
        <f>E16+1</f>
        <v>21003</v>
      </c>
      <c r="F17" s="84"/>
      <c r="G17" s="84"/>
      <c r="H17" s="84"/>
      <c r="I17" s="84"/>
      <c r="J17" s="84"/>
      <c r="K17" s="84"/>
    </row>
    <row r="18" spans="1:11" s="24" customFormat="1" x14ac:dyDescent="0.2">
      <c r="A18" s="77"/>
      <c r="B18" s="82" t="s">
        <v>125</v>
      </c>
      <c r="C18" s="82"/>
      <c r="D18" s="82"/>
      <c r="E18" s="83">
        <f>E17+1</f>
        <v>21004</v>
      </c>
      <c r="F18" s="84"/>
      <c r="G18" s="84"/>
      <c r="H18" s="84"/>
      <c r="I18" s="84"/>
      <c r="J18" s="84"/>
      <c r="K18" s="84"/>
    </row>
    <row r="19" spans="1:11" s="24" customFormat="1" x14ac:dyDescent="0.2">
      <c r="A19" s="77"/>
      <c r="B19" s="85" t="s">
        <v>125</v>
      </c>
      <c r="C19" s="85"/>
      <c r="D19" s="85"/>
      <c r="E19" s="86"/>
      <c r="F19" s="87"/>
      <c r="G19" s="87"/>
      <c r="H19" s="87"/>
      <c r="I19" s="87"/>
      <c r="J19" s="87"/>
      <c r="K19" s="87"/>
    </row>
    <row r="20" spans="1:11" s="24" customFormat="1" x14ac:dyDescent="0.2">
      <c r="A20" s="77"/>
      <c r="B20" s="76"/>
      <c r="C20" s="76" t="s">
        <v>125</v>
      </c>
      <c r="D20" s="76"/>
      <c r="E20" s="107">
        <v>22001</v>
      </c>
      <c r="F20" s="81"/>
      <c r="G20" s="81"/>
      <c r="H20" s="81"/>
      <c r="I20" s="81"/>
      <c r="J20" s="81"/>
      <c r="K20" s="81"/>
    </row>
    <row r="21" spans="1:11" s="24" customFormat="1" x14ac:dyDescent="0.2">
      <c r="A21" s="77"/>
      <c r="B21" s="82"/>
      <c r="C21" s="82" t="s">
        <v>125</v>
      </c>
      <c r="D21" s="82"/>
      <c r="E21" s="83">
        <f>E20+1</f>
        <v>22002</v>
      </c>
      <c r="F21" s="84"/>
      <c r="G21" s="84"/>
      <c r="H21" s="84"/>
      <c r="I21" s="84"/>
      <c r="J21" s="84"/>
      <c r="K21" s="84"/>
    </row>
    <row r="22" spans="1:11" s="24" customFormat="1" x14ac:dyDescent="0.2">
      <c r="A22" s="77"/>
      <c r="B22" s="85"/>
      <c r="C22" s="85" t="s">
        <v>125</v>
      </c>
      <c r="D22" s="85"/>
      <c r="E22" s="86"/>
      <c r="F22" s="87"/>
      <c r="G22" s="87"/>
      <c r="H22" s="87"/>
      <c r="I22" s="87"/>
      <c r="J22" s="87"/>
      <c r="K22" s="87"/>
    </row>
    <row r="23" spans="1:11" s="24" customFormat="1" x14ac:dyDescent="0.2">
      <c r="A23" s="77"/>
      <c r="B23" s="76"/>
      <c r="C23" s="76"/>
      <c r="D23" s="76" t="s">
        <v>125</v>
      </c>
      <c r="E23" s="107">
        <v>23001</v>
      </c>
      <c r="F23" s="81" t="s">
        <v>286</v>
      </c>
      <c r="G23" s="81"/>
      <c r="H23" s="81"/>
      <c r="I23" s="81" t="s">
        <v>285</v>
      </c>
      <c r="J23" s="81" t="s">
        <v>288</v>
      </c>
      <c r="K23" s="81"/>
    </row>
    <row r="24" spans="1:11" s="24" customFormat="1" x14ac:dyDescent="0.2">
      <c r="A24" s="77"/>
      <c r="B24" s="108"/>
      <c r="C24" s="108"/>
      <c r="D24" s="108"/>
      <c r="E24" s="109"/>
      <c r="F24" s="84"/>
      <c r="G24" s="84"/>
      <c r="H24" s="84"/>
      <c r="I24" s="84" t="s">
        <v>287</v>
      </c>
      <c r="J24" s="84" t="s">
        <v>290</v>
      </c>
      <c r="K24" s="84"/>
    </row>
    <row r="25" spans="1:11" s="24" customFormat="1" x14ac:dyDescent="0.2">
      <c r="A25" s="77"/>
      <c r="B25" s="82"/>
      <c r="C25" s="82"/>
      <c r="D25" s="82" t="s">
        <v>125</v>
      </c>
      <c r="E25" s="83">
        <f>E23+1</f>
        <v>23002</v>
      </c>
      <c r="F25" s="84" t="s">
        <v>291</v>
      </c>
      <c r="G25" s="84"/>
      <c r="H25" s="84"/>
      <c r="I25" s="84"/>
      <c r="J25" s="84" t="s">
        <v>288</v>
      </c>
      <c r="K25" s="84"/>
    </row>
    <row r="26" spans="1:11" s="24" customFormat="1" x14ac:dyDescent="0.2">
      <c r="A26" s="77"/>
      <c r="B26" s="82"/>
      <c r="C26" s="82"/>
      <c r="D26" s="82" t="s">
        <v>125</v>
      </c>
      <c r="E26" s="83">
        <f>E25+1</f>
        <v>23003</v>
      </c>
      <c r="F26" s="84" t="s">
        <v>292</v>
      </c>
      <c r="G26" s="84"/>
      <c r="H26" s="84"/>
      <c r="I26" s="84"/>
      <c r="J26" s="84" t="s">
        <v>293</v>
      </c>
      <c r="K26" s="84"/>
    </row>
    <row r="27" spans="1:11" s="24" customFormat="1" x14ac:dyDescent="0.2">
      <c r="A27" s="77"/>
      <c r="B27" s="82"/>
      <c r="C27" s="82"/>
      <c r="D27" s="82" t="s">
        <v>125</v>
      </c>
      <c r="E27" s="83">
        <f>E26+1</f>
        <v>23004</v>
      </c>
      <c r="F27" s="84" t="s">
        <v>294</v>
      </c>
      <c r="G27" s="84"/>
      <c r="H27" s="84"/>
      <c r="I27" s="84"/>
      <c r="J27" s="84" t="s">
        <v>293</v>
      </c>
      <c r="K27" s="84"/>
    </row>
    <row r="28" spans="1:11" s="24" customFormat="1" x14ac:dyDescent="0.2">
      <c r="A28" s="78"/>
      <c r="B28" s="85"/>
      <c r="C28" s="85"/>
      <c r="D28" s="85" t="s">
        <v>125</v>
      </c>
      <c r="E28" s="86"/>
      <c r="F28" s="87"/>
      <c r="G28" s="87"/>
      <c r="H28" s="87"/>
      <c r="I28" s="87"/>
      <c r="J28" s="87"/>
      <c r="K28" s="87"/>
    </row>
    <row r="29" spans="1:11" s="24" customFormat="1" ht="25.5" x14ac:dyDescent="0.2">
      <c r="A29" s="76" t="s">
        <v>254</v>
      </c>
      <c r="B29" s="79" t="s">
        <v>125</v>
      </c>
      <c r="C29" s="79"/>
      <c r="D29" s="79"/>
      <c r="E29" s="80">
        <v>31001</v>
      </c>
      <c r="F29" s="81" t="s">
        <v>265</v>
      </c>
      <c r="G29" s="81"/>
      <c r="H29" s="81"/>
      <c r="I29" s="81"/>
      <c r="J29" s="81" t="s">
        <v>266</v>
      </c>
      <c r="K29" s="81"/>
    </row>
    <row r="30" spans="1:11" s="24" customFormat="1" ht="25.5" x14ac:dyDescent="0.2">
      <c r="A30" s="77"/>
      <c r="B30" s="82" t="s">
        <v>125</v>
      </c>
      <c r="C30" s="82"/>
      <c r="D30" s="82"/>
      <c r="E30" s="83">
        <f>E29+1</f>
        <v>31002</v>
      </c>
      <c r="F30" s="84" t="s">
        <v>267</v>
      </c>
      <c r="G30" s="84"/>
      <c r="H30" s="84"/>
      <c r="I30" s="84"/>
      <c r="J30" s="84" t="s">
        <v>268</v>
      </c>
      <c r="K30" s="84"/>
    </row>
    <row r="31" spans="1:11" s="24" customFormat="1" ht="25.5" x14ac:dyDescent="0.2">
      <c r="A31" s="77"/>
      <c r="B31" s="82" t="s">
        <v>125</v>
      </c>
      <c r="C31" s="82"/>
      <c r="D31" s="82"/>
      <c r="E31" s="83">
        <f>E30+1</f>
        <v>31003</v>
      </c>
      <c r="F31" s="81" t="s">
        <v>269</v>
      </c>
      <c r="G31" s="116"/>
      <c r="H31" s="116"/>
      <c r="I31" s="84"/>
      <c r="J31" s="81" t="s">
        <v>271</v>
      </c>
      <c r="K31" s="84"/>
    </row>
    <row r="32" spans="1:11" s="24" customFormat="1" ht="25.5" x14ac:dyDescent="0.2">
      <c r="A32" s="77"/>
      <c r="B32" s="82" t="s">
        <v>125</v>
      </c>
      <c r="C32" s="82"/>
      <c r="D32" s="82"/>
      <c r="E32" s="83">
        <f>E31+1</f>
        <v>31004</v>
      </c>
      <c r="F32" s="84" t="s">
        <v>270</v>
      </c>
      <c r="G32" s="84"/>
      <c r="H32" s="84"/>
      <c r="I32" s="84"/>
      <c r="J32" s="84" t="s">
        <v>272</v>
      </c>
      <c r="K32" s="84"/>
    </row>
    <row r="33" spans="1:11" s="24" customFormat="1" x14ac:dyDescent="0.2">
      <c r="A33" s="77"/>
      <c r="B33" s="82" t="s">
        <v>125</v>
      </c>
      <c r="C33" s="82"/>
      <c r="D33" s="82"/>
      <c r="E33" s="83"/>
      <c r="F33" s="84"/>
      <c r="G33" s="84"/>
      <c r="H33" s="84"/>
      <c r="I33" s="84"/>
      <c r="J33" s="84"/>
      <c r="K33" s="84"/>
    </row>
    <row r="34" spans="1:11" s="24" customFormat="1" x14ac:dyDescent="0.2">
      <c r="A34" s="77"/>
      <c r="B34" s="85" t="s">
        <v>125</v>
      </c>
      <c r="C34" s="85"/>
      <c r="D34" s="85"/>
      <c r="E34" s="86"/>
      <c r="F34" s="87"/>
      <c r="G34" s="87"/>
      <c r="H34" s="87"/>
      <c r="I34" s="87"/>
      <c r="J34" s="87"/>
      <c r="K34" s="87"/>
    </row>
    <row r="35" spans="1:11" s="24" customFormat="1" x14ac:dyDescent="0.2">
      <c r="A35" s="77"/>
      <c r="B35" s="79"/>
      <c r="C35" s="79" t="s">
        <v>125</v>
      </c>
      <c r="D35" s="79"/>
      <c r="E35" s="80">
        <v>32001</v>
      </c>
      <c r="F35" s="81"/>
      <c r="G35" s="81"/>
      <c r="H35" s="81"/>
      <c r="I35" s="81"/>
      <c r="J35" s="81"/>
      <c r="K35" s="81"/>
    </row>
    <row r="36" spans="1:11" s="24" customFormat="1" x14ac:dyDescent="0.2">
      <c r="A36" s="77"/>
      <c r="B36" s="82"/>
      <c r="C36" s="82" t="s">
        <v>125</v>
      </c>
      <c r="D36" s="82"/>
      <c r="E36" s="83">
        <f>E35+1</f>
        <v>32002</v>
      </c>
      <c r="F36" s="84"/>
      <c r="G36" s="84"/>
      <c r="H36" s="84"/>
      <c r="I36" s="84"/>
      <c r="J36" s="84"/>
      <c r="K36" s="84"/>
    </row>
    <row r="37" spans="1:11" s="24" customFormat="1" x14ac:dyDescent="0.2">
      <c r="A37" s="77"/>
      <c r="B37" s="85"/>
      <c r="C37" s="85" t="s">
        <v>125</v>
      </c>
      <c r="D37" s="85"/>
      <c r="E37" s="86"/>
      <c r="F37" s="87"/>
      <c r="G37" s="87"/>
      <c r="H37" s="87"/>
      <c r="I37" s="87"/>
      <c r="J37" s="87"/>
      <c r="K37" s="87"/>
    </row>
    <row r="38" spans="1:11" s="24" customFormat="1" x14ac:dyDescent="0.2">
      <c r="A38" s="77"/>
      <c r="B38" s="79"/>
      <c r="C38" s="79"/>
      <c r="D38" s="79" t="s">
        <v>125</v>
      </c>
      <c r="E38" s="80">
        <v>33001</v>
      </c>
      <c r="F38" s="81"/>
      <c r="G38" s="81"/>
      <c r="H38" s="81"/>
      <c r="I38" s="81"/>
      <c r="J38" s="81"/>
      <c r="K38" s="81"/>
    </row>
    <row r="39" spans="1:11" s="24" customFormat="1" x14ac:dyDescent="0.2">
      <c r="A39" s="77"/>
      <c r="B39" s="82"/>
      <c r="C39" s="82"/>
      <c r="D39" s="82" t="s">
        <v>125</v>
      </c>
      <c r="E39" s="83">
        <f>E38+1</f>
        <v>33002</v>
      </c>
      <c r="F39" s="84"/>
      <c r="G39" s="84"/>
      <c r="H39" s="84"/>
      <c r="I39" s="84"/>
      <c r="J39" s="84"/>
      <c r="K39" s="84"/>
    </row>
    <row r="40" spans="1:11" s="24" customFormat="1" x14ac:dyDescent="0.2">
      <c r="A40" s="78"/>
      <c r="B40" s="85"/>
      <c r="C40" s="85"/>
      <c r="D40" s="85" t="s">
        <v>125</v>
      </c>
      <c r="E40" s="86"/>
      <c r="F40" s="87"/>
      <c r="G40" s="87"/>
      <c r="H40" s="87"/>
      <c r="I40" s="87"/>
      <c r="J40" s="87"/>
      <c r="K40" s="87"/>
    </row>
    <row r="41" spans="1:11" s="24" customFormat="1" x14ac:dyDescent="0.2">
      <c r="A41" s="27"/>
      <c r="B41" s="27"/>
      <c r="C41" s="27"/>
      <c r="D41" s="27"/>
      <c r="E41" s="28"/>
      <c r="F41" s="29"/>
      <c r="G41" s="29"/>
      <c r="H41" s="29"/>
      <c r="I41" s="29"/>
      <c r="J41" s="29"/>
      <c r="K41" s="29"/>
    </row>
    <row r="42" spans="1:11" s="24" customFormat="1" x14ac:dyDescent="0.2">
      <c r="A42" s="27"/>
      <c r="B42" s="27"/>
      <c r="C42" s="27"/>
      <c r="D42" s="27"/>
      <c r="E42" s="28"/>
      <c r="F42" s="29"/>
      <c r="G42" s="29"/>
      <c r="H42" s="29"/>
      <c r="I42" s="29"/>
      <c r="J42" s="29"/>
      <c r="K42" s="29"/>
    </row>
    <row r="43" spans="1:11" s="24" customFormat="1" ht="12.75" customHeight="1" x14ac:dyDescent="0.2">
      <c r="A43" s="27"/>
      <c r="B43" s="27"/>
      <c r="C43" s="27"/>
      <c r="D43" s="27"/>
      <c r="E43" s="28"/>
      <c r="F43" s="29"/>
      <c r="G43" s="29"/>
      <c r="H43" s="29"/>
      <c r="I43" s="29"/>
      <c r="J43" s="29"/>
      <c r="K43" s="29"/>
    </row>
    <row r="44" spans="1:11" s="24" customFormat="1" ht="12.75" customHeight="1" x14ac:dyDescent="0.2">
      <c r="A44" s="27"/>
      <c r="B44" s="27"/>
      <c r="C44" s="27"/>
      <c r="D44" s="27"/>
      <c r="E44" s="28"/>
      <c r="F44" s="29"/>
      <c r="G44" s="29"/>
      <c r="H44" s="29"/>
      <c r="I44" s="29"/>
      <c r="J44" s="29"/>
      <c r="K44" s="29"/>
    </row>
    <row r="45" spans="1:11" s="24" customFormat="1" ht="12.75" customHeight="1" x14ac:dyDescent="0.2">
      <c r="A45" s="27"/>
      <c r="B45" s="27"/>
      <c r="C45" s="27"/>
      <c r="D45" s="27"/>
      <c r="E45" s="28"/>
      <c r="F45" s="29"/>
      <c r="G45" s="29"/>
      <c r="H45" s="29"/>
      <c r="I45" s="29"/>
      <c r="J45" s="29"/>
      <c r="K45" s="29"/>
    </row>
    <row r="46" spans="1:11" s="24" customFormat="1" ht="12.75" customHeight="1" x14ac:dyDescent="0.2">
      <c r="A46" s="27"/>
      <c r="B46" s="27"/>
      <c r="C46" s="27"/>
      <c r="D46" s="27"/>
      <c r="E46" s="28"/>
      <c r="F46" s="29"/>
      <c r="G46" s="29"/>
      <c r="H46" s="29"/>
      <c r="I46" s="29"/>
      <c r="J46" s="29"/>
      <c r="K46" s="29"/>
    </row>
    <row r="47" spans="1:11" s="24" customFormat="1" x14ac:dyDescent="0.2">
      <c r="A47" s="27"/>
      <c r="B47" s="27"/>
      <c r="C47" s="27"/>
      <c r="D47" s="27"/>
      <c r="E47" s="28"/>
      <c r="F47" s="29"/>
      <c r="G47" s="29"/>
      <c r="H47" s="29"/>
      <c r="I47" s="29"/>
      <c r="J47" s="29"/>
      <c r="K47" s="29"/>
    </row>
    <row r="48" spans="1:11" s="24" customFormat="1" x14ac:dyDescent="0.2">
      <c r="A48" s="27"/>
      <c r="B48" s="27"/>
      <c r="C48" s="27"/>
      <c r="D48" s="27"/>
      <c r="E48" s="28"/>
      <c r="F48" s="29"/>
      <c r="G48" s="29"/>
      <c r="H48" s="29"/>
      <c r="I48" s="29"/>
      <c r="J48" s="29"/>
      <c r="K48" s="29"/>
    </row>
    <row r="49" spans="1:11" s="24" customFormat="1" x14ac:dyDescent="0.2">
      <c r="A49" s="27"/>
      <c r="B49" s="27"/>
      <c r="C49" s="27"/>
      <c r="D49" s="27"/>
      <c r="E49" s="28"/>
      <c r="F49" s="29"/>
      <c r="G49" s="29"/>
      <c r="H49" s="29"/>
      <c r="I49" s="29"/>
      <c r="J49" s="29"/>
      <c r="K49" s="29"/>
    </row>
    <row r="50" spans="1:11" s="24" customFormat="1" x14ac:dyDescent="0.2">
      <c r="A50" s="27"/>
      <c r="B50" s="27"/>
      <c r="C50" s="27"/>
      <c r="D50" s="27"/>
      <c r="E50" s="28"/>
      <c r="F50" s="29"/>
      <c r="G50" s="29"/>
      <c r="H50" s="29"/>
      <c r="I50" s="29"/>
      <c r="J50" s="29"/>
      <c r="K50" s="29"/>
    </row>
    <row r="51" spans="1:11" s="24" customFormat="1" x14ac:dyDescent="0.2">
      <c r="A51" s="27"/>
      <c r="B51" s="27"/>
      <c r="C51" s="27"/>
      <c r="D51" s="27"/>
      <c r="E51" s="28"/>
      <c r="F51" s="29"/>
      <c r="G51" s="29"/>
      <c r="H51" s="29"/>
      <c r="I51" s="29"/>
      <c r="J51" s="29"/>
      <c r="K51" s="29"/>
    </row>
    <row r="52" spans="1:11" s="24" customFormat="1" x14ac:dyDescent="0.2">
      <c r="A52" s="27"/>
      <c r="B52" s="27"/>
      <c r="C52" s="27"/>
      <c r="D52" s="27"/>
      <c r="E52" s="28"/>
      <c r="F52" s="29"/>
      <c r="G52" s="29"/>
      <c r="H52" s="29"/>
      <c r="I52" s="29"/>
      <c r="J52" s="29"/>
      <c r="K52" s="29"/>
    </row>
    <row r="53" spans="1:11" s="24" customFormat="1" x14ac:dyDescent="0.2">
      <c r="A53" s="27"/>
      <c r="B53" s="27"/>
      <c r="C53" s="27"/>
      <c r="D53" s="27"/>
      <c r="E53" s="28"/>
      <c r="F53" s="29"/>
      <c r="G53" s="29"/>
      <c r="H53" s="29"/>
      <c r="I53" s="29"/>
      <c r="J53" s="29"/>
      <c r="K53" s="29"/>
    </row>
    <row r="54" spans="1:11" s="24" customFormat="1" x14ac:dyDescent="0.2">
      <c r="A54" s="27"/>
      <c r="B54" s="27"/>
      <c r="C54" s="27"/>
      <c r="D54" s="27"/>
      <c r="E54" s="28"/>
      <c r="F54" s="29"/>
      <c r="G54" s="29"/>
      <c r="H54" s="29"/>
      <c r="I54" s="29"/>
      <c r="J54" s="29"/>
      <c r="K54" s="29"/>
    </row>
    <row r="55" spans="1:11" s="24" customFormat="1" x14ac:dyDescent="0.2">
      <c r="A55" s="27"/>
      <c r="B55" s="27"/>
      <c r="C55" s="27"/>
      <c r="D55" s="27"/>
      <c r="E55" s="28"/>
      <c r="F55" s="29"/>
      <c r="G55" s="29"/>
      <c r="H55" s="29"/>
      <c r="I55" s="29"/>
      <c r="J55" s="29"/>
      <c r="K55" s="29"/>
    </row>
    <row r="56" spans="1:11" s="24" customFormat="1" x14ac:dyDescent="0.2">
      <c r="A56" s="27"/>
      <c r="B56" s="27"/>
      <c r="C56" s="27"/>
      <c r="D56" s="27"/>
      <c r="E56" s="28"/>
      <c r="F56" s="29"/>
      <c r="G56" s="29"/>
      <c r="H56" s="29"/>
      <c r="I56" s="29"/>
      <c r="J56" s="29"/>
      <c r="K56" s="29"/>
    </row>
    <row r="57" spans="1:11" s="24" customFormat="1" x14ac:dyDescent="0.2">
      <c r="A57" s="27"/>
      <c r="B57" s="27"/>
      <c r="C57" s="27"/>
      <c r="D57" s="27"/>
      <c r="E57" s="28"/>
      <c r="F57" s="29"/>
      <c r="G57" s="29"/>
      <c r="H57" s="29"/>
      <c r="I57" s="29"/>
      <c r="J57" s="29"/>
      <c r="K57" s="29"/>
    </row>
    <row r="58" spans="1:11" s="24" customFormat="1" x14ac:dyDescent="0.2">
      <c r="A58" s="27"/>
      <c r="B58" s="27"/>
      <c r="C58" s="27"/>
      <c r="D58" s="27"/>
      <c r="E58" s="28"/>
      <c r="F58" s="29"/>
      <c r="G58" s="29"/>
      <c r="H58" s="29"/>
      <c r="I58" s="29"/>
      <c r="J58" s="29"/>
      <c r="K58" s="29"/>
    </row>
    <row r="59" spans="1:11" s="24" customFormat="1" x14ac:dyDescent="0.2">
      <c r="A59" s="27"/>
      <c r="B59" s="27"/>
      <c r="C59" s="27"/>
      <c r="D59" s="27"/>
      <c r="E59" s="28"/>
      <c r="F59" s="29"/>
      <c r="G59" s="29"/>
      <c r="H59" s="29"/>
      <c r="I59" s="29"/>
      <c r="J59" s="29"/>
      <c r="K59" s="29"/>
    </row>
    <row r="60" spans="1:11" s="24" customFormat="1" x14ac:dyDescent="0.2">
      <c r="A60" s="27"/>
      <c r="B60" s="27"/>
      <c r="C60" s="27"/>
      <c r="D60" s="27"/>
      <c r="E60" s="28"/>
      <c r="F60" s="29"/>
      <c r="G60" s="29"/>
      <c r="H60" s="29"/>
      <c r="I60" s="29"/>
      <c r="J60" s="29"/>
      <c r="K60" s="29"/>
    </row>
    <row r="61" spans="1:11" s="24" customFormat="1" x14ac:dyDescent="0.2">
      <c r="A61" s="27"/>
      <c r="B61" s="27"/>
      <c r="C61" s="27"/>
      <c r="D61" s="27"/>
      <c r="E61" s="28"/>
      <c r="F61" s="29"/>
      <c r="G61" s="29"/>
      <c r="H61" s="29"/>
      <c r="I61" s="29"/>
      <c r="J61" s="29"/>
      <c r="K61" s="29"/>
    </row>
    <row r="62" spans="1:11" s="24" customFormat="1" x14ac:dyDescent="0.2">
      <c r="A62" s="27"/>
      <c r="B62" s="27"/>
      <c r="C62" s="27"/>
      <c r="D62" s="27"/>
      <c r="E62" s="28"/>
      <c r="F62" s="29"/>
      <c r="G62" s="29"/>
      <c r="H62" s="29"/>
      <c r="I62" s="29"/>
      <c r="J62" s="29"/>
      <c r="K62" s="29"/>
    </row>
    <row r="63" spans="1:11" s="24" customFormat="1" x14ac:dyDescent="0.2">
      <c r="A63" s="27"/>
      <c r="B63" s="27"/>
      <c r="C63" s="27"/>
      <c r="D63" s="27"/>
      <c r="E63" s="28"/>
      <c r="F63" s="29"/>
      <c r="G63" s="29"/>
      <c r="H63" s="29"/>
      <c r="I63" s="29"/>
      <c r="J63" s="29"/>
      <c r="K63" s="29"/>
    </row>
    <row r="64" spans="1:11" s="24" customFormat="1" x14ac:dyDescent="0.2">
      <c r="A64" s="27"/>
      <c r="B64" s="27"/>
      <c r="C64" s="27"/>
      <c r="D64" s="27"/>
      <c r="E64" s="28"/>
      <c r="F64" s="29"/>
      <c r="G64" s="29"/>
      <c r="H64" s="29"/>
      <c r="I64" s="29"/>
      <c r="J64" s="29"/>
      <c r="K64" s="29"/>
    </row>
    <row r="65" spans="1:11" s="24" customFormat="1" x14ac:dyDescent="0.2">
      <c r="A65" s="27"/>
      <c r="B65" s="27"/>
      <c r="C65" s="27"/>
      <c r="D65" s="27"/>
      <c r="E65" s="28"/>
      <c r="F65" s="29"/>
      <c r="G65" s="29"/>
      <c r="H65" s="29"/>
      <c r="I65" s="29"/>
      <c r="J65" s="29"/>
      <c r="K65" s="29"/>
    </row>
    <row r="66" spans="1:11" s="24" customFormat="1" x14ac:dyDescent="0.2">
      <c r="A66" s="27"/>
      <c r="B66" s="27"/>
      <c r="C66" s="27"/>
      <c r="D66" s="27"/>
      <c r="E66" s="28"/>
      <c r="F66" s="29"/>
      <c r="G66" s="29"/>
      <c r="H66" s="29"/>
      <c r="I66" s="29"/>
      <c r="J66" s="29"/>
      <c r="K66" s="29"/>
    </row>
    <row r="67" spans="1:11" s="24" customFormat="1" x14ac:dyDescent="0.2">
      <c r="A67" s="27"/>
      <c r="B67" s="27"/>
      <c r="C67" s="27"/>
      <c r="D67" s="27"/>
      <c r="E67" s="28"/>
      <c r="F67" s="29"/>
      <c r="G67" s="29"/>
      <c r="H67" s="29"/>
      <c r="I67" s="29"/>
      <c r="J67" s="29"/>
      <c r="K67" s="29"/>
    </row>
    <row r="68" spans="1:11" s="24" customFormat="1" x14ac:dyDescent="0.2">
      <c r="A68" s="27"/>
      <c r="B68" s="27"/>
      <c r="C68" s="27"/>
      <c r="D68" s="27"/>
      <c r="E68" s="28"/>
      <c r="F68" s="29"/>
      <c r="G68" s="29"/>
      <c r="H68" s="29"/>
      <c r="I68" s="29"/>
      <c r="J68" s="29"/>
      <c r="K68" s="29"/>
    </row>
    <row r="69" spans="1:11" s="24" customFormat="1" x14ac:dyDescent="0.2">
      <c r="A69" s="27"/>
      <c r="B69" s="27"/>
      <c r="C69" s="27"/>
      <c r="D69" s="27"/>
      <c r="E69" s="27"/>
      <c r="F69" s="30"/>
      <c r="G69" s="30"/>
      <c r="H69" s="30"/>
      <c r="I69" s="30"/>
      <c r="J69" s="30"/>
      <c r="K69" s="30"/>
    </row>
    <row r="70" spans="1:11" s="24" customFormat="1" x14ac:dyDescent="0.2">
      <c r="A70" s="27"/>
      <c r="B70" s="27"/>
      <c r="C70" s="27"/>
      <c r="D70" s="27"/>
      <c r="E70" s="27"/>
      <c r="F70" s="30"/>
      <c r="G70" s="30"/>
      <c r="H70" s="30"/>
      <c r="I70" s="30"/>
      <c r="J70" s="30"/>
      <c r="K70" s="30"/>
    </row>
    <row r="71" spans="1:11" s="24" customFormat="1" x14ac:dyDescent="0.2">
      <c r="A71" s="27"/>
      <c r="B71" s="27"/>
      <c r="C71" s="27"/>
      <c r="D71" s="27"/>
      <c r="E71" s="27"/>
      <c r="F71" s="30"/>
      <c r="G71" s="30"/>
      <c r="H71" s="30"/>
      <c r="I71" s="30"/>
      <c r="J71" s="30"/>
      <c r="K71" s="30"/>
    </row>
    <row r="72" spans="1:11" s="24" customFormat="1" x14ac:dyDescent="0.2">
      <c r="A72" s="27"/>
      <c r="B72" s="27"/>
      <c r="C72" s="27"/>
      <c r="D72" s="27"/>
      <c r="E72" s="27"/>
      <c r="F72" s="30"/>
      <c r="G72" s="30"/>
      <c r="H72" s="30"/>
      <c r="I72" s="30"/>
      <c r="J72" s="30"/>
      <c r="K72" s="30"/>
    </row>
    <row r="73" spans="1:11" s="24" customFormat="1" x14ac:dyDescent="0.2">
      <c r="A73" s="27"/>
      <c r="B73" s="27"/>
      <c r="C73" s="27"/>
      <c r="D73" s="27"/>
      <c r="E73" s="27"/>
      <c r="F73" s="30"/>
      <c r="G73" s="30"/>
      <c r="H73" s="30"/>
      <c r="I73" s="30"/>
      <c r="J73" s="30"/>
      <c r="K73" s="30"/>
    </row>
    <row r="74" spans="1:11" s="24" customFormat="1" x14ac:dyDescent="0.2">
      <c r="A74" s="27"/>
      <c r="B74" s="27"/>
      <c r="C74" s="27"/>
      <c r="D74" s="27"/>
      <c r="E74" s="27"/>
      <c r="F74" s="30"/>
      <c r="G74" s="30"/>
      <c r="H74" s="30"/>
      <c r="I74" s="30"/>
      <c r="J74" s="30"/>
      <c r="K74" s="30"/>
    </row>
    <row r="75" spans="1:11" s="24" customFormat="1" x14ac:dyDescent="0.2">
      <c r="A75" s="27"/>
      <c r="B75" s="27"/>
      <c r="C75" s="27"/>
      <c r="D75" s="27"/>
      <c r="E75" s="27"/>
      <c r="F75" s="30"/>
      <c r="G75" s="30"/>
      <c r="H75" s="30"/>
      <c r="I75" s="30"/>
      <c r="J75" s="30"/>
      <c r="K75" s="30"/>
    </row>
    <row r="76" spans="1:11" s="24" customFormat="1" x14ac:dyDescent="0.2">
      <c r="A76" s="27"/>
      <c r="B76" s="27"/>
      <c r="C76" s="27"/>
      <c r="D76" s="27"/>
      <c r="E76" s="27"/>
      <c r="F76" s="30"/>
      <c r="G76" s="30"/>
      <c r="H76" s="30"/>
      <c r="I76" s="30"/>
      <c r="J76" s="30"/>
      <c r="K76" s="30"/>
    </row>
    <row r="77" spans="1:11" s="24" customFormat="1" x14ac:dyDescent="0.2">
      <c r="A77" s="27"/>
      <c r="B77" s="27"/>
      <c r="C77" s="27"/>
      <c r="D77" s="27"/>
      <c r="E77" s="27"/>
      <c r="F77" s="30"/>
      <c r="G77" s="30"/>
      <c r="H77" s="30"/>
      <c r="I77" s="30"/>
      <c r="J77" s="30"/>
      <c r="K77" s="30"/>
    </row>
    <row r="78" spans="1:11" s="24" customFormat="1" x14ac:dyDescent="0.2">
      <c r="A78" s="27"/>
      <c r="B78" s="27"/>
      <c r="C78" s="27"/>
      <c r="D78" s="27"/>
      <c r="E78" s="27"/>
      <c r="F78" s="30"/>
      <c r="G78" s="30"/>
      <c r="H78" s="30"/>
      <c r="I78" s="30"/>
      <c r="J78" s="30"/>
      <c r="K78" s="30"/>
    </row>
    <row r="79" spans="1:11" s="24" customFormat="1" x14ac:dyDescent="0.2">
      <c r="A79" s="27"/>
      <c r="B79" s="27"/>
      <c r="C79" s="27"/>
      <c r="D79" s="27"/>
      <c r="E79" s="27"/>
      <c r="F79" s="30"/>
      <c r="G79" s="30"/>
      <c r="H79" s="30"/>
      <c r="I79" s="30"/>
      <c r="J79" s="30"/>
      <c r="K79" s="30"/>
    </row>
    <row r="80" spans="1:11" s="24" customFormat="1" x14ac:dyDescent="0.2">
      <c r="A80" s="27"/>
      <c r="B80" s="27"/>
      <c r="C80" s="27"/>
      <c r="D80" s="27"/>
      <c r="E80" s="27"/>
      <c r="F80" s="30"/>
      <c r="G80" s="30"/>
      <c r="H80" s="30"/>
      <c r="I80" s="30"/>
      <c r="J80" s="30"/>
      <c r="K80" s="30"/>
    </row>
    <row r="81" spans="1:11" s="24" customFormat="1" x14ac:dyDescent="0.2">
      <c r="A81" s="27"/>
      <c r="B81" s="27"/>
      <c r="C81" s="27"/>
      <c r="D81" s="27"/>
      <c r="E81" s="27"/>
      <c r="F81" s="30"/>
      <c r="G81" s="30"/>
      <c r="H81" s="30"/>
      <c r="I81" s="30"/>
      <c r="J81" s="30"/>
      <c r="K81" s="30"/>
    </row>
    <row r="82" spans="1:11" s="24" customFormat="1" x14ac:dyDescent="0.2">
      <c r="A82" s="27"/>
      <c r="B82" s="27"/>
      <c r="C82" s="27"/>
      <c r="D82" s="27"/>
      <c r="E82" s="27"/>
      <c r="F82" s="30"/>
      <c r="G82" s="30"/>
      <c r="H82" s="30"/>
      <c r="I82" s="30"/>
      <c r="J82" s="30"/>
      <c r="K82" s="30"/>
    </row>
    <row r="83" spans="1:11" s="24" customFormat="1" x14ac:dyDescent="0.2">
      <c r="A83" s="27"/>
      <c r="B83" s="27"/>
      <c r="C83" s="27"/>
      <c r="D83" s="27"/>
      <c r="E83" s="27"/>
      <c r="F83" s="30"/>
      <c r="G83" s="30"/>
      <c r="H83" s="30"/>
      <c r="I83" s="30"/>
      <c r="J83" s="30"/>
      <c r="K83" s="30"/>
    </row>
    <row r="84" spans="1:11" s="24" customFormat="1" x14ac:dyDescent="0.2">
      <c r="A84" s="27"/>
      <c r="B84" s="27"/>
      <c r="C84" s="27"/>
      <c r="D84" s="27"/>
      <c r="E84" s="27"/>
      <c r="F84" s="30"/>
      <c r="G84" s="30"/>
      <c r="H84" s="30"/>
      <c r="I84" s="30"/>
      <c r="J84" s="30"/>
      <c r="K84" s="30"/>
    </row>
    <row r="85" spans="1:11" s="24" customFormat="1" x14ac:dyDescent="0.2">
      <c r="A85" s="27"/>
      <c r="B85" s="27"/>
      <c r="C85" s="27"/>
      <c r="D85" s="27"/>
      <c r="E85" s="27"/>
      <c r="F85" s="30"/>
      <c r="G85" s="30"/>
      <c r="H85" s="30"/>
      <c r="I85" s="30"/>
      <c r="J85" s="30"/>
      <c r="K85" s="30"/>
    </row>
    <row r="86" spans="1:11" s="24" customFormat="1" x14ac:dyDescent="0.2">
      <c r="A86" s="27"/>
      <c r="B86" s="27"/>
      <c r="C86" s="27"/>
      <c r="D86" s="27"/>
      <c r="E86" s="27"/>
      <c r="F86" s="30"/>
      <c r="G86" s="30"/>
      <c r="H86" s="30"/>
      <c r="I86" s="30"/>
      <c r="J86" s="30"/>
      <c r="K86" s="30"/>
    </row>
    <row r="87" spans="1:11" s="24" customFormat="1" x14ac:dyDescent="0.2">
      <c r="A87" s="27"/>
      <c r="B87" s="27"/>
      <c r="C87" s="27"/>
      <c r="D87" s="27"/>
      <c r="E87" s="27"/>
      <c r="F87" s="30"/>
      <c r="G87" s="30"/>
      <c r="H87" s="30"/>
      <c r="I87" s="30"/>
      <c r="J87" s="30"/>
      <c r="K87" s="30"/>
    </row>
    <row r="88" spans="1:11" s="24" customFormat="1" x14ac:dyDescent="0.2">
      <c r="A88" s="27"/>
      <c r="B88" s="27"/>
      <c r="C88" s="27"/>
      <c r="D88" s="27"/>
      <c r="E88" s="27"/>
      <c r="F88" s="30"/>
      <c r="G88" s="30"/>
      <c r="H88" s="30"/>
      <c r="I88" s="30"/>
      <c r="J88" s="30"/>
      <c r="K88" s="30"/>
    </row>
    <row r="89" spans="1:11" s="24" customFormat="1" x14ac:dyDescent="0.2">
      <c r="A89" s="27"/>
      <c r="B89" s="27"/>
      <c r="C89" s="27"/>
      <c r="D89" s="27"/>
      <c r="E89" s="27"/>
      <c r="F89" s="30"/>
      <c r="G89" s="30"/>
      <c r="H89" s="30"/>
      <c r="I89" s="30"/>
      <c r="J89" s="30"/>
      <c r="K89" s="30"/>
    </row>
    <row r="90" spans="1:11" s="24" customFormat="1" x14ac:dyDescent="0.2">
      <c r="A90" s="27"/>
      <c r="B90" s="27"/>
      <c r="C90" s="27"/>
      <c r="D90" s="27"/>
      <c r="E90" s="27"/>
      <c r="F90" s="30"/>
      <c r="G90" s="30"/>
      <c r="H90" s="30"/>
      <c r="I90" s="30"/>
      <c r="J90" s="30"/>
      <c r="K90" s="30"/>
    </row>
    <row r="91" spans="1:11" s="24" customFormat="1" x14ac:dyDescent="0.2">
      <c r="A91" s="27"/>
      <c r="B91" s="27"/>
      <c r="C91" s="27"/>
      <c r="D91" s="27"/>
      <c r="E91" s="27"/>
      <c r="F91" s="30"/>
      <c r="G91" s="30"/>
      <c r="H91" s="30"/>
      <c r="I91" s="30"/>
      <c r="J91" s="30"/>
      <c r="K91" s="30"/>
    </row>
    <row r="92" spans="1:11" s="24" customFormat="1" x14ac:dyDescent="0.2">
      <c r="A92" s="27"/>
      <c r="B92" s="27"/>
      <c r="C92" s="27"/>
      <c r="D92" s="27"/>
      <c r="E92" s="27"/>
      <c r="F92" s="30"/>
      <c r="G92" s="30"/>
      <c r="H92" s="30"/>
      <c r="I92" s="30"/>
      <c r="J92" s="30"/>
      <c r="K92" s="30"/>
    </row>
    <row r="93" spans="1:11" s="24" customFormat="1" x14ac:dyDescent="0.2">
      <c r="A93" s="27"/>
      <c r="B93" s="27"/>
      <c r="C93" s="27"/>
      <c r="D93" s="27"/>
      <c r="E93" s="27"/>
      <c r="F93" s="30"/>
      <c r="G93" s="30"/>
      <c r="H93" s="30"/>
      <c r="I93" s="30"/>
      <c r="J93" s="30"/>
      <c r="K93" s="30"/>
    </row>
    <row r="94" spans="1:11" s="24" customFormat="1" x14ac:dyDescent="0.2">
      <c r="A94" s="27"/>
      <c r="B94" s="27"/>
      <c r="C94" s="27"/>
      <c r="D94" s="27"/>
      <c r="E94" s="27"/>
      <c r="F94" s="30"/>
      <c r="G94" s="30"/>
      <c r="H94" s="30"/>
      <c r="I94" s="30"/>
      <c r="J94" s="30"/>
      <c r="K94" s="30"/>
    </row>
    <row r="95" spans="1:11" s="24" customFormat="1" x14ac:dyDescent="0.2">
      <c r="A95" s="27"/>
      <c r="B95" s="27"/>
      <c r="C95" s="27"/>
      <c r="D95" s="27"/>
      <c r="E95" s="27"/>
      <c r="F95" s="30"/>
      <c r="G95" s="30"/>
      <c r="H95" s="30"/>
      <c r="I95" s="30"/>
      <c r="J95" s="30"/>
      <c r="K95" s="30"/>
    </row>
    <row r="96" spans="1:11" s="24" customFormat="1" x14ac:dyDescent="0.2">
      <c r="A96" s="27"/>
      <c r="B96" s="27"/>
      <c r="C96" s="27"/>
      <c r="D96" s="27"/>
      <c r="E96" s="27"/>
      <c r="F96" s="30"/>
      <c r="G96" s="30"/>
      <c r="H96" s="30"/>
      <c r="I96" s="30"/>
      <c r="J96" s="30"/>
      <c r="K96" s="30"/>
    </row>
    <row r="97" spans="1:11" s="24" customFormat="1" x14ac:dyDescent="0.2">
      <c r="A97" s="27"/>
      <c r="B97" s="27"/>
      <c r="C97" s="27"/>
      <c r="D97" s="27"/>
      <c r="E97" s="27"/>
      <c r="F97" s="30"/>
      <c r="G97" s="30"/>
      <c r="H97" s="30"/>
      <c r="I97" s="30"/>
      <c r="J97" s="30"/>
      <c r="K97" s="30"/>
    </row>
    <row r="98" spans="1:11" s="24" customFormat="1" x14ac:dyDescent="0.2">
      <c r="A98" s="27"/>
      <c r="B98" s="27"/>
      <c r="C98" s="27"/>
      <c r="D98" s="27"/>
      <c r="E98" s="27"/>
      <c r="F98" s="30"/>
      <c r="G98" s="30"/>
      <c r="H98" s="30"/>
      <c r="I98" s="30"/>
      <c r="J98" s="30"/>
      <c r="K98" s="30"/>
    </row>
    <row r="99" spans="1:11" s="24" customFormat="1" x14ac:dyDescent="0.2">
      <c r="A99" s="27"/>
      <c r="B99" s="27"/>
      <c r="C99" s="27"/>
      <c r="D99" s="27"/>
      <c r="E99" s="27"/>
      <c r="F99" s="30"/>
      <c r="G99" s="30"/>
      <c r="H99" s="30"/>
      <c r="I99" s="30"/>
      <c r="J99" s="30"/>
      <c r="K99" s="30"/>
    </row>
    <row r="100" spans="1:11" s="24" customFormat="1" x14ac:dyDescent="0.2">
      <c r="A100" s="27"/>
      <c r="B100" s="27"/>
      <c r="C100" s="27"/>
      <c r="D100" s="27"/>
      <c r="E100" s="27"/>
      <c r="F100" s="30"/>
      <c r="G100" s="30"/>
      <c r="H100" s="30"/>
      <c r="I100" s="30"/>
      <c r="J100" s="30"/>
      <c r="K100" s="30"/>
    </row>
    <row r="101" spans="1:11" s="24" customFormat="1" x14ac:dyDescent="0.2">
      <c r="A101" s="27"/>
      <c r="B101" s="27"/>
      <c r="C101" s="27"/>
      <c r="D101" s="27"/>
      <c r="E101" s="27"/>
      <c r="F101" s="30"/>
      <c r="G101" s="30"/>
      <c r="H101" s="30"/>
      <c r="I101" s="30"/>
      <c r="J101" s="30"/>
      <c r="K101" s="30"/>
    </row>
    <row r="102" spans="1:11" s="24" customFormat="1" x14ac:dyDescent="0.2">
      <c r="A102" s="27"/>
      <c r="B102" s="27"/>
      <c r="C102" s="27"/>
      <c r="D102" s="27"/>
      <c r="E102" s="27"/>
      <c r="F102" s="30"/>
      <c r="G102" s="30"/>
      <c r="H102" s="30"/>
      <c r="I102" s="30"/>
      <c r="J102" s="30"/>
      <c r="K102" s="30"/>
    </row>
    <row r="103" spans="1:11" s="24" customFormat="1" x14ac:dyDescent="0.2">
      <c r="A103" s="27"/>
      <c r="B103" s="27"/>
      <c r="C103" s="27"/>
      <c r="D103" s="27"/>
      <c r="E103" s="27"/>
      <c r="F103" s="30"/>
      <c r="G103" s="30"/>
      <c r="H103" s="30"/>
      <c r="I103" s="30"/>
      <c r="J103" s="30"/>
      <c r="K103" s="30"/>
    </row>
    <row r="104" spans="1:11" s="24" customFormat="1" x14ac:dyDescent="0.2">
      <c r="A104" s="27"/>
      <c r="B104" s="27"/>
      <c r="C104" s="27"/>
      <c r="D104" s="27"/>
      <c r="E104" s="27"/>
      <c r="F104" s="30"/>
      <c r="G104" s="30"/>
      <c r="H104" s="30"/>
      <c r="I104" s="30"/>
      <c r="J104" s="30"/>
      <c r="K104" s="30"/>
    </row>
    <row r="105" spans="1:11" s="24" customFormat="1" x14ac:dyDescent="0.2">
      <c r="A105" s="27"/>
      <c r="B105" s="27"/>
      <c r="C105" s="27"/>
      <c r="D105" s="27"/>
      <c r="E105" s="27"/>
      <c r="F105" s="30"/>
      <c r="G105" s="30"/>
      <c r="H105" s="30"/>
      <c r="I105" s="30"/>
      <c r="J105" s="30"/>
      <c r="K105" s="30"/>
    </row>
    <row r="106" spans="1:11" s="24" customFormat="1" x14ac:dyDescent="0.2">
      <c r="A106" s="27"/>
      <c r="B106" s="27"/>
      <c r="C106" s="27"/>
      <c r="D106" s="27"/>
      <c r="E106" s="27"/>
      <c r="F106" s="30"/>
      <c r="G106" s="30"/>
      <c r="H106" s="30"/>
      <c r="I106" s="30"/>
      <c r="J106" s="30"/>
      <c r="K106" s="30"/>
    </row>
    <row r="107" spans="1:11" s="24" customFormat="1" x14ac:dyDescent="0.2">
      <c r="A107" s="27"/>
      <c r="B107" s="27"/>
      <c r="C107" s="27"/>
      <c r="D107" s="27"/>
      <c r="E107" s="27"/>
      <c r="F107" s="30"/>
      <c r="G107" s="30"/>
      <c r="H107" s="30"/>
      <c r="I107" s="30"/>
      <c r="J107" s="30"/>
      <c r="K107" s="30"/>
    </row>
    <row r="108" spans="1:11" s="24" customFormat="1" x14ac:dyDescent="0.2">
      <c r="A108" s="27"/>
      <c r="B108" s="27"/>
      <c r="C108" s="27"/>
      <c r="D108" s="27"/>
      <c r="E108" s="27"/>
      <c r="F108" s="30"/>
      <c r="G108" s="30"/>
      <c r="H108" s="30"/>
      <c r="I108" s="30"/>
      <c r="J108" s="30"/>
      <c r="K108" s="30"/>
    </row>
    <row r="109" spans="1:11" s="24" customFormat="1" x14ac:dyDescent="0.2">
      <c r="A109" s="27"/>
      <c r="B109" s="27"/>
      <c r="C109" s="27"/>
      <c r="D109" s="27"/>
      <c r="E109" s="27"/>
      <c r="F109" s="30"/>
      <c r="G109" s="30"/>
      <c r="H109" s="30"/>
      <c r="I109" s="30"/>
      <c r="J109" s="30"/>
      <c r="K109" s="30"/>
    </row>
    <row r="110" spans="1:11" s="24" customFormat="1" x14ac:dyDescent="0.2">
      <c r="A110" s="27"/>
      <c r="B110" s="27"/>
      <c r="C110" s="27"/>
      <c r="D110" s="27"/>
      <c r="E110" s="27"/>
      <c r="F110" s="30"/>
      <c r="G110" s="30"/>
      <c r="H110" s="30"/>
      <c r="I110" s="30"/>
      <c r="J110" s="30"/>
      <c r="K110" s="30"/>
    </row>
    <row r="111" spans="1:11" s="24" customFormat="1" x14ac:dyDescent="0.2">
      <c r="A111" s="27"/>
      <c r="B111" s="27"/>
      <c r="C111" s="27"/>
      <c r="D111" s="27"/>
      <c r="E111" s="27"/>
      <c r="F111" s="30"/>
      <c r="G111" s="30"/>
      <c r="H111" s="30"/>
      <c r="I111" s="30"/>
      <c r="J111" s="30"/>
      <c r="K111" s="30"/>
    </row>
    <row r="112" spans="1:11" s="24" customFormat="1" x14ac:dyDescent="0.2">
      <c r="A112" s="27"/>
      <c r="B112" s="27"/>
      <c r="C112" s="27"/>
      <c r="D112" s="27"/>
      <c r="E112" s="27"/>
      <c r="F112" s="30"/>
      <c r="G112" s="30"/>
      <c r="H112" s="30"/>
      <c r="I112" s="30"/>
      <c r="J112" s="30"/>
      <c r="K112" s="30"/>
    </row>
    <row r="113" spans="1:11" s="24" customFormat="1" x14ac:dyDescent="0.2">
      <c r="A113" s="27"/>
      <c r="B113" s="27"/>
      <c r="C113" s="27"/>
      <c r="D113" s="27"/>
      <c r="E113" s="27"/>
      <c r="F113" s="30"/>
      <c r="G113" s="30"/>
      <c r="H113" s="30"/>
      <c r="I113" s="30"/>
      <c r="J113" s="30"/>
      <c r="K113" s="30"/>
    </row>
    <row r="114" spans="1:11" s="24" customFormat="1" x14ac:dyDescent="0.2">
      <c r="A114" s="27"/>
      <c r="B114" s="27"/>
      <c r="C114" s="27"/>
      <c r="D114" s="27"/>
      <c r="E114" s="27"/>
      <c r="F114" s="30"/>
      <c r="G114" s="30"/>
      <c r="H114" s="30"/>
      <c r="I114" s="30"/>
      <c r="J114" s="30"/>
      <c r="K114" s="30"/>
    </row>
    <row r="115" spans="1:11" s="24" customFormat="1" x14ac:dyDescent="0.2">
      <c r="A115" s="27"/>
      <c r="B115" s="27"/>
      <c r="C115" s="27"/>
      <c r="D115" s="27"/>
      <c r="E115" s="27"/>
      <c r="F115" s="30"/>
      <c r="G115" s="30"/>
      <c r="H115" s="30"/>
      <c r="I115" s="30"/>
      <c r="J115" s="30"/>
      <c r="K115" s="30"/>
    </row>
    <row r="116" spans="1:11" s="24" customFormat="1" x14ac:dyDescent="0.2">
      <c r="A116" s="27"/>
      <c r="B116" s="27"/>
      <c r="C116" s="27"/>
      <c r="D116" s="27"/>
      <c r="E116" s="27"/>
      <c r="F116" s="30"/>
      <c r="G116" s="30"/>
      <c r="H116" s="30"/>
      <c r="I116" s="30"/>
      <c r="J116" s="30"/>
      <c r="K116" s="30"/>
    </row>
    <row r="117" spans="1:11" s="24" customFormat="1" x14ac:dyDescent="0.2">
      <c r="A117" s="27"/>
      <c r="B117" s="27"/>
      <c r="C117" s="27"/>
      <c r="D117" s="27"/>
      <c r="E117" s="27"/>
      <c r="F117" s="30"/>
      <c r="G117" s="30"/>
      <c r="H117" s="30"/>
      <c r="I117" s="30"/>
      <c r="J117" s="30"/>
      <c r="K117" s="30"/>
    </row>
    <row r="118" spans="1:11" s="24" customFormat="1" x14ac:dyDescent="0.2">
      <c r="A118" s="27"/>
      <c r="B118" s="27"/>
      <c r="C118" s="27"/>
      <c r="D118" s="27"/>
      <c r="E118" s="27"/>
      <c r="F118" s="30"/>
      <c r="G118" s="30"/>
      <c r="H118" s="30"/>
      <c r="I118" s="30"/>
      <c r="J118" s="30"/>
      <c r="K118" s="30"/>
    </row>
    <row r="119" spans="1:11" s="24" customFormat="1" x14ac:dyDescent="0.2">
      <c r="A119" s="27"/>
      <c r="B119" s="27"/>
      <c r="C119" s="27"/>
      <c r="D119" s="27"/>
      <c r="E119" s="27"/>
      <c r="F119" s="30"/>
      <c r="G119" s="30"/>
      <c r="H119" s="30"/>
      <c r="I119" s="30"/>
      <c r="J119" s="30"/>
      <c r="K119" s="30"/>
    </row>
    <row r="120" spans="1:11" s="24" customFormat="1" x14ac:dyDescent="0.2">
      <c r="A120" s="27"/>
      <c r="B120" s="27"/>
      <c r="C120" s="27"/>
      <c r="D120" s="27"/>
      <c r="E120" s="27"/>
      <c r="F120" s="30"/>
      <c r="G120" s="30"/>
      <c r="H120" s="30"/>
      <c r="I120" s="30"/>
      <c r="J120" s="30"/>
      <c r="K120" s="30"/>
    </row>
    <row r="121" spans="1:11" s="24" customFormat="1" x14ac:dyDescent="0.2">
      <c r="A121" s="27"/>
      <c r="B121" s="27"/>
      <c r="C121" s="27"/>
      <c r="D121" s="27"/>
      <c r="E121" s="27"/>
      <c r="F121" s="30"/>
      <c r="G121" s="30"/>
      <c r="H121" s="30"/>
      <c r="I121" s="30"/>
      <c r="J121" s="30"/>
      <c r="K121" s="30"/>
    </row>
    <row r="122" spans="1:11" s="24" customFormat="1" x14ac:dyDescent="0.2">
      <c r="A122" s="27"/>
      <c r="B122" s="27"/>
      <c r="C122" s="27"/>
      <c r="D122" s="27"/>
      <c r="E122" s="27"/>
      <c r="F122" s="30"/>
      <c r="G122" s="30"/>
      <c r="H122" s="30"/>
      <c r="I122" s="30"/>
      <c r="J122" s="30"/>
      <c r="K122" s="30"/>
    </row>
    <row r="123" spans="1:11" s="24" customFormat="1" x14ac:dyDescent="0.2">
      <c r="A123" s="27"/>
      <c r="B123" s="27"/>
      <c r="C123" s="27"/>
      <c r="D123" s="27"/>
      <c r="E123" s="27"/>
      <c r="F123" s="30"/>
      <c r="G123" s="30"/>
      <c r="H123" s="30"/>
      <c r="I123" s="30"/>
      <c r="J123" s="30"/>
      <c r="K123" s="30"/>
    </row>
    <row r="124" spans="1:11" s="24" customFormat="1" x14ac:dyDescent="0.2">
      <c r="A124" s="27"/>
      <c r="B124" s="27"/>
      <c r="C124" s="27"/>
      <c r="D124" s="27"/>
      <c r="E124" s="27"/>
      <c r="F124" s="30"/>
      <c r="G124" s="30"/>
      <c r="H124" s="30"/>
      <c r="I124" s="30"/>
      <c r="J124" s="30"/>
      <c r="K124" s="30"/>
    </row>
    <row r="125" spans="1:11" s="24" customFormat="1" x14ac:dyDescent="0.2">
      <c r="F125" s="25"/>
      <c r="G125" s="25"/>
      <c r="H125" s="25"/>
      <c r="I125" s="25"/>
      <c r="J125" s="25"/>
      <c r="K125" s="30"/>
    </row>
    <row r="126" spans="1:11" s="24" customFormat="1" x14ac:dyDescent="0.2">
      <c r="F126" s="25"/>
      <c r="G126" s="25"/>
      <c r="H126" s="25"/>
      <c r="I126" s="25"/>
      <c r="J126" s="25"/>
      <c r="K126" s="30"/>
    </row>
    <row r="127" spans="1:11" s="24" customFormat="1" x14ac:dyDescent="0.2">
      <c r="F127" s="25"/>
      <c r="G127" s="25"/>
      <c r="H127" s="25"/>
      <c r="I127" s="25"/>
      <c r="J127" s="25"/>
      <c r="K127" s="30"/>
    </row>
    <row r="128" spans="1:11" s="24" customFormat="1" x14ac:dyDescent="0.2">
      <c r="F128" s="25"/>
      <c r="G128" s="25"/>
      <c r="H128" s="25"/>
      <c r="I128" s="25"/>
      <c r="J128" s="25"/>
      <c r="K128" s="30"/>
    </row>
    <row r="129" spans="6:11" s="24" customFormat="1" x14ac:dyDescent="0.2">
      <c r="F129" s="25"/>
      <c r="G129" s="25"/>
      <c r="H129" s="25"/>
      <c r="I129" s="25"/>
      <c r="J129" s="25"/>
      <c r="K129" s="30"/>
    </row>
    <row r="130" spans="6:11" s="24" customFormat="1" x14ac:dyDescent="0.2">
      <c r="F130" s="25"/>
      <c r="G130" s="25"/>
      <c r="H130" s="25"/>
      <c r="I130" s="25"/>
      <c r="J130" s="25"/>
      <c r="K130" s="30"/>
    </row>
    <row r="131" spans="6:11" s="24" customFormat="1" x14ac:dyDescent="0.2">
      <c r="F131" s="25"/>
      <c r="G131" s="25"/>
      <c r="H131" s="25"/>
      <c r="I131" s="25"/>
      <c r="J131" s="25"/>
      <c r="K131" s="30"/>
    </row>
    <row r="132" spans="6:11" s="24" customFormat="1" x14ac:dyDescent="0.2">
      <c r="F132" s="25"/>
      <c r="G132" s="25"/>
      <c r="H132" s="25"/>
      <c r="I132" s="25"/>
      <c r="J132" s="25"/>
      <c r="K132" s="30"/>
    </row>
    <row r="133" spans="6:11" s="24" customFormat="1" x14ac:dyDescent="0.2">
      <c r="F133" s="25"/>
      <c r="G133" s="25"/>
      <c r="H133" s="25"/>
      <c r="I133" s="25"/>
      <c r="J133" s="25"/>
      <c r="K133" s="30"/>
    </row>
    <row r="134" spans="6:11" s="24" customFormat="1" x14ac:dyDescent="0.2">
      <c r="F134" s="25"/>
      <c r="G134" s="25"/>
      <c r="H134" s="25"/>
      <c r="I134" s="25"/>
      <c r="J134" s="25"/>
      <c r="K134" s="30"/>
    </row>
    <row r="135" spans="6:11" s="24" customFormat="1" x14ac:dyDescent="0.2">
      <c r="F135" s="25"/>
      <c r="G135" s="25"/>
      <c r="H135" s="25"/>
      <c r="I135" s="25"/>
      <c r="J135" s="25"/>
      <c r="K135" s="30"/>
    </row>
    <row r="136" spans="6:11" s="24" customFormat="1" x14ac:dyDescent="0.2">
      <c r="F136" s="25"/>
      <c r="G136" s="25"/>
      <c r="H136" s="25"/>
      <c r="I136" s="25"/>
      <c r="J136" s="25"/>
      <c r="K136" s="30"/>
    </row>
    <row r="137" spans="6:11" s="24" customFormat="1" x14ac:dyDescent="0.2">
      <c r="F137" s="25"/>
      <c r="G137" s="25"/>
      <c r="H137" s="25"/>
      <c r="I137" s="25"/>
      <c r="J137" s="25"/>
      <c r="K137" s="30"/>
    </row>
    <row r="138" spans="6:11" s="24" customFormat="1" x14ac:dyDescent="0.2">
      <c r="F138" s="25"/>
      <c r="G138" s="25"/>
      <c r="H138" s="25"/>
      <c r="I138" s="25"/>
      <c r="J138" s="25"/>
      <c r="K138" s="30"/>
    </row>
    <row r="139" spans="6:11" s="24" customFormat="1" x14ac:dyDescent="0.2">
      <c r="F139" s="25"/>
      <c r="G139" s="25"/>
      <c r="H139" s="25"/>
      <c r="I139" s="25"/>
      <c r="J139" s="25"/>
      <c r="K139" s="30"/>
    </row>
    <row r="140" spans="6:11" s="24" customFormat="1" x14ac:dyDescent="0.2">
      <c r="F140" s="25"/>
      <c r="G140" s="25"/>
      <c r="H140" s="25"/>
      <c r="I140" s="25"/>
      <c r="J140" s="25"/>
      <c r="K140" s="30"/>
    </row>
    <row r="141" spans="6:11" s="24" customFormat="1" x14ac:dyDescent="0.2">
      <c r="F141" s="25"/>
      <c r="G141" s="25"/>
      <c r="H141" s="25"/>
      <c r="I141" s="25"/>
      <c r="J141" s="25"/>
      <c r="K141" s="30"/>
    </row>
    <row r="142" spans="6:11" s="24" customFormat="1" x14ac:dyDescent="0.2">
      <c r="F142" s="25"/>
      <c r="G142" s="25"/>
      <c r="H142" s="25"/>
      <c r="I142" s="25"/>
      <c r="J142" s="25"/>
      <c r="K142" s="30"/>
    </row>
    <row r="143" spans="6:11" s="24" customFormat="1" x14ac:dyDescent="0.2">
      <c r="F143" s="25"/>
      <c r="G143" s="25"/>
      <c r="H143" s="25"/>
      <c r="I143" s="25"/>
      <c r="J143" s="25"/>
      <c r="K143" s="30"/>
    </row>
    <row r="144" spans="6:11" s="24" customFormat="1" x14ac:dyDescent="0.2">
      <c r="F144" s="25"/>
      <c r="G144" s="25"/>
      <c r="H144" s="25"/>
      <c r="I144" s="25"/>
      <c r="J144" s="25"/>
      <c r="K144" s="30"/>
    </row>
    <row r="145" spans="6:11" s="24" customFormat="1" x14ac:dyDescent="0.2">
      <c r="F145" s="25"/>
      <c r="G145" s="25"/>
      <c r="H145" s="25"/>
      <c r="I145" s="25"/>
      <c r="J145" s="25"/>
      <c r="K145" s="30"/>
    </row>
    <row r="146" spans="6:11" s="24" customFormat="1" x14ac:dyDescent="0.2">
      <c r="F146" s="25"/>
      <c r="G146" s="25"/>
      <c r="H146" s="25"/>
      <c r="I146" s="25"/>
      <c r="J146" s="25"/>
      <c r="K146" s="30"/>
    </row>
    <row r="147" spans="6:11" s="24" customFormat="1" x14ac:dyDescent="0.2">
      <c r="F147" s="25"/>
      <c r="G147" s="25"/>
      <c r="H147" s="25"/>
      <c r="I147" s="25"/>
      <c r="J147" s="25"/>
      <c r="K147" s="30"/>
    </row>
    <row r="148" spans="6:11" s="24" customFormat="1" x14ac:dyDescent="0.2">
      <c r="F148" s="25"/>
      <c r="G148" s="25"/>
      <c r="H148" s="25"/>
      <c r="I148" s="25"/>
      <c r="J148" s="25"/>
      <c r="K148" s="30"/>
    </row>
    <row r="149" spans="6:11" s="24" customFormat="1" x14ac:dyDescent="0.2">
      <c r="F149" s="25"/>
      <c r="G149" s="25"/>
      <c r="H149" s="25"/>
      <c r="I149" s="25"/>
      <c r="J149" s="25"/>
      <c r="K149" s="30"/>
    </row>
    <row r="150" spans="6:11" s="24" customFormat="1" x14ac:dyDescent="0.2">
      <c r="F150" s="25"/>
      <c r="G150" s="25"/>
      <c r="H150" s="25"/>
      <c r="I150" s="25"/>
      <c r="J150" s="25"/>
      <c r="K150" s="30"/>
    </row>
    <row r="151" spans="6:11" s="24" customFormat="1" x14ac:dyDescent="0.2">
      <c r="F151" s="25"/>
      <c r="G151" s="25"/>
      <c r="H151" s="25"/>
      <c r="I151" s="25"/>
      <c r="J151" s="25"/>
      <c r="K151" s="30"/>
    </row>
    <row r="152" spans="6:11" s="24" customFormat="1" x14ac:dyDescent="0.2">
      <c r="F152" s="25"/>
      <c r="G152" s="25"/>
      <c r="H152" s="25"/>
      <c r="I152" s="25"/>
      <c r="J152" s="25"/>
      <c r="K152" s="30"/>
    </row>
    <row r="153" spans="6:11" s="24" customFormat="1" x14ac:dyDescent="0.2">
      <c r="F153" s="25"/>
      <c r="G153" s="25"/>
      <c r="H153" s="25"/>
      <c r="I153" s="25"/>
      <c r="J153" s="25"/>
      <c r="K153" s="30"/>
    </row>
    <row r="154" spans="6:11" s="24" customFormat="1" x14ac:dyDescent="0.2">
      <c r="F154" s="25"/>
      <c r="G154" s="25"/>
      <c r="H154" s="25"/>
      <c r="I154" s="25"/>
      <c r="J154" s="25"/>
      <c r="K154" s="30"/>
    </row>
    <row r="155" spans="6:11" s="24" customFormat="1" x14ac:dyDescent="0.2">
      <c r="F155" s="25"/>
      <c r="G155" s="25"/>
      <c r="H155" s="25"/>
      <c r="I155" s="25"/>
      <c r="J155" s="25"/>
      <c r="K155" s="30"/>
    </row>
    <row r="156" spans="6:11" s="24" customFormat="1" x14ac:dyDescent="0.2">
      <c r="F156" s="25"/>
      <c r="G156" s="25"/>
      <c r="H156" s="25"/>
      <c r="I156" s="25"/>
      <c r="J156" s="25"/>
      <c r="K156" s="30"/>
    </row>
    <row r="157" spans="6:11" s="24" customFormat="1" x14ac:dyDescent="0.2">
      <c r="F157" s="25"/>
      <c r="G157" s="25"/>
      <c r="H157" s="25"/>
      <c r="I157" s="25"/>
      <c r="J157" s="25"/>
      <c r="K157" s="30"/>
    </row>
    <row r="158" spans="6:11" s="24" customFormat="1" x14ac:dyDescent="0.2">
      <c r="F158" s="25"/>
      <c r="G158" s="25"/>
      <c r="H158" s="25"/>
      <c r="I158" s="25"/>
      <c r="J158" s="25"/>
      <c r="K158" s="30"/>
    </row>
    <row r="159" spans="6:11" s="24" customFormat="1" x14ac:dyDescent="0.2">
      <c r="F159" s="25"/>
      <c r="G159" s="25"/>
      <c r="H159" s="25"/>
      <c r="I159" s="25"/>
      <c r="J159" s="25"/>
      <c r="K159" s="30"/>
    </row>
    <row r="160" spans="6:11" s="24" customFormat="1" x14ac:dyDescent="0.2">
      <c r="F160" s="25"/>
      <c r="G160" s="25"/>
      <c r="H160" s="25"/>
      <c r="I160" s="25"/>
      <c r="J160" s="25"/>
      <c r="K160" s="30"/>
    </row>
    <row r="161" spans="6:11" s="24" customFormat="1" x14ac:dyDescent="0.2">
      <c r="F161" s="25"/>
      <c r="G161" s="25"/>
      <c r="H161" s="25"/>
      <c r="I161" s="25"/>
      <c r="J161" s="25"/>
      <c r="K161" s="30"/>
    </row>
    <row r="162" spans="6:11" s="24" customFormat="1" x14ac:dyDescent="0.2">
      <c r="F162" s="25"/>
      <c r="G162" s="25"/>
      <c r="H162" s="25"/>
      <c r="I162" s="25"/>
      <c r="J162" s="25"/>
      <c r="K162" s="30"/>
    </row>
    <row r="163" spans="6:11" s="24" customFormat="1" x14ac:dyDescent="0.2">
      <c r="F163" s="25"/>
      <c r="G163" s="25"/>
      <c r="H163" s="25"/>
      <c r="I163" s="25"/>
      <c r="J163" s="25"/>
      <c r="K163" s="30"/>
    </row>
    <row r="164" spans="6:11" s="24" customFormat="1" x14ac:dyDescent="0.2">
      <c r="F164" s="25"/>
      <c r="G164" s="25"/>
      <c r="H164" s="25"/>
      <c r="I164" s="25"/>
      <c r="J164" s="25"/>
      <c r="K164" s="30"/>
    </row>
    <row r="165" spans="6:11" s="24" customFormat="1" x14ac:dyDescent="0.2">
      <c r="F165" s="25"/>
      <c r="G165" s="25"/>
      <c r="H165" s="25"/>
      <c r="I165" s="25"/>
      <c r="J165" s="25"/>
      <c r="K165" s="30"/>
    </row>
    <row r="166" spans="6:11" s="24" customFormat="1" x14ac:dyDescent="0.2">
      <c r="F166" s="25"/>
      <c r="G166" s="25"/>
      <c r="H166" s="25"/>
      <c r="I166" s="25"/>
      <c r="J166" s="25"/>
      <c r="K166" s="30"/>
    </row>
    <row r="167" spans="6:11" s="24" customFormat="1" x14ac:dyDescent="0.2">
      <c r="F167" s="25"/>
      <c r="G167" s="25"/>
      <c r="H167" s="25"/>
      <c r="I167" s="25"/>
      <c r="J167" s="25"/>
      <c r="K167" s="30"/>
    </row>
    <row r="168" spans="6:11" s="24" customFormat="1" x14ac:dyDescent="0.2">
      <c r="F168" s="25"/>
      <c r="G168" s="25"/>
      <c r="H168" s="25"/>
      <c r="I168" s="25"/>
      <c r="J168" s="25"/>
      <c r="K168" s="30"/>
    </row>
    <row r="169" spans="6:11" s="24" customFormat="1" x14ac:dyDescent="0.2">
      <c r="F169" s="25"/>
      <c r="G169" s="25"/>
      <c r="H169" s="25"/>
      <c r="I169" s="25"/>
      <c r="J169" s="25"/>
      <c r="K169" s="30"/>
    </row>
    <row r="170" spans="6:11" s="24" customFormat="1" x14ac:dyDescent="0.2">
      <c r="F170" s="25"/>
      <c r="G170" s="25"/>
      <c r="H170" s="25"/>
      <c r="I170" s="25"/>
      <c r="J170" s="25"/>
      <c r="K170" s="30"/>
    </row>
    <row r="171" spans="6:11" s="24" customFormat="1" x14ac:dyDescent="0.2">
      <c r="F171" s="25"/>
      <c r="G171" s="25"/>
      <c r="H171" s="25"/>
      <c r="I171" s="25"/>
      <c r="J171" s="25"/>
      <c r="K171" s="30"/>
    </row>
    <row r="172" spans="6:11" s="24" customFormat="1" x14ac:dyDescent="0.2">
      <c r="F172" s="25"/>
      <c r="G172" s="25"/>
      <c r="H172" s="25"/>
      <c r="I172" s="25"/>
      <c r="J172" s="25"/>
      <c r="K172" s="30"/>
    </row>
    <row r="173" spans="6:11" s="24" customFormat="1" x14ac:dyDescent="0.2">
      <c r="F173" s="25"/>
      <c r="G173" s="25"/>
      <c r="H173" s="25"/>
      <c r="I173" s="25"/>
      <c r="J173" s="25"/>
      <c r="K173" s="30"/>
    </row>
    <row r="174" spans="6:11" s="24" customFormat="1" x14ac:dyDescent="0.2">
      <c r="F174" s="25"/>
      <c r="G174" s="25"/>
      <c r="H174" s="25"/>
      <c r="I174" s="25"/>
      <c r="J174" s="25"/>
      <c r="K174" s="30"/>
    </row>
    <row r="175" spans="6:11" s="24" customFormat="1" x14ac:dyDescent="0.2">
      <c r="F175" s="25"/>
      <c r="G175" s="25"/>
      <c r="H175" s="25"/>
      <c r="I175" s="25"/>
      <c r="J175" s="25"/>
      <c r="K175" s="30"/>
    </row>
    <row r="176" spans="6:11" s="24" customFormat="1" x14ac:dyDescent="0.2">
      <c r="F176" s="25"/>
      <c r="G176" s="25"/>
      <c r="H176" s="25"/>
      <c r="I176" s="25"/>
      <c r="J176" s="25"/>
      <c r="K176" s="30"/>
    </row>
    <row r="177" spans="6:11" s="24" customFormat="1" x14ac:dyDescent="0.2">
      <c r="F177" s="25"/>
      <c r="G177" s="25"/>
      <c r="H177" s="25"/>
      <c r="I177" s="25"/>
      <c r="J177" s="25"/>
      <c r="K177" s="30"/>
    </row>
    <row r="178" spans="6:11" s="24" customFormat="1" x14ac:dyDescent="0.2">
      <c r="F178" s="25"/>
      <c r="G178" s="25"/>
      <c r="H178" s="25"/>
      <c r="I178" s="25"/>
      <c r="J178" s="25"/>
      <c r="K178" s="30"/>
    </row>
    <row r="179" spans="6:11" s="24" customFormat="1" x14ac:dyDescent="0.2">
      <c r="F179" s="25"/>
      <c r="G179" s="25"/>
      <c r="H179" s="25"/>
      <c r="I179" s="25"/>
      <c r="J179" s="25"/>
      <c r="K179" s="30"/>
    </row>
    <row r="180" spans="6:11" s="24" customFormat="1" x14ac:dyDescent="0.2">
      <c r="F180" s="25"/>
      <c r="G180" s="25"/>
      <c r="H180" s="25"/>
      <c r="I180" s="25"/>
      <c r="J180" s="25"/>
      <c r="K180" s="30"/>
    </row>
    <row r="181" spans="6:11" s="24" customFormat="1" x14ac:dyDescent="0.2">
      <c r="F181" s="25"/>
      <c r="G181" s="25"/>
      <c r="H181" s="25"/>
      <c r="I181" s="25"/>
      <c r="J181" s="25"/>
      <c r="K181" s="30"/>
    </row>
    <row r="182" spans="6:11" s="24" customFormat="1" x14ac:dyDescent="0.2">
      <c r="F182" s="25"/>
      <c r="G182" s="25"/>
      <c r="H182" s="25"/>
      <c r="I182" s="25"/>
      <c r="J182" s="25"/>
      <c r="K182" s="30"/>
    </row>
    <row r="183" spans="6:11" s="24" customFormat="1" x14ac:dyDescent="0.2">
      <c r="F183" s="25"/>
      <c r="G183" s="25"/>
      <c r="H183" s="25"/>
      <c r="I183" s="25"/>
      <c r="J183" s="25"/>
      <c r="K183" s="30"/>
    </row>
    <row r="184" spans="6:11" s="24" customFormat="1" x14ac:dyDescent="0.2">
      <c r="F184" s="25"/>
      <c r="G184" s="25"/>
      <c r="H184" s="25"/>
      <c r="I184" s="25"/>
      <c r="J184" s="25"/>
      <c r="K184" s="30"/>
    </row>
    <row r="185" spans="6:11" s="24" customFormat="1" x14ac:dyDescent="0.2">
      <c r="F185" s="25"/>
      <c r="G185" s="25"/>
      <c r="H185" s="25"/>
      <c r="I185" s="25"/>
      <c r="J185" s="25"/>
      <c r="K185" s="30"/>
    </row>
    <row r="186" spans="6:11" s="24" customFormat="1" x14ac:dyDescent="0.2">
      <c r="F186" s="25"/>
      <c r="G186" s="25"/>
      <c r="H186" s="25"/>
      <c r="I186" s="25"/>
      <c r="J186" s="25"/>
      <c r="K186" s="30"/>
    </row>
    <row r="187" spans="6:11" s="24" customFormat="1" x14ac:dyDescent="0.2">
      <c r="F187" s="25"/>
      <c r="G187" s="25"/>
      <c r="H187" s="25"/>
      <c r="I187" s="25"/>
      <c r="J187" s="25"/>
      <c r="K187" s="30"/>
    </row>
    <row r="188" spans="6:11" s="24" customFormat="1" x14ac:dyDescent="0.2">
      <c r="F188" s="25"/>
      <c r="G188" s="25"/>
      <c r="H188" s="25"/>
      <c r="I188" s="25"/>
      <c r="J188" s="25"/>
      <c r="K188" s="30"/>
    </row>
    <row r="189" spans="6:11" s="24" customFormat="1" x14ac:dyDescent="0.2">
      <c r="F189" s="25"/>
      <c r="G189" s="25"/>
      <c r="H189" s="25"/>
      <c r="I189" s="25"/>
      <c r="J189" s="25"/>
      <c r="K189" s="30"/>
    </row>
    <row r="190" spans="6:11" s="24" customFormat="1" x14ac:dyDescent="0.2">
      <c r="F190" s="25"/>
      <c r="G190" s="25"/>
      <c r="H190" s="25"/>
      <c r="I190" s="25"/>
      <c r="J190" s="25"/>
      <c r="K190" s="30"/>
    </row>
    <row r="191" spans="6:11" s="24" customFormat="1" x14ac:dyDescent="0.2">
      <c r="F191" s="25"/>
      <c r="G191" s="25"/>
      <c r="H191" s="25"/>
      <c r="I191" s="25"/>
      <c r="J191" s="25"/>
      <c r="K191" s="30"/>
    </row>
    <row r="192" spans="6:11" s="24" customFormat="1" x14ac:dyDescent="0.2">
      <c r="F192" s="25"/>
      <c r="G192" s="25"/>
      <c r="H192" s="25"/>
      <c r="I192" s="25"/>
      <c r="J192" s="25"/>
      <c r="K192" s="25"/>
    </row>
    <row r="193" spans="6:11" s="24" customFormat="1" x14ac:dyDescent="0.2">
      <c r="F193" s="25"/>
      <c r="G193" s="25"/>
      <c r="H193" s="25"/>
      <c r="I193" s="25"/>
      <c r="J193" s="25"/>
      <c r="K193" s="25"/>
    </row>
    <row r="194" spans="6:11" s="24" customFormat="1" x14ac:dyDescent="0.2">
      <c r="F194" s="25"/>
      <c r="G194" s="25"/>
      <c r="H194" s="25"/>
      <c r="I194" s="25"/>
      <c r="J194" s="25"/>
      <c r="K194" s="25"/>
    </row>
    <row r="195" spans="6:11" s="24" customFormat="1" x14ac:dyDescent="0.2">
      <c r="F195" s="25"/>
      <c r="G195" s="25"/>
      <c r="H195" s="25"/>
      <c r="I195" s="25"/>
      <c r="J195" s="25"/>
      <c r="K195" s="25"/>
    </row>
    <row r="196" spans="6:11" s="24" customFormat="1" x14ac:dyDescent="0.2">
      <c r="F196" s="25"/>
      <c r="G196" s="25"/>
      <c r="H196" s="25"/>
      <c r="I196" s="25"/>
      <c r="J196" s="25"/>
      <c r="K196" s="25"/>
    </row>
    <row r="197" spans="6:11" s="24" customFormat="1" x14ac:dyDescent="0.2">
      <c r="F197" s="25"/>
      <c r="G197" s="25"/>
      <c r="H197" s="25"/>
      <c r="I197" s="25"/>
      <c r="J197" s="25"/>
      <c r="K197" s="25"/>
    </row>
    <row r="198" spans="6:11" s="24" customFormat="1" x14ac:dyDescent="0.2">
      <c r="F198" s="25"/>
      <c r="G198" s="25"/>
      <c r="H198" s="25"/>
      <c r="I198" s="25"/>
      <c r="J198" s="25"/>
      <c r="K198" s="25"/>
    </row>
    <row r="199" spans="6:11" s="24" customFormat="1" x14ac:dyDescent="0.2">
      <c r="F199" s="25"/>
      <c r="G199" s="25"/>
      <c r="H199" s="25"/>
      <c r="I199" s="25"/>
      <c r="J199" s="25"/>
      <c r="K199" s="25"/>
    </row>
  </sheetData>
  <pageMargins left="0.7" right="0.7" top="0.75" bottom="0.75" header="0.3" footer="0.3"/>
  <pageSetup scale="5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73" r:id="rId4" name="cmdReadError">
          <controlPr defaultSize="0" autoLine="0" r:id="rId5">
            <anchor moveWithCells="1">
              <from>
                <xdr:col>10</xdr:col>
                <xdr:colOff>1895475</xdr:colOff>
                <xdr:row>0</xdr:row>
                <xdr:rowOff>57150</xdr:rowOff>
              </from>
              <to>
                <xdr:col>10</xdr:col>
                <xdr:colOff>2714625</xdr:colOff>
                <xdr:row>0</xdr:row>
                <xdr:rowOff>447675</xdr:rowOff>
              </to>
            </anchor>
          </controlPr>
        </control>
      </mc:Choice>
      <mc:Fallback>
        <control shapeId="3073" r:id="rId4" name="cmdReadErro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C301EC-A067-4A1C-B455-D49F119E6844}">
          <x14:formula1>
            <xm:f>Units!$B$2:$B$7</xm:f>
          </x14:formula1>
          <xm:sqref>C138:D230 A2:A230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1951-AC2E-4319-B263-34065BF59FBB}">
  <sheetPr codeName="Sheet9"/>
  <dimension ref="A1:GR1"/>
  <sheetViews>
    <sheetView workbookViewId="0">
      <selection activeCell="GR1" sqref="B1:GR1"/>
    </sheetView>
  </sheetViews>
  <sheetFormatPr defaultRowHeight="12.75" x14ac:dyDescent="0.2"/>
  <sheetData>
    <row r="1" spans="1:200" x14ac:dyDescent="0.2">
      <c r="A1" t="s">
        <v>245</v>
      </c>
      <c r="B1">
        <v>1000</v>
      </c>
      <c r="C1" t="s">
        <v>246</v>
      </c>
      <c r="D1">
        <f>B1+1</f>
        <v>1001</v>
      </c>
      <c r="E1" t="s">
        <v>246</v>
      </c>
      <c r="F1">
        <f>D1+1</f>
        <v>1002</v>
      </c>
      <c r="G1" t="s">
        <v>246</v>
      </c>
      <c r="H1">
        <f t="shared" ref="H1" si="0">F1+1</f>
        <v>1003</v>
      </c>
      <c r="I1" t="s">
        <v>246</v>
      </c>
      <c r="J1">
        <f t="shared" ref="J1" si="1">H1+1</f>
        <v>1004</v>
      </c>
      <c r="K1" t="s">
        <v>246</v>
      </c>
      <c r="L1">
        <f>J1+1</f>
        <v>1005</v>
      </c>
      <c r="M1" t="s">
        <v>246</v>
      </c>
      <c r="N1">
        <f>L1+1</f>
        <v>1006</v>
      </c>
      <c r="O1" t="s">
        <v>246</v>
      </c>
      <c r="P1">
        <f t="shared" ref="P1" si="2">N1+1</f>
        <v>1007</v>
      </c>
      <c r="Q1" t="s">
        <v>246</v>
      </c>
      <c r="R1">
        <f t="shared" ref="R1" si="3">P1+1</f>
        <v>1008</v>
      </c>
      <c r="S1" t="s">
        <v>246</v>
      </c>
      <c r="T1">
        <f>R1+1</f>
        <v>1009</v>
      </c>
      <c r="U1" t="s">
        <v>246</v>
      </c>
      <c r="V1">
        <f>T1+1</f>
        <v>1010</v>
      </c>
      <c r="W1" t="s">
        <v>246</v>
      </c>
      <c r="X1">
        <f t="shared" ref="X1" si="4">V1+1</f>
        <v>1011</v>
      </c>
      <c r="Y1" t="s">
        <v>246</v>
      </c>
      <c r="Z1">
        <f t="shared" ref="Z1" si="5">X1+1</f>
        <v>1012</v>
      </c>
      <c r="AA1" t="s">
        <v>246</v>
      </c>
      <c r="AB1">
        <f>Z1+1</f>
        <v>1013</v>
      </c>
      <c r="AC1" t="s">
        <v>246</v>
      </c>
      <c r="AD1">
        <f>AB1+1</f>
        <v>1014</v>
      </c>
      <c r="AE1" t="s">
        <v>246</v>
      </c>
      <c r="AF1">
        <f t="shared" ref="AF1" si="6">AD1+1</f>
        <v>1015</v>
      </c>
      <c r="AG1" t="s">
        <v>246</v>
      </c>
      <c r="AH1">
        <f t="shared" ref="AH1" si="7">AF1+1</f>
        <v>1016</v>
      </c>
      <c r="AI1" t="s">
        <v>246</v>
      </c>
      <c r="AJ1">
        <f>AH1+1</f>
        <v>1017</v>
      </c>
      <c r="AK1" t="s">
        <v>246</v>
      </c>
      <c r="AL1">
        <f>AJ1+1</f>
        <v>1018</v>
      </c>
      <c r="AM1" t="s">
        <v>246</v>
      </c>
      <c r="AN1">
        <f t="shared" ref="AN1" si="8">AL1+1</f>
        <v>1019</v>
      </c>
      <c r="AO1" t="s">
        <v>246</v>
      </c>
      <c r="AP1">
        <f t="shared" ref="AP1" si="9">AN1+1</f>
        <v>1020</v>
      </c>
      <c r="AQ1" t="s">
        <v>246</v>
      </c>
      <c r="AR1">
        <f>AP1+1</f>
        <v>1021</v>
      </c>
      <c r="AS1" t="s">
        <v>246</v>
      </c>
      <c r="AT1">
        <f>AR1+1</f>
        <v>1022</v>
      </c>
      <c r="AU1" t="s">
        <v>246</v>
      </c>
      <c r="AV1">
        <f t="shared" ref="AV1" si="10">AT1+1</f>
        <v>1023</v>
      </c>
      <c r="AW1" t="s">
        <v>246</v>
      </c>
      <c r="AX1">
        <f t="shared" ref="AX1" si="11">AV1+1</f>
        <v>1024</v>
      </c>
      <c r="AY1" t="s">
        <v>246</v>
      </c>
      <c r="AZ1">
        <f>AX1+1</f>
        <v>1025</v>
      </c>
      <c r="BA1" t="s">
        <v>246</v>
      </c>
      <c r="BB1">
        <f>AZ1+1</f>
        <v>1026</v>
      </c>
      <c r="BC1" t="s">
        <v>246</v>
      </c>
      <c r="BD1">
        <f t="shared" ref="BD1" si="12">BB1+1</f>
        <v>1027</v>
      </c>
      <c r="BE1" t="s">
        <v>246</v>
      </c>
      <c r="BF1">
        <f t="shared" ref="BF1" si="13">BD1+1</f>
        <v>1028</v>
      </c>
      <c r="BG1" t="s">
        <v>246</v>
      </c>
      <c r="BH1">
        <f>BF1+1</f>
        <v>1029</v>
      </c>
      <c r="BI1" t="s">
        <v>246</v>
      </c>
      <c r="BJ1">
        <f>BH1+1</f>
        <v>1030</v>
      </c>
      <c r="BK1" t="s">
        <v>246</v>
      </c>
      <c r="BL1">
        <f t="shared" ref="BL1" si="14">BJ1+1</f>
        <v>1031</v>
      </c>
      <c r="BM1" t="s">
        <v>246</v>
      </c>
      <c r="BN1">
        <f t="shared" ref="BN1" si="15">BL1+1</f>
        <v>1032</v>
      </c>
      <c r="BO1" t="s">
        <v>246</v>
      </c>
      <c r="BP1">
        <f>BN1+1</f>
        <v>1033</v>
      </c>
      <c r="BQ1" t="s">
        <v>246</v>
      </c>
      <c r="BR1">
        <f>BP1+1</f>
        <v>1034</v>
      </c>
      <c r="BS1" t="s">
        <v>246</v>
      </c>
      <c r="BT1">
        <f t="shared" ref="BT1" si="16">BR1+1</f>
        <v>1035</v>
      </c>
      <c r="BU1" t="s">
        <v>246</v>
      </c>
      <c r="BV1">
        <f t="shared" ref="BV1" si="17">BT1+1</f>
        <v>1036</v>
      </c>
      <c r="BW1" t="s">
        <v>246</v>
      </c>
      <c r="BX1">
        <f>BV1+1</f>
        <v>1037</v>
      </c>
      <c r="BY1" t="s">
        <v>246</v>
      </c>
      <c r="BZ1">
        <f>BX1+1</f>
        <v>1038</v>
      </c>
      <c r="CA1" t="s">
        <v>246</v>
      </c>
      <c r="CB1">
        <f t="shared" ref="CB1" si="18">BZ1+1</f>
        <v>1039</v>
      </c>
      <c r="CC1" t="s">
        <v>246</v>
      </c>
      <c r="CD1">
        <f t="shared" ref="CD1" si="19">CB1+1</f>
        <v>1040</v>
      </c>
      <c r="CE1" t="s">
        <v>246</v>
      </c>
      <c r="CF1">
        <f>CD1+1</f>
        <v>1041</v>
      </c>
      <c r="CG1" t="s">
        <v>246</v>
      </c>
      <c r="CH1">
        <f>CF1+1</f>
        <v>1042</v>
      </c>
      <c r="CI1" t="s">
        <v>246</v>
      </c>
      <c r="CJ1">
        <f t="shared" ref="CJ1" si="20">CH1+1</f>
        <v>1043</v>
      </c>
      <c r="CK1" t="s">
        <v>246</v>
      </c>
      <c r="CL1">
        <f t="shared" ref="CL1" si="21">CJ1+1</f>
        <v>1044</v>
      </c>
      <c r="CM1" t="s">
        <v>246</v>
      </c>
      <c r="CN1">
        <f>CL1+1</f>
        <v>1045</v>
      </c>
      <c r="CO1" t="s">
        <v>246</v>
      </c>
      <c r="CP1">
        <f>CN1+1</f>
        <v>1046</v>
      </c>
      <c r="CQ1" t="s">
        <v>246</v>
      </c>
      <c r="CR1">
        <f t="shared" ref="CR1" si="22">CP1+1</f>
        <v>1047</v>
      </c>
      <c r="CS1" t="s">
        <v>246</v>
      </c>
      <c r="CT1">
        <f t="shared" ref="CT1" si="23">CR1+1</f>
        <v>1048</v>
      </c>
      <c r="CU1" t="s">
        <v>246</v>
      </c>
      <c r="CV1">
        <f>CT1+1</f>
        <v>1049</v>
      </c>
      <c r="CW1" t="s">
        <v>246</v>
      </c>
      <c r="CX1">
        <f>CV1+1</f>
        <v>1050</v>
      </c>
      <c r="CY1" t="s">
        <v>246</v>
      </c>
      <c r="CZ1">
        <f t="shared" ref="CZ1" si="24">CX1+1</f>
        <v>1051</v>
      </c>
      <c r="DA1" t="s">
        <v>246</v>
      </c>
      <c r="DB1">
        <f t="shared" ref="DB1" si="25">CZ1+1</f>
        <v>1052</v>
      </c>
      <c r="DC1" t="s">
        <v>246</v>
      </c>
      <c r="DD1">
        <f>DB1+1</f>
        <v>1053</v>
      </c>
      <c r="DE1" t="s">
        <v>246</v>
      </c>
      <c r="DF1">
        <f>DD1+1</f>
        <v>1054</v>
      </c>
      <c r="DG1" t="s">
        <v>246</v>
      </c>
      <c r="DH1">
        <f t="shared" ref="DH1" si="26">DF1+1</f>
        <v>1055</v>
      </c>
      <c r="DI1" t="s">
        <v>246</v>
      </c>
      <c r="DJ1">
        <f t="shared" ref="DJ1" si="27">DH1+1</f>
        <v>1056</v>
      </c>
      <c r="DK1" t="s">
        <v>246</v>
      </c>
      <c r="DL1">
        <f>DJ1+1</f>
        <v>1057</v>
      </c>
      <c r="DM1" t="s">
        <v>246</v>
      </c>
      <c r="DN1">
        <f>DL1+1</f>
        <v>1058</v>
      </c>
      <c r="DO1" t="s">
        <v>246</v>
      </c>
      <c r="DP1">
        <f t="shared" ref="DP1" si="28">DN1+1</f>
        <v>1059</v>
      </c>
      <c r="DQ1" t="s">
        <v>246</v>
      </c>
      <c r="DR1">
        <f t="shared" ref="DR1" si="29">DP1+1</f>
        <v>1060</v>
      </c>
      <c r="DS1" t="s">
        <v>246</v>
      </c>
      <c r="DT1">
        <f>DR1+1</f>
        <v>1061</v>
      </c>
      <c r="DU1" t="s">
        <v>246</v>
      </c>
      <c r="DV1">
        <f>DT1+1</f>
        <v>1062</v>
      </c>
      <c r="DW1" t="s">
        <v>246</v>
      </c>
      <c r="DX1">
        <f t="shared" ref="DX1" si="30">DV1+1</f>
        <v>1063</v>
      </c>
      <c r="DY1" t="s">
        <v>246</v>
      </c>
      <c r="DZ1">
        <f t="shared" ref="DZ1" si="31">DX1+1</f>
        <v>1064</v>
      </c>
      <c r="EA1" t="s">
        <v>246</v>
      </c>
      <c r="EB1">
        <f>DZ1+1</f>
        <v>1065</v>
      </c>
      <c r="EC1" t="s">
        <v>246</v>
      </c>
      <c r="ED1">
        <f>EB1+1</f>
        <v>1066</v>
      </c>
      <c r="EE1" t="s">
        <v>246</v>
      </c>
      <c r="EF1">
        <f t="shared" ref="EF1" si="32">ED1+1</f>
        <v>1067</v>
      </c>
      <c r="EG1" t="s">
        <v>246</v>
      </c>
      <c r="EH1">
        <f t="shared" ref="EH1" si="33">EF1+1</f>
        <v>1068</v>
      </c>
      <c r="EI1" t="s">
        <v>246</v>
      </c>
      <c r="EJ1">
        <f>EH1+1</f>
        <v>1069</v>
      </c>
      <c r="EK1" t="s">
        <v>246</v>
      </c>
      <c r="EL1">
        <f>EJ1+1</f>
        <v>1070</v>
      </c>
      <c r="EM1" t="s">
        <v>246</v>
      </c>
      <c r="EN1">
        <f t="shared" ref="EN1" si="34">EL1+1</f>
        <v>1071</v>
      </c>
      <c r="EO1" t="s">
        <v>246</v>
      </c>
      <c r="EP1">
        <f t="shared" ref="EP1" si="35">EN1+1</f>
        <v>1072</v>
      </c>
      <c r="EQ1" t="s">
        <v>246</v>
      </c>
      <c r="ER1">
        <f>EP1+1</f>
        <v>1073</v>
      </c>
      <c r="ES1" t="s">
        <v>246</v>
      </c>
      <c r="ET1">
        <f>ER1+1</f>
        <v>1074</v>
      </c>
      <c r="EU1" t="s">
        <v>246</v>
      </c>
      <c r="EV1">
        <f t="shared" ref="EV1" si="36">ET1+1</f>
        <v>1075</v>
      </c>
      <c r="EW1" t="s">
        <v>246</v>
      </c>
      <c r="EX1">
        <f t="shared" ref="EX1" si="37">EV1+1</f>
        <v>1076</v>
      </c>
      <c r="EY1" t="s">
        <v>246</v>
      </c>
      <c r="EZ1">
        <f>EX1+1</f>
        <v>1077</v>
      </c>
      <c r="FA1" t="s">
        <v>246</v>
      </c>
      <c r="FB1">
        <f>EZ1+1</f>
        <v>1078</v>
      </c>
      <c r="FC1" t="s">
        <v>246</v>
      </c>
      <c r="FD1">
        <f t="shared" ref="FD1" si="38">FB1+1</f>
        <v>1079</v>
      </c>
      <c r="FE1" t="s">
        <v>246</v>
      </c>
      <c r="FF1">
        <f t="shared" ref="FF1" si="39">FD1+1</f>
        <v>1080</v>
      </c>
      <c r="FG1" t="s">
        <v>246</v>
      </c>
      <c r="FH1">
        <f>FF1+1</f>
        <v>1081</v>
      </c>
      <c r="FI1" t="s">
        <v>246</v>
      </c>
      <c r="FJ1">
        <f>FH1+1</f>
        <v>1082</v>
      </c>
      <c r="FK1" t="s">
        <v>246</v>
      </c>
      <c r="FL1">
        <f t="shared" ref="FL1" si="40">FJ1+1</f>
        <v>1083</v>
      </c>
      <c r="FM1" t="s">
        <v>246</v>
      </c>
      <c r="FN1">
        <f t="shared" ref="FN1" si="41">FL1+1</f>
        <v>1084</v>
      </c>
      <c r="FO1" t="s">
        <v>246</v>
      </c>
      <c r="FP1">
        <f>FN1+1</f>
        <v>1085</v>
      </c>
      <c r="FQ1" t="s">
        <v>246</v>
      </c>
      <c r="FR1">
        <f>FP1+1</f>
        <v>1086</v>
      </c>
      <c r="FS1" t="s">
        <v>246</v>
      </c>
      <c r="FT1">
        <f t="shared" ref="FT1" si="42">FR1+1</f>
        <v>1087</v>
      </c>
      <c r="FU1" t="s">
        <v>246</v>
      </c>
      <c r="FV1">
        <f t="shared" ref="FV1" si="43">FT1+1</f>
        <v>1088</v>
      </c>
      <c r="FW1" t="s">
        <v>246</v>
      </c>
      <c r="FX1">
        <f>FV1+1</f>
        <v>1089</v>
      </c>
      <c r="FY1" t="s">
        <v>246</v>
      </c>
      <c r="FZ1">
        <f>FX1+1</f>
        <v>1090</v>
      </c>
      <c r="GA1" t="s">
        <v>246</v>
      </c>
      <c r="GB1">
        <f t="shared" ref="GB1" si="44">FZ1+1</f>
        <v>1091</v>
      </c>
      <c r="GC1" t="s">
        <v>246</v>
      </c>
      <c r="GD1">
        <f t="shared" ref="GD1" si="45">GB1+1</f>
        <v>1092</v>
      </c>
      <c r="GE1" t="s">
        <v>246</v>
      </c>
      <c r="GF1">
        <f>GD1+1</f>
        <v>1093</v>
      </c>
      <c r="GG1" t="s">
        <v>246</v>
      </c>
      <c r="GH1">
        <f>GF1+1</f>
        <v>1094</v>
      </c>
      <c r="GI1" t="s">
        <v>246</v>
      </c>
      <c r="GJ1">
        <f t="shared" ref="GJ1" si="46">GH1+1</f>
        <v>1095</v>
      </c>
      <c r="GK1" t="s">
        <v>246</v>
      </c>
      <c r="GL1">
        <f t="shared" ref="GL1" si="47">GJ1+1</f>
        <v>1096</v>
      </c>
      <c r="GM1" t="s">
        <v>246</v>
      </c>
      <c r="GN1">
        <f>GL1+1</f>
        <v>1097</v>
      </c>
      <c r="GO1" t="s">
        <v>246</v>
      </c>
      <c r="GP1">
        <f>GN1+1</f>
        <v>1098</v>
      </c>
      <c r="GQ1" t="s">
        <v>246</v>
      </c>
      <c r="GR1">
        <f t="shared" ref="GR1" si="48">GP1+1</f>
        <v>1099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64065-715F-4723-91B8-FF3B050D21ED}">
  <sheetPr codeName="Sheet2"/>
  <dimension ref="A1:C5"/>
  <sheetViews>
    <sheetView workbookViewId="0">
      <selection activeCell="B4" sqref="B4"/>
    </sheetView>
  </sheetViews>
  <sheetFormatPr defaultRowHeight="12.75" x14ac:dyDescent="0.2"/>
  <cols>
    <col min="2" max="2" width="24.75" customWidth="1"/>
    <col min="3" max="3" width="50.875" customWidth="1"/>
  </cols>
  <sheetData>
    <row r="1" spans="1:3" x14ac:dyDescent="0.2">
      <c r="A1" s="20" t="s">
        <v>4</v>
      </c>
      <c r="B1" s="20" t="s">
        <v>40</v>
      </c>
      <c r="C1" s="20" t="s">
        <v>1</v>
      </c>
    </row>
    <row r="2" spans="1:3" x14ac:dyDescent="0.2">
      <c r="A2">
        <v>1</v>
      </c>
      <c r="B2" t="s">
        <v>253</v>
      </c>
      <c r="C2" t="s">
        <v>41</v>
      </c>
    </row>
    <row r="3" spans="1:3" x14ac:dyDescent="0.2">
      <c r="A3">
        <v>2</v>
      </c>
      <c r="B3" t="s">
        <v>252</v>
      </c>
      <c r="C3" t="s">
        <v>42</v>
      </c>
    </row>
    <row r="4" spans="1:3" x14ac:dyDescent="0.2">
      <c r="A4">
        <v>3</v>
      </c>
      <c r="B4" t="s">
        <v>254</v>
      </c>
      <c r="C4" t="s">
        <v>43</v>
      </c>
    </row>
    <row r="5" spans="1:3" x14ac:dyDescent="0.2">
      <c r="A5">
        <v>4</v>
      </c>
      <c r="B5" t="s">
        <v>255</v>
      </c>
      <c r="C5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58AA5-2400-4BF0-A359-C567E8947839}">
  <sheetPr codeName="Sheet3"/>
  <dimension ref="A1:AE97"/>
  <sheetViews>
    <sheetView zoomScale="115" zoomScaleNormal="115" workbookViewId="0">
      <selection activeCell="C8" sqref="C8"/>
    </sheetView>
  </sheetViews>
  <sheetFormatPr defaultRowHeight="12.75" x14ac:dyDescent="0.2"/>
  <cols>
    <col min="3" max="3" width="23.375" customWidth="1"/>
    <col min="19" max="19" width="78.125" bestFit="1" customWidth="1"/>
    <col min="26" max="26" width="12" bestFit="1" customWidth="1"/>
    <col min="28" max="28" width="12" bestFit="1" customWidth="1"/>
  </cols>
  <sheetData>
    <row r="1" spans="1:25" x14ac:dyDescent="0.2">
      <c r="C1" t="s">
        <v>40</v>
      </c>
    </row>
    <row r="2" spans="1:25" x14ac:dyDescent="0.2">
      <c r="B2" s="111" t="s">
        <v>53</v>
      </c>
      <c r="C2" s="111"/>
      <c r="D2" s="111"/>
      <c r="E2" s="111"/>
      <c r="F2" s="111"/>
      <c r="G2" s="111"/>
      <c r="H2" s="31"/>
      <c r="I2" s="32"/>
      <c r="J2" s="31"/>
      <c r="K2" s="35"/>
      <c r="L2" s="110"/>
      <c r="M2" s="110"/>
      <c r="N2" s="110"/>
      <c r="O2" s="110"/>
      <c r="P2" s="110"/>
      <c r="Q2" s="110"/>
      <c r="R2" s="43"/>
      <c r="S2" s="31"/>
      <c r="T2" s="31"/>
      <c r="U2" s="31"/>
      <c r="V2" s="31"/>
    </row>
    <row r="3" spans="1:25" x14ac:dyDescent="0.2">
      <c r="A3" t="s">
        <v>84</v>
      </c>
      <c r="C3" t="s">
        <v>47</v>
      </c>
      <c r="D3" t="s">
        <v>49</v>
      </c>
      <c r="E3" t="s">
        <v>50</v>
      </c>
      <c r="F3" t="s">
        <v>48</v>
      </c>
      <c r="G3" t="s">
        <v>51</v>
      </c>
      <c r="H3" t="s">
        <v>59</v>
      </c>
      <c r="I3" t="s">
        <v>58</v>
      </c>
      <c r="J3" t="s">
        <v>64</v>
      </c>
      <c r="K3" t="s">
        <v>82</v>
      </c>
      <c r="L3" t="s">
        <v>304</v>
      </c>
      <c r="M3" t="s">
        <v>299</v>
      </c>
      <c r="N3" t="s">
        <v>300</v>
      </c>
      <c r="O3" t="s">
        <v>301</v>
      </c>
      <c r="P3" t="s">
        <v>302</v>
      </c>
      <c r="Q3" t="s">
        <v>303</v>
      </c>
      <c r="S3" s="34" t="s">
        <v>83</v>
      </c>
    </row>
    <row r="5" spans="1:25" x14ac:dyDescent="0.2">
      <c r="A5" s="36">
        <v>0</v>
      </c>
      <c r="B5" s="36">
        <v>10101</v>
      </c>
      <c r="C5" s="36" t="s">
        <v>65</v>
      </c>
      <c r="D5" s="36">
        <v>0</v>
      </c>
      <c r="E5" s="39">
        <f>F15</f>
        <v>1160</v>
      </c>
      <c r="F5" s="36">
        <v>780</v>
      </c>
      <c r="G5" s="36" t="s">
        <v>61</v>
      </c>
      <c r="H5" s="36">
        <v>3</v>
      </c>
      <c r="I5" s="36">
        <v>1</v>
      </c>
      <c r="J5" s="36">
        <v>1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/>
      <c r="S5" s="36" t="str">
        <f>CONCATENATE("{",C5,",",D5,",",E5,",",F5,",",G5,",",H5,",",I5,",",J5,",",K5,",",L5,",",M5,",",N5,",",O5,",",P5,",",Q5,"},")</f>
        <v>{"SCRAPE WIDTH      ",0,1160,780,"MM",3,1,1,0,0,0,0,0,0,0},</v>
      </c>
    </row>
    <row r="6" spans="1:25" x14ac:dyDescent="0.2">
      <c r="A6" s="36">
        <v>1</v>
      </c>
      <c r="B6" s="36">
        <v>10102</v>
      </c>
      <c r="C6" s="36" t="s">
        <v>57</v>
      </c>
      <c r="D6" s="36">
        <v>0</v>
      </c>
      <c r="E6" s="39">
        <f>F14</f>
        <v>200</v>
      </c>
      <c r="F6" s="36">
        <v>390</v>
      </c>
      <c r="G6" s="36" t="s">
        <v>61</v>
      </c>
      <c r="H6" s="36">
        <v>3</v>
      </c>
      <c r="I6" s="36">
        <v>1</v>
      </c>
      <c r="J6" s="36">
        <v>1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/>
      <c r="S6" s="36" t="str">
        <f t="shared" ref="S6:S21" si="0">CONCATENATE("{",C6,",",D6,",",E6,",",F6,",",G6,",",H6,",",I6,",",J6,",",K6,",",L6,",",M6,",",N6,",",O6,",",P6,",",Q6,"},")</f>
        <v>{"SCRAPE WIDTH INNER",0,200,390,"MM",3,1,1,0,0,0,0,0,0,0},</v>
      </c>
    </row>
    <row r="7" spans="1:25" x14ac:dyDescent="0.2">
      <c r="A7" s="36">
        <v>2</v>
      </c>
      <c r="B7" s="36">
        <v>10103</v>
      </c>
      <c r="C7" s="36" t="s">
        <v>70</v>
      </c>
      <c r="D7" s="36">
        <v>50</v>
      </c>
      <c r="E7" s="36">
        <v>300</v>
      </c>
      <c r="F7" s="36">
        <v>50</v>
      </c>
      <c r="G7" s="36" t="s">
        <v>62</v>
      </c>
      <c r="H7" s="36">
        <v>2</v>
      </c>
      <c r="I7" s="36">
        <v>1</v>
      </c>
      <c r="J7" s="36">
        <v>1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/>
      <c r="S7" s="36" t="str">
        <f t="shared" si="0"/>
        <v>{"SCRAPE SPEED      ",50,300,50,"RPS",2,1,1,0,0,0,0,0,0,0},</v>
      </c>
    </row>
    <row r="8" spans="1:25" x14ac:dyDescent="0.2">
      <c r="A8" s="36">
        <v>3</v>
      </c>
      <c r="B8" s="36">
        <v>10104</v>
      </c>
      <c r="C8" s="36" t="s">
        <v>115</v>
      </c>
      <c r="D8" s="37">
        <v>5</v>
      </c>
      <c r="E8" s="41">
        <v>95</v>
      </c>
      <c r="F8" s="40">
        <v>20</v>
      </c>
      <c r="G8" s="37" t="s">
        <v>61</v>
      </c>
      <c r="H8" s="37">
        <v>3</v>
      </c>
      <c r="I8" s="37">
        <v>2</v>
      </c>
      <c r="J8" s="37">
        <v>1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37">
        <v>0</v>
      </c>
      <c r="Q8" s="37">
        <v>0</v>
      </c>
      <c r="R8" s="37"/>
      <c r="S8" s="36" t="str">
        <f t="shared" si="0"/>
        <v>{"SIDE STEP SMALL   ",5,95,20,"MM",3,2,1,0,0,0,0,0,0,0},</v>
      </c>
      <c r="T8" s="106"/>
      <c r="Y8" s="34" t="s">
        <v>60</v>
      </c>
    </row>
    <row r="9" spans="1:25" x14ac:dyDescent="0.2">
      <c r="A9" s="36">
        <v>4</v>
      </c>
      <c r="B9" s="36">
        <v>10105</v>
      </c>
      <c r="C9" s="36" t="s">
        <v>117</v>
      </c>
      <c r="D9" s="40">
        <f>F8</f>
        <v>20</v>
      </c>
      <c r="E9" s="37">
        <v>100</v>
      </c>
      <c r="F9" s="37">
        <v>40</v>
      </c>
      <c r="G9" s="37" t="s">
        <v>61</v>
      </c>
      <c r="H9" s="37">
        <v>3</v>
      </c>
      <c r="I9" s="37">
        <v>2</v>
      </c>
      <c r="J9" s="37">
        <v>1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37">
        <v>0</v>
      </c>
      <c r="Q9" s="37">
        <v>0</v>
      </c>
      <c r="R9" s="37"/>
      <c r="S9" s="36" t="str">
        <f t="shared" si="0"/>
        <v>{"SIDE STEP BIG     ",20,100,40,"MM",3,2,1,0,0,0,0,0,0,0},</v>
      </c>
    </row>
    <row r="10" spans="1:25" x14ac:dyDescent="0.2">
      <c r="A10" s="36">
        <v>5</v>
      </c>
      <c r="B10" s="36">
        <v>10106</v>
      </c>
      <c r="C10" s="36" t="s">
        <v>81</v>
      </c>
      <c r="D10" s="37">
        <v>0</v>
      </c>
      <c r="E10" s="37">
        <v>100</v>
      </c>
      <c r="F10" s="37">
        <v>0</v>
      </c>
      <c r="G10" s="37" t="s">
        <v>63</v>
      </c>
      <c r="H10" s="37">
        <v>1</v>
      </c>
      <c r="I10" s="37">
        <v>0</v>
      </c>
      <c r="J10" s="37">
        <v>0</v>
      </c>
      <c r="K10" s="37">
        <v>1</v>
      </c>
      <c r="L10" s="37">
        <v>2</v>
      </c>
      <c r="M10" s="37">
        <v>0</v>
      </c>
      <c r="N10" s="37">
        <v>100</v>
      </c>
      <c r="O10" s="37">
        <v>0</v>
      </c>
      <c r="P10" s="37">
        <v>0</v>
      </c>
      <c r="Q10" s="37">
        <v>0</v>
      </c>
      <c r="R10" s="37"/>
      <c r="S10" s="36" t="str">
        <f t="shared" si="0"/>
        <v>{"SCREEN SAVER      ",0,100,0,"-",1,0,0,1,2,0,100,0,0,0},</v>
      </c>
    </row>
    <row r="11" spans="1:25" x14ac:dyDescent="0.2">
      <c r="A11" s="36">
        <v>6</v>
      </c>
      <c r="B11" s="36">
        <v>10107</v>
      </c>
      <c r="C11" s="36" t="s">
        <v>66</v>
      </c>
      <c r="D11" s="37">
        <v>0</v>
      </c>
      <c r="E11" s="37">
        <v>100</v>
      </c>
      <c r="F11" s="37">
        <v>0</v>
      </c>
      <c r="G11" s="37" t="s">
        <v>63</v>
      </c>
      <c r="H11" s="37">
        <v>1</v>
      </c>
      <c r="I11" s="37">
        <v>0</v>
      </c>
      <c r="J11" s="37">
        <v>0</v>
      </c>
      <c r="K11" s="37">
        <v>1</v>
      </c>
      <c r="L11" s="37">
        <v>2</v>
      </c>
      <c r="M11" s="37">
        <v>0</v>
      </c>
      <c r="N11" s="37">
        <v>100</v>
      </c>
      <c r="O11" s="37">
        <v>0</v>
      </c>
      <c r="P11" s="37">
        <v>0</v>
      </c>
      <c r="Q11" s="37">
        <v>0</v>
      </c>
      <c r="R11" s="37"/>
      <c r="S11" s="36" t="str">
        <f t="shared" si="0"/>
        <v>{"MACHINE TYPE      ",0,100,0,"-",1,0,0,1,2,0,100,0,0,0},</v>
      </c>
    </row>
    <row r="12" spans="1:25" x14ac:dyDescent="0.2">
      <c r="A12" s="36">
        <v>7</v>
      </c>
      <c r="B12" s="36">
        <v>10108</v>
      </c>
      <c r="C12" s="36" t="s">
        <v>67</v>
      </c>
      <c r="D12" s="37">
        <v>-100</v>
      </c>
      <c r="E12" s="37">
        <v>100</v>
      </c>
      <c r="F12" s="37">
        <v>0</v>
      </c>
      <c r="G12" s="37" t="s">
        <v>61</v>
      </c>
      <c r="H12" s="37">
        <v>3</v>
      </c>
      <c r="I12" s="37">
        <v>2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/>
      <c r="S12" s="36" t="str">
        <f t="shared" si="0"/>
        <v>{"SIDE STEP OFFSET  ",-100,100,0,"MM",3,2,0,0,0,0,0,0,0,0},</v>
      </c>
    </row>
    <row r="13" spans="1:25" x14ac:dyDescent="0.2">
      <c r="A13" s="36">
        <v>8</v>
      </c>
      <c r="B13" s="36">
        <v>10109</v>
      </c>
      <c r="C13" s="36" t="s">
        <v>68</v>
      </c>
      <c r="D13" s="36">
        <v>10</v>
      </c>
      <c r="E13" s="36">
        <v>100</v>
      </c>
      <c r="F13" s="36">
        <v>10</v>
      </c>
      <c r="G13" s="36" t="s">
        <v>62</v>
      </c>
      <c r="H13" s="36">
        <v>2</v>
      </c>
      <c r="I13" s="36">
        <v>1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/>
      <c r="S13" s="36" t="str">
        <f t="shared" si="0"/>
        <v>{"SCRAPE SPEED MIN  ",10,100,10,"RPS",2,1,0,0,0,0,0,0,0,0},</v>
      </c>
    </row>
    <row r="14" spans="1:25" x14ac:dyDescent="0.2">
      <c r="A14" s="36">
        <v>9</v>
      </c>
      <c r="B14" s="36">
        <v>10110</v>
      </c>
      <c r="C14" s="36" t="s">
        <v>69</v>
      </c>
      <c r="D14" s="36">
        <v>10</v>
      </c>
      <c r="E14" s="36">
        <v>200</v>
      </c>
      <c r="F14" s="39">
        <v>200</v>
      </c>
      <c r="G14" s="36" t="s">
        <v>62</v>
      </c>
      <c r="H14" s="36">
        <v>2</v>
      </c>
      <c r="I14" s="36">
        <v>1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/>
      <c r="S14" s="36" t="str">
        <f t="shared" si="0"/>
        <v>{"SCRAPE SPEED MAX  ",10,200,200,"RPS",2,1,0,0,0,0,0,0,0,0},</v>
      </c>
    </row>
    <row r="15" spans="1:25" x14ac:dyDescent="0.2">
      <c r="A15" s="37">
        <v>10</v>
      </c>
      <c r="B15" s="36">
        <v>10111</v>
      </c>
      <c r="C15" s="37" t="s">
        <v>110</v>
      </c>
      <c r="D15" s="37">
        <v>0</v>
      </c>
      <c r="E15" s="37">
        <v>2500</v>
      </c>
      <c r="F15" s="39">
        <v>1160</v>
      </c>
      <c r="G15" s="37" t="s">
        <v>61</v>
      </c>
      <c r="H15" s="37">
        <v>3</v>
      </c>
      <c r="I15" s="37">
        <v>1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37">
        <v>0</v>
      </c>
      <c r="Q15" s="37">
        <v>0</v>
      </c>
      <c r="R15" s="37"/>
      <c r="S15" s="36" t="str">
        <f t="shared" si="0"/>
        <v>{"SCRAPE WIDTH MAX  ",0,2500,1160,"MM",3,1,0,0,0,0,0,0,0,0},</v>
      </c>
    </row>
    <row r="16" spans="1:25" x14ac:dyDescent="0.2">
      <c r="A16" s="37">
        <v>11</v>
      </c>
      <c r="B16" s="36">
        <v>10112</v>
      </c>
      <c r="C16" s="36" t="s">
        <v>113</v>
      </c>
      <c r="D16" s="36">
        <v>0</v>
      </c>
      <c r="E16" s="37">
        <v>2500</v>
      </c>
      <c r="F16" s="36">
        <v>780</v>
      </c>
      <c r="G16" s="36" t="s">
        <v>61</v>
      </c>
      <c r="H16" s="36">
        <v>3</v>
      </c>
      <c r="I16" s="36">
        <v>1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/>
      <c r="S16" s="36" t="str">
        <f t="shared" si="0"/>
        <v>{"SCRAPE WIDTH FACT ",0,2500,780,"MM",3,1,0,0,0,0,0,0,0,0},</v>
      </c>
    </row>
    <row r="17" spans="1:25" x14ac:dyDescent="0.2">
      <c r="A17" s="37">
        <v>12</v>
      </c>
      <c r="B17" s="36">
        <v>10113</v>
      </c>
      <c r="C17" s="36" t="s">
        <v>114</v>
      </c>
      <c r="D17" s="36">
        <v>0</v>
      </c>
      <c r="E17" s="36">
        <v>200</v>
      </c>
      <c r="F17" s="36">
        <v>200</v>
      </c>
      <c r="G17" s="36" t="s">
        <v>62</v>
      </c>
      <c r="H17" s="36">
        <v>1</v>
      </c>
      <c r="I17" s="36">
        <v>1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/>
      <c r="S17" s="36" t="str">
        <f t="shared" si="0"/>
        <v>{"SCRAPE SPEED FACT ",0,200,200,"RPS",1,1,0,0,0,0,0,0,0,0},</v>
      </c>
    </row>
    <row r="18" spans="1:25" x14ac:dyDescent="0.2">
      <c r="A18" s="37">
        <v>13</v>
      </c>
      <c r="B18" s="36">
        <v>10114</v>
      </c>
      <c r="C18" s="37" t="s">
        <v>112</v>
      </c>
      <c r="D18" s="37">
        <v>0</v>
      </c>
      <c r="E18" s="37">
        <v>500</v>
      </c>
      <c r="F18" s="37">
        <v>30</v>
      </c>
      <c r="G18" s="37" t="s">
        <v>61</v>
      </c>
      <c r="H18" s="37">
        <v>3</v>
      </c>
      <c r="I18" s="37">
        <v>2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/>
      <c r="S18" s="36" t="str">
        <f t="shared" si="0"/>
        <v>{"SIDE ST SMALL FACT",0,500,30,"MM",3,2,0,0,0,0,0,0,0,0},</v>
      </c>
    </row>
    <row r="19" spans="1:25" x14ac:dyDescent="0.2">
      <c r="A19" s="37">
        <v>14</v>
      </c>
      <c r="B19" s="36">
        <v>10115</v>
      </c>
      <c r="C19" s="37" t="s">
        <v>116</v>
      </c>
      <c r="D19" s="37">
        <v>0</v>
      </c>
      <c r="E19" s="37">
        <v>500</v>
      </c>
      <c r="F19" s="37">
        <v>30</v>
      </c>
      <c r="G19" s="37" t="s">
        <v>61</v>
      </c>
      <c r="H19" s="37">
        <v>3</v>
      </c>
      <c r="I19" s="37">
        <v>2</v>
      </c>
      <c r="J19" s="37">
        <v>0</v>
      </c>
      <c r="K19" s="37">
        <v>0</v>
      </c>
      <c r="L19" s="37">
        <v>0</v>
      </c>
      <c r="M19" s="37">
        <v>0</v>
      </c>
      <c r="N19" s="37">
        <v>0</v>
      </c>
      <c r="O19" s="37">
        <v>0</v>
      </c>
      <c r="P19" s="37">
        <v>0</v>
      </c>
      <c r="Q19" s="37">
        <v>0</v>
      </c>
      <c r="R19" s="37"/>
      <c r="S19" s="36" t="str">
        <f t="shared" si="0"/>
        <v>{"SIDE ST BIG FACT  ",0,500,30,"MM",3,2,0,0,0,0,0,0,0,0},</v>
      </c>
    </row>
    <row r="20" spans="1:25" x14ac:dyDescent="0.2">
      <c r="A20" s="37">
        <v>15</v>
      </c>
      <c r="B20" s="36">
        <v>10116</v>
      </c>
      <c r="C20" s="37" t="s">
        <v>264</v>
      </c>
      <c r="D20" s="37">
        <v>0</v>
      </c>
      <c r="E20" s="37">
        <v>0</v>
      </c>
      <c r="F20" s="37">
        <v>1756</v>
      </c>
      <c r="G20" s="37" t="s">
        <v>63</v>
      </c>
      <c r="H20" s="37">
        <v>4</v>
      </c>
      <c r="I20" s="37">
        <v>3</v>
      </c>
      <c r="J20" s="37">
        <v>0</v>
      </c>
      <c r="K20" s="37">
        <v>1</v>
      </c>
      <c r="L20" s="37">
        <v>2</v>
      </c>
      <c r="M20" s="37">
        <v>1756</v>
      </c>
      <c r="N20" s="37">
        <v>1838</v>
      </c>
      <c r="O20" s="37">
        <v>0</v>
      </c>
      <c r="P20" s="37">
        <v>0</v>
      </c>
      <c r="Q20" s="37">
        <v>0</v>
      </c>
      <c r="R20" s="37"/>
      <c r="S20" s="36" t="str">
        <f t="shared" si="0"/>
        <v>{"SIDE ST RATIO     ",0,0,1756,"-",4,3,0,1,2,1756,1838,0,0,0},</v>
      </c>
    </row>
    <row r="21" spans="1:25" x14ac:dyDescent="0.2">
      <c r="A21" s="37">
        <v>16</v>
      </c>
      <c r="B21" s="36">
        <v>10117</v>
      </c>
      <c r="C21" s="37" t="s">
        <v>298</v>
      </c>
      <c r="D21" s="37">
        <v>0</v>
      </c>
      <c r="E21" s="37">
        <v>0</v>
      </c>
      <c r="F21" s="37">
        <v>15000</v>
      </c>
      <c r="G21" s="37" t="s">
        <v>63</v>
      </c>
      <c r="H21" s="37">
        <v>3</v>
      </c>
      <c r="I21" s="37">
        <v>0</v>
      </c>
      <c r="J21" s="37">
        <v>0</v>
      </c>
      <c r="K21" s="37">
        <v>1</v>
      </c>
      <c r="L21" s="37">
        <v>2</v>
      </c>
      <c r="M21" s="37">
        <v>3000</v>
      </c>
      <c r="N21" s="37">
        <v>15000</v>
      </c>
      <c r="O21" s="37">
        <v>0</v>
      </c>
      <c r="P21" s="37">
        <v>0</v>
      </c>
      <c r="Q21" s="37">
        <v>0</v>
      </c>
      <c r="R21" s="37"/>
      <c r="S21" s="36" t="str">
        <f t="shared" si="0"/>
        <v>{"SIDE ST REDUCTION",0,0,15000,"-",3,0,0,1,2,3000,15000,0,0,0},</v>
      </c>
    </row>
    <row r="22" spans="1:25" x14ac:dyDescent="0.2">
      <c r="A22" s="37">
        <v>17</v>
      </c>
      <c r="B22" s="36">
        <v>10118</v>
      </c>
      <c r="C22" s="37" t="s">
        <v>305</v>
      </c>
      <c r="D22" s="37">
        <v>0</v>
      </c>
      <c r="E22" s="37">
        <v>0</v>
      </c>
      <c r="F22" s="37">
        <v>5000</v>
      </c>
      <c r="G22" s="37" t="s">
        <v>63</v>
      </c>
      <c r="H22" s="37">
        <v>2</v>
      </c>
      <c r="I22" s="37">
        <v>0</v>
      </c>
      <c r="J22" s="37">
        <v>0</v>
      </c>
      <c r="K22" s="37">
        <v>1</v>
      </c>
      <c r="L22" s="37">
        <v>2</v>
      </c>
      <c r="M22" s="37">
        <v>3000</v>
      </c>
      <c r="N22" s="37">
        <v>5000</v>
      </c>
      <c r="O22" s="37">
        <v>0</v>
      </c>
      <c r="P22" s="37">
        <v>0</v>
      </c>
      <c r="Q22" s="37">
        <v>0</v>
      </c>
      <c r="R22" s="37"/>
      <c r="S22" s="36" t="str">
        <f t="shared" ref="S22" si="1">CONCATENATE("{",C22,",",D22,",",E22,",",F22,",",G22,",",H22,",",I22,",",J22,",",K22,",",L22,",",M22,",",N22,",",O22,",",P22,",",Q22,"},")</f>
        <v>{"STROKE REDUCTION ",0,0,5000,"-",2,0,0,1,2,3000,5000,0,0,0},</v>
      </c>
    </row>
    <row r="23" spans="1:25" x14ac:dyDescent="0.2">
      <c r="A23" t="s">
        <v>85</v>
      </c>
      <c r="C23" s="36"/>
      <c r="D23" s="36"/>
      <c r="E23" s="37"/>
      <c r="F23" s="36"/>
      <c r="G23" s="44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</row>
    <row r="24" spans="1:25" x14ac:dyDescent="0.2">
      <c r="C24" s="36"/>
      <c r="D24" s="36"/>
      <c r="E24" s="37"/>
      <c r="F24" s="36"/>
      <c r="G24" s="44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25" x14ac:dyDescent="0.2">
      <c r="A25" s="36">
        <v>0</v>
      </c>
      <c r="B25" s="36">
        <v>10101</v>
      </c>
      <c r="C25" s="36" t="s">
        <v>65</v>
      </c>
      <c r="D25" s="36">
        <v>0</v>
      </c>
      <c r="E25" s="39">
        <f>F35</f>
        <v>2400</v>
      </c>
      <c r="F25" s="36">
        <v>1660</v>
      </c>
      <c r="G25" s="36" t="s">
        <v>61</v>
      </c>
      <c r="H25" s="36">
        <v>3</v>
      </c>
      <c r="I25" s="36">
        <v>1</v>
      </c>
      <c r="J25" s="36">
        <v>1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/>
      <c r="S25" s="36" t="str">
        <f>CONCATENATE("{",C25,",",D25,",",E25,",",F25,",",G25,",",H25,",",I25,",",J25,",",K25,",",L25,",",M25,",",N25,",",O25,",",P25,",",Q25,"},")</f>
        <v>{"SCRAPE WIDTH      ",0,2400,1660,"MM",3,1,1,0,0,0,0,0,0,0},</v>
      </c>
    </row>
    <row r="26" spans="1:25" x14ac:dyDescent="0.2">
      <c r="A26" s="36">
        <v>1</v>
      </c>
      <c r="B26" s="36">
        <v>10102</v>
      </c>
      <c r="C26" s="36" t="s">
        <v>57</v>
      </c>
      <c r="D26" s="36">
        <v>0</v>
      </c>
      <c r="E26" s="39">
        <f>F34</f>
        <v>200</v>
      </c>
      <c r="F26" s="36">
        <v>830</v>
      </c>
      <c r="G26" s="36" t="s">
        <v>61</v>
      </c>
      <c r="H26" s="36">
        <v>3</v>
      </c>
      <c r="I26" s="36">
        <v>1</v>
      </c>
      <c r="J26" s="36">
        <v>1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/>
      <c r="S26" s="36" t="str">
        <f t="shared" ref="S26:S42" si="2">CONCATENATE("{",C26,",",D26,",",E26,",",F26,",",G26,",",H26,",",I26,",",J26,",",K26,",",L26,",",M26,",",N26,",",O26,",",P26,",",Q26,"},")</f>
        <v>{"SCRAPE WIDTH INNER",0,200,830,"MM",3,1,1,0,0,0,0,0,0,0},</v>
      </c>
    </row>
    <row r="27" spans="1:25" x14ac:dyDescent="0.2">
      <c r="A27" s="36">
        <v>2</v>
      </c>
      <c r="B27" s="36">
        <v>10103</v>
      </c>
      <c r="C27" s="36" t="s">
        <v>70</v>
      </c>
      <c r="D27" s="36">
        <v>50</v>
      </c>
      <c r="E27" s="36">
        <v>200</v>
      </c>
      <c r="F27" s="36">
        <v>50</v>
      </c>
      <c r="G27" s="36" t="s">
        <v>62</v>
      </c>
      <c r="H27" s="36">
        <v>1</v>
      </c>
      <c r="I27" s="36">
        <v>1</v>
      </c>
      <c r="J27" s="36">
        <v>1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/>
      <c r="S27" s="36" t="str">
        <f t="shared" si="2"/>
        <v>{"SCRAPE SPEED      ",50,200,50,"RPS",1,1,1,0,0,0,0,0,0,0},</v>
      </c>
    </row>
    <row r="28" spans="1:25" x14ac:dyDescent="0.2">
      <c r="A28" s="36">
        <v>3</v>
      </c>
      <c r="B28" s="36">
        <v>10104</v>
      </c>
      <c r="C28" s="36" t="s">
        <v>115</v>
      </c>
      <c r="D28" s="37">
        <v>5</v>
      </c>
      <c r="E28" s="41">
        <f>F29</f>
        <v>60</v>
      </c>
      <c r="F28" s="40">
        <v>30</v>
      </c>
      <c r="G28" s="37" t="s">
        <v>61</v>
      </c>
      <c r="H28" s="37">
        <v>3</v>
      </c>
      <c r="I28" s="37">
        <v>2</v>
      </c>
      <c r="J28" s="37">
        <v>1</v>
      </c>
      <c r="K28" s="37">
        <v>0</v>
      </c>
      <c r="L28" s="37">
        <v>0</v>
      </c>
      <c r="M28" s="37">
        <v>0</v>
      </c>
      <c r="N28" s="37">
        <v>0</v>
      </c>
      <c r="O28" s="37">
        <v>0</v>
      </c>
      <c r="P28" s="37">
        <v>0</v>
      </c>
      <c r="Q28" s="37">
        <v>0</v>
      </c>
      <c r="R28" s="37"/>
      <c r="S28" s="36" t="str">
        <f t="shared" si="2"/>
        <v>{"SIDE STEP SMALL   ",5,60,30,"MM",3,2,1,0,0,0,0,0,0,0},</v>
      </c>
      <c r="Y28" s="34" t="s">
        <v>60</v>
      </c>
    </row>
    <row r="29" spans="1:25" x14ac:dyDescent="0.2">
      <c r="A29" s="36">
        <v>4</v>
      </c>
      <c r="B29" s="36">
        <v>10105</v>
      </c>
      <c r="C29" s="36" t="s">
        <v>117</v>
      </c>
      <c r="D29" s="40">
        <f>F28</f>
        <v>30</v>
      </c>
      <c r="E29" s="37">
        <v>100</v>
      </c>
      <c r="F29" s="41">
        <v>60</v>
      </c>
      <c r="G29" s="37" t="s">
        <v>61</v>
      </c>
      <c r="H29" s="37">
        <v>3</v>
      </c>
      <c r="I29" s="37">
        <v>2</v>
      </c>
      <c r="J29" s="37">
        <v>1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/>
      <c r="S29" s="36" t="str">
        <f t="shared" si="2"/>
        <v>{"SIDE STEP BIG     ",30,100,60,"MM",3,2,1,0,0,0,0,0,0,0},</v>
      </c>
    </row>
    <row r="30" spans="1:25" x14ac:dyDescent="0.2">
      <c r="A30" s="36">
        <v>5</v>
      </c>
      <c r="B30" s="36">
        <v>10106</v>
      </c>
      <c r="C30" s="36" t="s">
        <v>81</v>
      </c>
      <c r="D30" s="37">
        <v>0</v>
      </c>
      <c r="E30" s="37">
        <v>100</v>
      </c>
      <c r="F30" s="37">
        <v>0</v>
      </c>
      <c r="G30" s="37" t="s">
        <v>63</v>
      </c>
      <c r="H30" s="37">
        <v>1</v>
      </c>
      <c r="I30" s="37">
        <v>0</v>
      </c>
      <c r="J30" s="37">
        <v>0</v>
      </c>
      <c r="K30" s="37">
        <v>1</v>
      </c>
      <c r="L30" s="37">
        <v>2</v>
      </c>
      <c r="M30" s="37">
        <v>0</v>
      </c>
      <c r="N30" s="37">
        <v>100</v>
      </c>
      <c r="O30" s="37">
        <v>0</v>
      </c>
      <c r="P30" s="37">
        <v>0</v>
      </c>
      <c r="Q30" s="37">
        <v>0</v>
      </c>
      <c r="R30" s="37"/>
      <c r="S30" s="36" t="str">
        <f t="shared" si="2"/>
        <v>{"SCREEN SAVER      ",0,100,0,"-",1,0,0,1,2,0,100,0,0,0},</v>
      </c>
    </row>
    <row r="31" spans="1:25" x14ac:dyDescent="0.2">
      <c r="A31" s="36">
        <v>6</v>
      </c>
      <c r="B31" s="36">
        <v>10107</v>
      </c>
      <c r="C31" s="36" t="s">
        <v>66</v>
      </c>
      <c r="D31" s="37">
        <v>0</v>
      </c>
      <c r="E31" s="37">
        <v>100</v>
      </c>
      <c r="F31" s="37">
        <v>0</v>
      </c>
      <c r="G31" s="37" t="s">
        <v>63</v>
      </c>
      <c r="H31" s="37">
        <v>1</v>
      </c>
      <c r="I31" s="37">
        <v>0</v>
      </c>
      <c r="J31" s="37">
        <v>0</v>
      </c>
      <c r="K31" s="37">
        <v>1</v>
      </c>
      <c r="L31" s="37">
        <v>2</v>
      </c>
      <c r="M31" s="37">
        <v>0</v>
      </c>
      <c r="N31" s="37">
        <v>100</v>
      </c>
      <c r="O31" s="37">
        <v>0</v>
      </c>
      <c r="P31" s="37">
        <v>0</v>
      </c>
      <c r="Q31" s="37">
        <v>0</v>
      </c>
      <c r="R31" s="37"/>
      <c r="S31" s="36" t="str">
        <f t="shared" si="2"/>
        <v>{"MACHINE TYPE      ",0,100,0,"-",1,0,0,1,2,0,100,0,0,0},</v>
      </c>
    </row>
    <row r="32" spans="1:25" x14ac:dyDescent="0.2">
      <c r="A32" s="36">
        <v>7</v>
      </c>
      <c r="B32" s="36">
        <v>10108</v>
      </c>
      <c r="C32" s="36" t="s">
        <v>67</v>
      </c>
      <c r="D32" s="37">
        <v>-100</v>
      </c>
      <c r="E32" s="37">
        <v>100</v>
      </c>
      <c r="F32" s="37">
        <v>0</v>
      </c>
      <c r="G32" s="37" t="s">
        <v>61</v>
      </c>
      <c r="H32" s="37">
        <v>3</v>
      </c>
      <c r="I32" s="37">
        <v>2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/>
      <c r="S32" s="36" t="str">
        <f t="shared" si="2"/>
        <v>{"SIDE STEP OFFSET  ",-100,100,0,"MM",3,2,0,0,0,0,0,0,0,0},</v>
      </c>
    </row>
    <row r="33" spans="1:26" x14ac:dyDescent="0.2">
      <c r="A33" s="36">
        <v>8</v>
      </c>
      <c r="B33" s="36">
        <v>10109</v>
      </c>
      <c r="C33" s="36" t="s">
        <v>68</v>
      </c>
      <c r="D33" s="36">
        <v>10</v>
      </c>
      <c r="E33" s="36">
        <v>100</v>
      </c>
      <c r="F33" s="36">
        <v>10</v>
      </c>
      <c r="G33" s="36" t="s">
        <v>62</v>
      </c>
      <c r="H33" s="36">
        <v>2</v>
      </c>
      <c r="I33" s="36">
        <v>1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/>
      <c r="S33" s="36" t="str">
        <f t="shared" si="2"/>
        <v>{"SCRAPE SPEED MIN  ",10,100,10,"RPS",2,1,0,0,0,0,0,0,0,0},</v>
      </c>
    </row>
    <row r="34" spans="1:26" x14ac:dyDescent="0.2">
      <c r="A34" s="36">
        <v>9</v>
      </c>
      <c r="B34" s="36">
        <v>10110</v>
      </c>
      <c r="C34" s="36" t="s">
        <v>69</v>
      </c>
      <c r="D34" s="36">
        <v>10</v>
      </c>
      <c r="E34" s="36">
        <v>200</v>
      </c>
      <c r="F34" s="39">
        <v>200</v>
      </c>
      <c r="G34" s="36" t="s">
        <v>62</v>
      </c>
      <c r="H34" s="36">
        <v>2</v>
      </c>
      <c r="I34" s="36">
        <v>1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/>
      <c r="S34" s="36" t="str">
        <f t="shared" si="2"/>
        <v>{"SCRAPE SPEED MAX  ",10,200,200,"RPS",2,1,0,0,0,0,0,0,0,0},</v>
      </c>
    </row>
    <row r="35" spans="1:26" x14ac:dyDescent="0.2">
      <c r="A35" s="37">
        <v>10</v>
      </c>
      <c r="B35" s="36">
        <v>10111</v>
      </c>
      <c r="C35" s="37" t="s">
        <v>110</v>
      </c>
      <c r="D35" s="37">
        <v>0</v>
      </c>
      <c r="E35" s="37">
        <v>2500</v>
      </c>
      <c r="F35" s="39">
        <v>2400</v>
      </c>
      <c r="G35" s="37" t="s">
        <v>61</v>
      </c>
      <c r="H35" s="37">
        <v>3</v>
      </c>
      <c r="I35" s="37">
        <v>1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P35" s="37">
        <v>0</v>
      </c>
      <c r="Q35" s="37">
        <v>0</v>
      </c>
      <c r="R35" s="37"/>
      <c r="S35" s="36" t="str">
        <f t="shared" si="2"/>
        <v>{"SCRAPE WIDTH MAX  ",0,2500,2400,"MM",3,1,0,0,0,0,0,0,0,0},</v>
      </c>
    </row>
    <row r="36" spans="1:26" x14ac:dyDescent="0.2">
      <c r="A36" s="37">
        <v>11</v>
      </c>
      <c r="B36" s="36">
        <v>10112</v>
      </c>
      <c r="C36" s="36" t="s">
        <v>113</v>
      </c>
      <c r="D36" s="36">
        <v>0</v>
      </c>
      <c r="E36" s="37">
        <v>2500</v>
      </c>
      <c r="F36" s="36">
        <v>1160</v>
      </c>
      <c r="G36" s="36" t="s">
        <v>61</v>
      </c>
      <c r="H36" s="36">
        <v>3</v>
      </c>
      <c r="I36" s="36">
        <v>1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/>
      <c r="S36" s="36" t="str">
        <f t="shared" si="2"/>
        <v>{"SCRAPE WIDTH FACT ",0,2500,1160,"MM",3,1,0,0,0,0,0,0,0,0},</v>
      </c>
    </row>
    <row r="37" spans="1:26" x14ac:dyDescent="0.2">
      <c r="A37" s="37">
        <v>12</v>
      </c>
      <c r="B37" s="36">
        <v>10113</v>
      </c>
      <c r="C37" s="36" t="s">
        <v>114</v>
      </c>
      <c r="D37" s="36">
        <v>0</v>
      </c>
      <c r="E37" s="36">
        <v>200</v>
      </c>
      <c r="F37" s="36">
        <v>200</v>
      </c>
      <c r="G37" s="36" t="s">
        <v>62</v>
      </c>
      <c r="H37" s="36">
        <v>1</v>
      </c>
      <c r="I37" s="36">
        <v>1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/>
      <c r="S37" s="36" t="str">
        <f t="shared" si="2"/>
        <v>{"SCRAPE SPEED FACT ",0,200,200,"RPS",1,1,0,0,0,0,0,0,0,0},</v>
      </c>
    </row>
    <row r="38" spans="1:26" x14ac:dyDescent="0.2">
      <c r="A38" s="37">
        <v>13</v>
      </c>
      <c r="B38" s="36">
        <v>10114</v>
      </c>
      <c r="C38" s="37" t="s">
        <v>112</v>
      </c>
      <c r="D38" s="37">
        <v>0</v>
      </c>
      <c r="E38" s="37">
        <v>500</v>
      </c>
      <c r="F38" s="37">
        <v>40</v>
      </c>
      <c r="G38" s="37" t="s">
        <v>61</v>
      </c>
      <c r="H38" s="37">
        <v>3</v>
      </c>
      <c r="I38" s="37">
        <v>2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37">
        <v>0</v>
      </c>
      <c r="Q38" s="37">
        <v>0</v>
      </c>
      <c r="R38" s="37"/>
      <c r="S38" s="36" t="str">
        <f t="shared" si="2"/>
        <v>{"SIDE ST SMALL FACT",0,500,40,"MM",3,2,0,0,0,0,0,0,0,0},</v>
      </c>
    </row>
    <row r="39" spans="1:26" x14ac:dyDescent="0.2">
      <c r="A39" s="37">
        <v>14</v>
      </c>
      <c r="B39" s="36">
        <v>10115</v>
      </c>
      <c r="C39" s="37" t="s">
        <v>116</v>
      </c>
      <c r="D39" s="37">
        <v>0</v>
      </c>
      <c r="E39" s="37">
        <v>500</v>
      </c>
      <c r="F39" s="37">
        <v>40</v>
      </c>
      <c r="G39" s="37" t="s">
        <v>61</v>
      </c>
      <c r="H39" s="37">
        <v>3</v>
      </c>
      <c r="I39" s="37">
        <v>2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37">
        <v>0</v>
      </c>
      <c r="Q39" s="37">
        <v>0</v>
      </c>
      <c r="R39" s="37"/>
      <c r="S39" s="36" t="str">
        <f t="shared" si="2"/>
        <v>{"SIDE ST BIG FACT  ",0,500,40,"MM",3,2,0,0,0,0,0,0,0,0},</v>
      </c>
    </row>
    <row r="40" spans="1:26" x14ac:dyDescent="0.2">
      <c r="A40" s="37">
        <v>15</v>
      </c>
      <c r="B40" s="36">
        <v>10116</v>
      </c>
      <c r="C40" s="37" t="s">
        <v>264</v>
      </c>
      <c r="D40" s="37">
        <v>0</v>
      </c>
      <c r="E40" s="37">
        <v>0</v>
      </c>
      <c r="F40" s="37">
        <v>1838</v>
      </c>
      <c r="G40" s="37" t="s">
        <v>61</v>
      </c>
      <c r="H40" s="37">
        <v>4</v>
      </c>
      <c r="I40" s="37">
        <v>3</v>
      </c>
      <c r="J40" s="37">
        <v>0</v>
      </c>
      <c r="K40" s="37">
        <v>1</v>
      </c>
      <c r="L40" s="37">
        <v>2</v>
      </c>
      <c r="M40" s="37">
        <v>1756</v>
      </c>
      <c r="N40" s="37">
        <v>1838</v>
      </c>
      <c r="O40" s="37">
        <v>0</v>
      </c>
      <c r="P40" s="37">
        <v>0</v>
      </c>
      <c r="Q40" s="37">
        <v>0</v>
      </c>
      <c r="R40" s="37"/>
      <c r="S40" s="36" t="str">
        <f t="shared" si="2"/>
        <v>{"SIDE ST RATIO     ",0,0,1838,"MM",4,3,0,1,2,1756,1838,0,0,0},</v>
      </c>
    </row>
    <row r="41" spans="1:26" x14ac:dyDescent="0.2">
      <c r="A41" s="37">
        <v>16</v>
      </c>
      <c r="B41" s="36">
        <v>10117</v>
      </c>
      <c r="C41" s="37" t="s">
        <v>298</v>
      </c>
      <c r="D41" s="37">
        <v>1</v>
      </c>
      <c r="E41" s="37">
        <v>0</v>
      </c>
      <c r="F41" s="37">
        <v>15000</v>
      </c>
      <c r="G41" s="37" t="s">
        <v>63</v>
      </c>
      <c r="H41" s="37">
        <v>3</v>
      </c>
      <c r="I41" s="37">
        <v>0</v>
      </c>
      <c r="J41" s="37">
        <v>0</v>
      </c>
      <c r="K41" s="37">
        <v>1</v>
      </c>
      <c r="L41" s="37">
        <v>2</v>
      </c>
      <c r="M41" s="37">
        <v>3000</v>
      </c>
      <c r="N41" s="37">
        <v>15000</v>
      </c>
      <c r="O41" s="37">
        <v>0</v>
      </c>
      <c r="P41" s="37">
        <v>0</v>
      </c>
      <c r="Q41" s="37">
        <v>0</v>
      </c>
      <c r="R41" s="37"/>
      <c r="S41" s="36" t="str">
        <f t="shared" si="2"/>
        <v>{"SIDE ST REDUCTION",1,0,15000,"-",3,0,0,1,2,3000,15000,0,0,0},</v>
      </c>
    </row>
    <row r="42" spans="1:26" x14ac:dyDescent="0.2">
      <c r="A42" s="37">
        <v>17</v>
      </c>
      <c r="B42" s="36">
        <v>10118</v>
      </c>
      <c r="C42" s="37" t="s">
        <v>305</v>
      </c>
      <c r="D42" s="37">
        <v>0</v>
      </c>
      <c r="E42" s="37">
        <v>0</v>
      </c>
      <c r="F42" s="37">
        <v>5000</v>
      </c>
      <c r="G42" s="37" t="s">
        <v>63</v>
      </c>
      <c r="H42" s="37">
        <v>2</v>
      </c>
      <c r="I42" s="37">
        <v>0</v>
      </c>
      <c r="J42" s="37">
        <v>0</v>
      </c>
      <c r="K42" s="37">
        <v>1</v>
      </c>
      <c r="L42" s="37">
        <v>2</v>
      </c>
      <c r="M42" s="37">
        <v>3000</v>
      </c>
      <c r="N42" s="37">
        <v>5000</v>
      </c>
      <c r="O42" s="37">
        <v>0</v>
      </c>
      <c r="P42" s="37">
        <v>0</v>
      </c>
      <c r="Q42" s="37">
        <v>0</v>
      </c>
      <c r="R42" s="37"/>
      <c r="S42" s="36" t="str">
        <f t="shared" si="2"/>
        <v>{"STROKE REDUCTION ",0,0,5000,"-",2,0,0,1,2,3000,5000,0,0,0},</v>
      </c>
    </row>
    <row r="43" spans="1:26" x14ac:dyDescent="0.2">
      <c r="A43" s="38"/>
      <c r="B43" s="33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3"/>
    </row>
    <row r="44" spans="1:26" x14ac:dyDescent="0.2">
      <c r="A44" s="38"/>
      <c r="B44" s="33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3"/>
    </row>
    <row r="45" spans="1:26" x14ac:dyDescent="0.2">
      <c r="B45" s="42" t="s">
        <v>54</v>
      </c>
      <c r="C45" s="38"/>
      <c r="D45" s="38"/>
      <c r="E45" s="45">
        <v>11</v>
      </c>
      <c r="F45" s="45" t="s">
        <v>118</v>
      </c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3"/>
      <c r="T45" s="31"/>
      <c r="U45" s="31"/>
      <c r="V45" s="31"/>
    </row>
    <row r="46" spans="1:26" x14ac:dyDescent="0.2">
      <c r="B46" t="s">
        <v>54</v>
      </c>
      <c r="C46" s="42"/>
      <c r="D46" s="42"/>
      <c r="E46" s="42"/>
      <c r="F46" s="42"/>
      <c r="G46" s="42"/>
      <c r="H46" s="31"/>
      <c r="I46" s="32"/>
      <c r="J46" s="31"/>
      <c r="K46" s="35"/>
      <c r="L46" s="110"/>
      <c r="M46" s="110"/>
      <c r="N46" s="110"/>
      <c r="O46" s="110"/>
      <c r="P46" s="110"/>
      <c r="Q46" s="110"/>
      <c r="R46" s="43"/>
      <c r="S46" s="31"/>
    </row>
    <row r="47" spans="1:26" x14ac:dyDescent="0.2">
      <c r="B47" t="s">
        <v>93</v>
      </c>
      <c r="C47" t="s">
        <v>47</v>
      </c>
      <c r="D47" t="s">
        <v>64</v>
      </c>
      <c r="E47" s="43" t="s">
        <v>92</v>
      </c>
      <c r="F47" s="43" t="s">
        <v>87</v>
      </c>
      <c r="G47" s="43" t="s">
        <v>88</v>
      </c>
      <c r="H47" s="43" t="s">
        <v>89</v>
      </c>
      <c r="I47" s="43" t="s">
        <v>90</v>
      </c>
      <c r="J47" s="43" t="s">
        <v>91</v>
      </c>
      <c r="K47" s="43" t="s">
        <v>7</v>
      </c>
      <c r="L47" s="110" t="s">
        <v>7</v>
      </c>
      <c r="M47" s="110" t="s">
        <v>7</v>
      </c>
      <c r="N47" s="110" t="s">
        <v>7</v>
      </c>
      <c r="O47" s="110" t="s">
        <v>7</v>
      </c>
      <c r="P47" s="110" t="s">
        <v>7</v>
      </c>
      <c r="Q47" s="110" t="s">
        <v>7</v>
      </c>
      <c r="R47" s="43"/>
    </row>
    <row r="48" spans="1:26" x14ac:dyDescent="0.2">
      <c r="E48" s="43">
        <v>0</v>
      </c>
      <c r="F48" s="43">
        <v>1</v>
      </c>
      <c r="G48" s="43">
        <v>2</v>
      </c>
      <c r="H48" s="43">
        <v>3</v>
      </c>
      <c r="I48" s="43">
        <v>4</v>
      </c>
      <c r="J48" s="43">
        <v>5</v>
      </c>
      <c r="Z48">
        <v>4250</v>
      </c>
    </row>
    <row r="49" spans="2:31" x14ac:dyDescent="0.2">
      <c r="B49">
        <v>1020101</v>
      </c>
      <c r="C49" t="s">
        <v>86</v>
      </c>
      <c r="D49">
        <v>1</v>
      </c>
      <c r="E49" s="47">
        <f>(B49-1020000) * 10</f>
        <v>1010</v>
      </c>
      <c r="F49" s="43">
        <f>E49+1</f>
        <v>1011</v>
      </c>
      <c r="G49" s="43">
        <f t="shared" ref="G49:J49" si="3">F49+1</f>
        <v>1012</v>
      </c>
      <c r="H49" s="43">
        <f t="shared" si="3"/>
        <v>1013</v>
      </c>
      <c r="I49" s="43">
        <f t="shared" si="3"/>
        <v>1014</v>
      </c>
      <c r="J49" s="43">
        <f t="shared" si="3"/>
        <v>1015</v>
      </c>
      <c r="K49" t="s">
        <v>95</v>
      </c>
      <c r="L49" t="s">
        <v>95</v>
      </c>
      <c r="M49" t="s">
        <v>95</v>
      </c>
      <c r="N49" t="s">
        <v>95</v>
      </c>
      <c r="O49" t="s">
        <v>95</v>
      </c>
      <c r="P49" t="s">
        <v>95</v>
      </c>
      <c r="Q49" t="s">
        <v>95</v>
      </c>
      <c r="S49" s="36" t="str">
        <f>CONCATENATE("{",C49,",",D49,"},")</f>
        <v>{"RESET TO FACTORY  ",1},</v>
      </c>
      <c r="Z49">
        <v>4.04</v>
      </c>
      <c r="AB49">
        <f>Z52/(Z51+Z52)*Z49</f>
        <v>3.1617391304347828</v>
      </c>
      <c r="AD49">
        <f>AB49/3.3*4095</f>
        <v>3923.4308300395264</v>
      </c>
      <c r="AE49">
        <f>AD49/4095*Z48</f>
        <v>4071.936758893281</v>
      </c>
    </row>
    <row r="50" spans="2:31" x14ac:dyDescent="0.2">
      <c r="B50">
        <v>1020201</v>
      </c>
      <c r="C50" t="s">
        <v>169</v>
      </c>
      <c r="D50">
        <v>1</v>
      </c>
      <c r="E50" s="47">
        <f t="shared" ref="E50:E52" si="4">(B50-1020000) * 10</f>
        <v>2010</v>
      </c>
      <c r="F50" s="43">
        <f t="shared" ref="F50:J50" si="5">E50+1</f>
        <v>2011</v>
      </c>
      <c r="G50" s="43">
        <f t="shared" si="5"/>
        <v>2012</v>
      </c>
      <c r="H50" s="43">
        <f t="shared" si="5"/>
        <v>2013</v>
      </c>
      <c r="I50" s="43">
        <f t="shared" si="5"/>
        <v>2014</v>
      </c>
      <c r="J50" s="43">
        <f t="shared" si="5"/>
        <v>2015</v>
      </c>
      <c r="K50" t="s">
        <v>171</v>
      </c>
      <c r="L50" t="s">
        <v>171</v>
      </c>
      <c r="M50" t="s">
        <v>171</v>
      </c>
      <c r="N50" t="s">
        <v>171</v>
      </c>
      <c r="O50" t="s">
        <v>171</v>
      </c>
      <c r="P50" t="s">
        <v>171</v>
      </c>
      <c r="Q50" t="s">
        <v>171</v>
      </c>
      <c r="S50" s="36" t="str">
        <f t="shared" ref="S50:S63" si="6">CONCATENATE("{",C50,",",D50,"},")</f>
        <v>{"SET STROKE LENGTH 1",1},</v>
      </c>
      <c r="Z50">
        <v>10</v>
      </c>
      <c r="AB50">
        <v>3.1339999999999999</v>
      </c>
      <c r="AD50">
        <f>AB50/3.3*4095</f>
        <v>3889.0090909090909</v>
      </c>
      <c r="AE50">
        <f>AD50/4095*Z47</f>
        <v>0</v>
      </c>
    </row>
    <row r="51" spans="2:31" x14ac:dyDescent="0.2">
      <c r="B51">
        <v>1020202</v>
      </c>
      <c r="C51" t="s">
        <v>170</v>
      </c>
      <c r="D51">
        <v>1</v>
      </c>
      <c r="E51" s="47">
        <f t="shared" si="4"/>
        <v>2020</v>
      </c>
      <c r="F51" s="43">
        <f t="shared" ref="F51:J51" si="7">E51+1</f>
        <v>2021</v>
      </c>
      <c r="G51" s="43">
        <f t="shared" si="7"/>
        <v>2022</v>
      </c>
      <c r="H51" s="43">
        <f t="shared" si="7"/>
        <v>2023</v>
      </c>
      <c r="I51" s="43">
        <f t="shared" si="7"/>
        <v>2024</v>
      </c>
      <c r="J51" s="43">
        <f t="shared" si="7"/>
        <v>2025</v>
      </c>
      <c r="K51" t="s">
        <v>172</v>
      </c>
      <c r="L51" t="s">
        <v>172</v>
      </c>
      <c r="M51" t="s">
        <v>172</v>
      </c>
      <c r="N51" t="s">
        <v>172</v>
      </c>
      <c r="O51" t="s">
        <v>172</v>
      </c>
      <c r="P51" t="s">
        <v>172</v>
      </c>
      <c r="Q51" t="s">
        <v>172</v>
      </c>
      <c r="S51" s="36" t="str">
        <f t="shared" si="6"/>
        <v>{"SET STROKE LENGTH 2",1},</v>
      </c>
      <c r="Z51">
        <v>10</v>
      </c>
      <c r="AB51">
        <v>3.1339999999999999</v>
      </c>
      <c r="AD51">
        <f>AB51/3.3*4095</f>
        <v>3889.0090909090909</v>
      </c>
      <c r="AE51">
        <f>AD51/4095*Z48</f>
        <v>4036.2121212121215</v>
      </c>
    </row>
    <row r="52" spans="2:31" x14ac:dyDescent="0.2">
      <c r="B52">
        <v>1020301</v>
      </c>
      <c r="C52" t="s">
        <v>98</v>
      </c>
      <c r="D52">
        <v>0</v>
      </c>
      <c r="E52" s="47">
        <f t="shared" si="4"/>
        <v>3010</v>
      </c>
      <c r="F52" s="43">
        <f t="shared" ref="F52:J52" si="8">E52+1</f>
        <v>3011</v>
      </c>
      <c r="G52" s="43">
        <f t="shared" si="8"/>
        <v>3012</v>
      </c>
      <c r="H52" s="43">
        <f t="shared" si="8"/>
        <v>3013</v>
      </c>
      <c r="I52" s="43">
        <f t="shared" si="8"/>
        <v>3014</v>
      </c>
      <c r="J52" s="43">
        <f t="shared" si="8"/>
        <v>3015</v>
      </c>
      <c r="K52" t="s">
        <v>173</v>
      </c>
      <c r="L52" t="s">
        <v>173</v>
      </c>
      <c r="M52" t="s">
        <v>173</v>
      </c>
      <c r="N52" t="s">
        <v>173</v>
      </c>
      <c r="O52" t="s">
        <v>173</v>
      </c>
      <c r="P52" t="s">
        <v>173</v>
      </c>
      <c r="Q52" t="s">
        <v>173</v>
      </c>
      <c r="S52" s="36" t="str">
        <f t="shared" si="6"/>
        <v>{"STROKE MOTOR      ",0},</v>
      </c>
      <c r="Z52">
        <v>36</v>
      </c>
    </row>
    <row r="53" spans="2:31" x14ac:dyDescent="0.2">
      <c r="B53">
        <v>1020401</v>
      </c>
      <c r="C53" t="s">
        <v>111</v>
      </c>
      <c r="D53">
        <v>0</v>
      </c>
      <c r="K53" t="s">
        <v>173</v>
      </c>
      <c r="L53" t="s">
        <v>173</v>
      </c>
      <c r="M53" t="s">
        <v>173</v>
      </c>
      <c r="N53" t="s">
        <v>173</v>
      </c>
      <c r="O53" t="s">
        <v>173</v>
      </c>
      <c r="P53" t="s">
        <v>173</v>
      </c>
      <c r="Q53" t="s">
        <v>173</v>
      </c>
      <c r="S53" s="36" t="str">
        <f t="shared" si="6"/>
        <v>{"INDEX MOTOR         ",0},</v>
      </c>
    </row>
    <row r="54" spans="2:31" x14ac:dyDescent="0.2">
      <c r="B54">
        <v>1020501</v>
      </c>
      <c r="S54" s="36" t="str">
        <f t="shared" si="6"/>
        <v>{,},</v>
      </c>
    </row>
    <row r="55" spans="2:31" x14ac:dyDescent="0.2">
      <c r="B55">
        <v>1020601</v>
      </c>
      <c r="S55" s="36" t="str">
        <f t="shared" si="6"/>
        <v>{,},</v>
      </c>
    </row>
    <row r="56" spans="2:31" x14ac:dyDescent="0.2">
      <c r="B56">
        <v>1020701</v>
      </c>
      <c r="S56" s="36" t="str">
        <f t="shared" si="6"/>
        <v>{,},</v>
      </c>
    </row>
    <row r="57" spans="2:31" x14ac:dyDescent="0.2">
      <c r="B57">
        <v>1020801</v>
      </c>
      <c r="S57" s="36" t="str">
        <f t="shared" si="6"/>
        <v>{,},</v>
      </c>
    </row>
    <row r="58" spans="2:31" x14ac:dyDescent="0.2">
      <c r="B58">
        <v>1020901</v>
      </c>
      <c r="S58" s="36" t="str">
        <f t="shared" si="6"/>
        <v>{,},</v>
      </c>
    </row>
    <row r="59" spans="2:31" x14ac:dyDescent="0.2">
      <c r="B59">
        <v>1021001</v>
      </c>
      <c r="S59" s="36" t="str">
        <f t="shared" si="6"/>
        <v>{,},</v>
      </c>
      <c r="Z59" t="s">
        <v>74</v>
      </c>
      <c r="AA59">
        <v>12</v>
      </c>
    </row>
    <row r="60" spans="2:31" x14ac:dyDescent="0.2">
      <c r="B60">
        <v>1021101</v>
      </c>
      <c r="S60" s="36" t="str">
        <f t="shared" si="6"/>
        <v>{,},</v>
      </c>
      <c r="Z60" t="s">
        <v>71</v>
      </c>
      <c r="AA60">
        <v>12</v>
      </c>
    </row>
    <row r="61" spans="2:31" x14ac:dyDescent="0.2">
      <c r="B61">
        <v>1021201</v>
      </c>
      <c r="S61" s="36" t="str">
        <f t="shared" si="6"/>
        <v>{,},</v>
      </c>
      <c r="Z61" t="s">
        <v>72</v>
      </c>
      <c r="AA61">
        <v>100</v>
      </c>
      <c r="AB61" t="s">
        <v>24</v>
      </c>
    </row>
    <row r="62" spans="2:31" x14ac:dyDescent="0.2">
      <c r="B62">
        <v>1021301</v>
      </c>
      <c r="S62" s="36" t="str">
        <f t="shared" si="6"/>
        <v>{,},</v>
      </c>
      <c r="Z62" t="s">
        <v>73</v>
      </c>
      <c r="AA62">
        <f>60000/AA61</f>
        <v>600</v>
      </c>
    </row>
    <row r="63" spans="2:31" x14ac:dyDescent="0.2">
      <c r="B63">
        <v>1021401</v>
      </c>
      <c r="S63" s="36" t="str">
        <f t="shared" si="6"/>
        <v>{,},</v>
      </c>
    </row>
    <row r="65" spans="2:28" x14ac:dyDescent="0.2">
      <c r="B65" t="s">
        <v>94</v>
      </c>
    </row>
    <row r="67" spans="2:28" x14ac:dyDescent="0.2">
      <c r="B67">
        <v>0</v>
      </c>
      <c r="C67" t="s">
        <v>96</v>
      </c>
    </row>
    <row r="68" spans="2:28" x14ac:dyDescent="0.2">
      <c r="B68">
        <v>1</v>
      </c>
      <c r="C68" t="s">
        <v>97</v>
      </c>
    </row>
    <row r="69" spans="2:28" x14ac:dyDescent="0.2">
      <c r="B69">
        <v>2</v>
      </c>
      <c r="C69" t="s">
        <v>95</v>
      </c>
    </row>
    <row r="70" spans="2:28" x14ac:dyDescent="0.2">
      <c r="B70">
        <v>3</v>
      </c>
      <c r="C70" t="s">
        <v>99</v>
      </c>
    </row>
    <row r="71" spans="2:28" x14ac:dyDescent="0.2">
      <c r="B71">
        <v>4</v>
      </c>
      <c r="C71" t="s">
        <v>100</v>
      </c>
    </row>
    <row r="72" spans="2:28" x14ac:dyDescent="0.2">
      <c r="B72">
        <v>5</v>
      </c>
      <c r="C72" t="s">
        <v>101</v>
      </c>
    </row>
    <row r="73" spans="2:28" x14ac:dyDescent="0.2">
      <c r="B73">
        <v>6</v>
      </c>
      <c r="C73" t="s">
        <v>102</v>
      </c>
    </row>
    <row r="77" spans="2:28" x14ac:dyDescent="0.2">
      <c r="T77" s="31"/>
      <c r="U77" s="31"/>
      <c r="V77" s="31"/>
      <c r="Z77" t="s">
        <v>75</v>
      </c>
      <c r="AA77">
        <f>AA59/AA60*AA62</f>
        <v>600</v>
      </c>
    </row>
    <row r="78" spans="2:28" x14ac:dyDescent="0.2">
      <c r="B78" s="42" t="s">
        <v>55</v>
      </c>
      <c r="C78" s="42"/>
      <c r="D78" s="42"/>
      <c r="E78" s="42"/>
      <c r="F78" s="42"/>
      <c r="G78" s="42"/>
      <c r="H78" s="31"/>
      <c r="I78" s="32"/>
      <c r="J78" s="31"/>
      <c r="K78" s="35"/>
      <c r="L78" s="110"/>
      <c r="M78" s="110"/>
      <c r="N78" s="110"/>
      <c r="O78" s="110"/>
      <c r="P78" s="110"/>
      <c r="Q78" s="110"/>
      <c r="R78" s="43"/>
      <c r="S78" s="31"/>
    </row>
    <row r="79" spans="2:28" x14ac:dyDescent="0.2">
      <c r="C79" t="s">
        <v>47</v>
      </c>
      <c r="D79" t="s">
        <v>48</v>
      </c>
      <c r="E79" t="s">
        <v>49</v>
      </c>
      <c r="F79" t="s">
        <v>50</v>
      </c>
      <c r="G79" t="s">
        <v>51</v>
      </c>
    </row>
    <row r="80" spans="2:28" x14ac:dyDescent="0.2">
      <c r="Z80">
        <f>100*12</f>
        <v>1200</v>
      </c>
      <c r="AB80">
        <f>1/Z80</f>
        <v>8.3333333333333339E-4</v>
      </c>
    </row>
    <row r="81" spans="2:27" x14ac:dyDescent="0.2">
      <c r="B81">
        <v>10301</v>
      </c>
      <c r="C81" t="s">
        <v>52</v>
      </c>
    </row>
    <row r="82" spans="2:27" x14ac:dyDescent="0.2">
      <c r="B82">
        <v>10302</v>
      </c>
      <c r="C82" t="s">
        <v>56</v>
      </c>
      <c r="Z82" t="s">
        <v>79</v>
      </c>
      <c r="AA82">
        <v>100</v>
      </c>
    </row>
    <row r="83" spans="2:27" x14ac:dyDescent="0.2">
      <c r="B83">
        <v>10303</v>
      </c>
      <c r="Z83" t="s">
        <v>76</v>
      </c>
      <c r="AA83">
        <f>60*1000000</f>
        <v>60000000</v>
      </c>
    </row>
    <row r="84" spans="2:27" x14ac:dyDescent="0.2">
      <c r="B84">
        <v>10304</v>
      </c>
      <c r="Z84" t="s">
        <v>77</v>
      </c>
      <c r="AA84">
        <f>1/12</f>
        <v>8.3333333333333329E-2</v>
      </c>
    </row>
    <row r="85" spans="2:27" x14ac:dyDescent="0.2">
      <c r="B85">
        <v>10305</v>
      </c>
      <c r="Z85" t="s">
        <v>78</v>
      </c>
      <c r="AA85">
        <f>AA82*12</f>
        <v>1200</v>
      </c>
    </row>
    <row r="86" spans="2:27" x14ac:dyDescent="0.2">
      <c r="B86">
        <v>10306</v>
      </c>
      <c r="Z86" t="s">
        <v>80</v>
      </c>
      <c r="AA86">
        <f>AA83/AA85</f>
        <v>50000</v>
      </c>
    </row>
    <row r="87" spans="2:27" x14ac:dyDescent="0.2">
      <c r="B87">
        <v>10307</v>
      </c>
    </row>
    <row r="88" spans="2:27" x14ac:dyDescent="0.2">
      <c r="B88">
        <v>10308</v>
      </c>
    </row>
    <row r="89" spans="2:27" x14ac:dyDescent="0.2">
      <c r="B89">
        <v>10309</v>
      </c>
    </row>
    <row r="90" spans="2:27" x14ac:dyDescent="0.2">
      <c r="B90">
        <v>10310</v>
      </c>
    </row>
    <row r="91" spans="2:27" x14ac:dyDescent="0.2">
      <c r="B91">
        <v>10311</v>
      </c>
    </row>
    <row r="92" spans="2:27" x14ac:dyDescent="0.2">
      <c r="B92">
        <v>10312</v>
      </c>
    </row>
    <row r="93" spans="2:27" x14ac:dyDescent="0.2">
      <c r="B93">
        <v>10313</v>
      </c>
    </row>
    <row r="94" spans="2:27" x14ac:dyDescent="0.2">
      <c r="B94">
        <v>10314</v>
      </c>
      <c r="Z94">
        <v>16.899999999999999</v>
      </c>
      <c r="AA94">
        <v>15.8</v>
      </c>
    </row>
    <row r="95" spans="2:27" x14ac:dyDescent="0.2">
      <c r="Z95">
        <v>2.2000000000000002</v>
      </c>
      <c r="AA95">
        <v>1.1000000000000001</v>
      </c>
    </row>
    <row r="96" spans="2:27" x14ac:dyDescent="0.2">
      <c r="Z96">
        <f>(Z94+Z95)/2</f>
        <v>9.5499999999999989</v>
      </c>
      <c r="AA96">
        <f>(AA94+AA95)/2</f>
        <v>8.4500000000000011</v>
      </c>
    </row>
    <row r="97" spans="26:27" x14ac:dyDescent="0.2">
      <c r="Z97">
        <f>Z94-Z95</f>
        <v>14.7</v>
      </c>
      <c r="AA97">
        <f>AA94-AA95</f>
        <v>14.700000000000001</v>
      </c>
    </row>
  </sheetData>
  <mergeCells count="1">
    <mergeCell ref="B2:G2"/>
  </mergeCells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14BA-BE31-4EAD-8A0A-5D4695C24DC5}">
  <sheetPr codeName="Sheet4"/>
  <dimension ref="A1:G12"/>
  <sheetViews>
    <sheetView workbookViewId="0">
      <selection activeCell="E19" sqref="E19"/>
    </sheetView>
  </sheetViews>
  <sheetFormatPr defaultRowHeight="12.75" x14ac:dyDescent="0.2"/>
  <sheetData>
    <row r="1" spans="1:7" x14ac:dyDescent="0.2">
      <c r="A1" t="s">
        <v>107</v>
      </c>
      <c r="B1" t="s">
        <v>104</v>
      </c>
      <c r="C1">
        <v>4000</v>
      </c>
    </row>
    <row r="2" spans="1:7" x14ac:dyDescent="0.2">
      <c r="B2" t="s">
        <v>105</v>
      </c>
      <c r="C2">
        <v>4000</v>
      </c>
    </row>
    <row r="3" spans="1:7" x14ac:dyDescent="0.2">
      <c r="B3" t="s">
        <v>106</v>
      </c>
      <c r="C3">
        <v>3500</v>
      </c>
    </row>
    <row r="4" spans="1:7" x14ac:dyDescent="0.2">
      <c r="C4">
        <f>(C1-C3)/(C2-C3)*100</f>
        <v>100</v>
      </c>
    </row>
    <row r="5" spans="1:7" x14ac:dyDescent="0.2">
      <c r="B5" t="s">
        <v>103</v>
      </c>
      <c r="D5">
        <f>IF(C1&lt;=C3,"0",IF(C1&gt;C2,"100",C4))</f>
        <v>100</v>
      </c>
    </row>
    <row r="8" spans="1:7" x14ac:dyDescent="0.2">
      <c r="D8">
        <v>4250</v>
      </c>
      <c r="E8" t="s">
        <v>109</v>
      </c>
      <c r="F8">
        <v>4095</v>
      </c>
      <c r="G8">
        <v>3300</v>
      </c>
    </row>
    <row r="9" spans="1:7" x14ac:dyDescent="0.2">
      <c r="A9" t="s">
        <v>108</v>
      </c>
      <c r="C9">
        <v>10000</v>
      </c>
    </row>
    <row r="10" spans="1:7" x14ac:dyDescent="0.2">
      <c r="D10">
        <f>C11/(C9+C11)*D8</f>
        <v>3305.5555555555557</v>
      </c>
      <c r="E10" t="s">
        <v>109</v>
      </c>
      <c r="F10">
        <f>D10/G8*F8</f>
        <v>4101.8939393939399</v>
      </c>
    </row>
    <row r="11" spans="1:7" x14ac:dyDescent="0.2">
      <c r="C11">
        <v>35000</v>
      </c>
    </row>
    <row r="12" spans="1:7" x14ac:dyDescent="0.2">
      <c r="D12">
        <v>0</v>
      </c>
      <c r="E12" t="s">
        <v>109</v>
      </c>
      <c r="F12">
        <v>0</v>
      </c>
      <c r="G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6D5C4-F202-4E48-906A-FFDABF0D81F9}">
  <sheetPr codeName="Sheet5"/>
  <dimension ref="A1:P57"/>
  <sheetViews>
    <sheetView workbookViewId="0">
      <pane ySplit="2" topLeftCell="A27" activePane="bottomLeft" state="frozen"/>
      <selection pane="bottomLeft" activeCell="D29" sqref="D29"/>
    </sheetView>
  </sheetViews>
  <sheetFormatPr defaultColWidth="9" defaultRowHeight="12.75" x14ac:dyDescent="0.2"/>
  <cols>
    <col min="1" max="3" width="4.375" style="48" customWidth="1"/>
    <col min="4" max="4" width="32.5" style="101" customWidth="1"/>
    <col min="5" max="9" width="6.25" style="67" customWidth="1"/>
    <col min="10" max="10" width="24.5" style="48" customWidth="1"/>
    <col min="11" max="15" width="6.25" style="48" customWidth="1"/>
    <col min="16" max="16" width="24.5" style="101" customWidth="1"/>
    <col min="17" max="16384" width="9" style="89"/>
  </cols>
  <sheetData>
    <row r="1" spans="1:16" ht="18" x14ac:dyDescent="0.2">
      <c r="A1" s="112" t="s">
        <v>120</v>
      </c>
      <c r="B1" s="112"/>
      <c r="C1" s="112"/>
      <c r="D1" s="88"/>
      <c r="E1" s="113" t="s">
        <v>135</v>
      </c>
      <c r="F1" s="114"/>
      <c r="G1" s="114"/>
      <c r="H1" s="114"/>
      <c r="I1" s="114"/>
      <c r="J1" s="115"/>
      <c r="K1" s="113" t="s">
        <v>136</v>
      </c>
      <c r="L1" s="114"/>
      <c r="M1" s="114"/>
      <c r="N1" s="114"/>
      <c r="O1" s="114"/>
      <c r="P1" s="115"/>
    </row>
    <row r="2" spans="1:16" ht="18" x14ac:dyDescent="0.2">
      <c r="A2" s="71" t="s">
        <v>174</v>
      </c>
      <c r="B2" s="71" t="s">
        <v>175</v>
      </c>
      <c r="C2" s="71" t="s">
        <v>195</v>
      </c>
      <c r="D2" s="88"/>
      <c r="E2" s="59" t="s">
        <v>121</v>
      </c>
      <c r="F2" s="60" t="s">
        <v>122</v>
      </c>
      <c r="G2" s="61" t="s">
        <v>122</v>
      </c>
      <c r="H2" s="59" t="s">
        <v>122</v>
      </c>
      <c r="I2" s="62" t="s">
        <v>124</v>
      </c>
      <c r="J2" s="90" t="s">
        <v>123</v>
      </c>
      <c r="K2" s="55" t="s">
        <v>121</v>
      </c>
      <c r="L2" s="56" t="s">
        <v>122</v>
      </c>
      <c r="M2" s="57" t="s">
        <v>122</v>
      </c>
      <c r="N2" s="55" t="s">
        <v>122</v>
      </c>
      <c r="O2" s="58" t="s">
        <v>124</v>
      </c>
      <c r="P2" s="90" t="s">
        <v>123</v>
      </c>
    </row>
    <row r="3" spans="1:16" ht="18" x14ac:dyDescent="0.2">
      <c r="A3" s="74" t="s">
        <v>198</v>
      </c>
      <c r="B3" s="91"/>
      <c r="C3" s="91"/>
      <c r="D3" s="92"/>
      <c r="E3" s="93"/>
      <c r="F3" s="93"/>
      <c r="G3" s="93"/>
      <c r="H3" s="93"/>
      <c r="I3" s="93"/>
      <c r="J3" s="94"/>
      <c r="K3" s="91"/>
      <c r="L3" s="91"/>
      <c r="M3" s="91"/>
      <c r="N3" s="91"/>
      <c r="O3" s="91"/>
      <c r="P3" s="95"/>
    </row>
    <row r="4" spans="1:16" ht="12.75" customHeight="1" x14ac:dyDescent="0.2">
      <c r="A4" s="51">
        <v>1</v>
      </c>
      <c r="B4" s="51"/>
      <c r="C4" s="51"/>
      <c r="D4" s="96" t="s">
        <v>155</v>
      </c>
      <c r="E4" s="63" t="s">
        <v>125</v>
      </c>
      <c r="F4" s="63" t="s">
        <v>125</v>
      </c>
      <c r="G4" s="63" t="s">
        <v>125</v>
      </c>
      <c r="H4" s="63" t="s">
        <v>125</v>
      </c>
      <c r="I4" s="63" t="s">
        <v>125</v>
      </c>
      <c r="J4" s="97" t="s">
        <v>125</v>
      </c>
      <c r="K4" s="51" t="s">
        <v>125</v>
      </c>
      <c r="L4" s="51" t="s">
        <v>125</v>
      </c>
      <c r="M4" s="51" t="s">
        <v>125</v>
      </c>
      <c r="N4" s="51" t="s">
        <v>125</v>
      </c>
      <c r="O4" s="51" t="s">
        <v>125</v>
      </c>
      <c r="P4" s="97" t="s">
        <v>125</v>
      </c>
    </row>
    <row r="5" spans="1:16" s="99" customFormat="1" ht="24.75" customHeight="1" x14ac:dyDescent="0.2">
      <c r="A5" s="72">
        <v>2</v>
      </c>
      <c r="B5" s="72"/>
      <c r="C5" s="72"/>
      <c r="D5" s="98" t="s">
        <v>156</v>
      </c>
      <c r="E5" s="70" t="s">
        <v>206</v>
      </c>
      <c r="F5" s="70" t="s">
        <v>207</v>
      </c>
      <c r="G5" s="70" t="s">
        <v>208</v>
      </c>
      <c r="H5" s="70" t="s">
        <v>209</v>
      </c>
      <c r="I5" s="70" t="s">
        <v>157</v>
      </c>
      <c r="J5" s="98" t="s">
        <v>158</v>
      </c>
      <c r="K5" s="70" t="s">
        <v>206</v>
      </c>
      <c r="L5" s="70" t="s">
        <v>207</v>
      </c>
      <c r="M5" s="70" t="s">
        <v>208</v>
      </c>
      <c r="N5" s="70" t="s">
        <v>209</v>
      </c>
      <c r="O5" s="70" t="s">
        <v>157</v>
      </c>
      <c r="P5" s="98" t="s">
        <v>158</v>
      </c>
    </row>
    <row r="6" spans="1:16" s="99" customFormat="1" ht="24.75" customHeight="1" x14ac:dyDescent="0.2">
      <c r="A6" s="72">
        <v>3</v>
      </c>
      <c r="B6" s="72"/>
      <c r="C6" s="72"/>
      <c r="D6" s="98" t="s">
        <v>228</v>
      </c>
      <c r="E6" s="70" t="s">
        <v>125</v>
      </c>
      <c r="F6" s="70" t="s">
        <v>125</v>
      </c>
      <c r="G6" s="70" t="s">
        <v>125</v>
      </c>
      <c r="H6" s="70" t="s">
        <v>125</v>
      </c>
      <c r="I6" s="70" t="s">
        <v>125</v>
      </c>
      <c r="J6" s="98" t="s">
        <v>229</v>
      </c>
      <c r="K6" s="70" t="s">
        <v>206</v>
      </c>
      <c r="L6" s="70" t="s">
        <v>207</v>
      </c>
      <c r="M6" s="70" t="s">
        <v>208</v>
      </c>
      <c r="N6" s="70" t="s">
        <v>209</v>
      </c>
      <c r="O6" s="70" t="s">
        <v>157</v>
      </c>
      <c r="P6" s="98" t="s">
        <v>158</v>
      </c>
    </row>
    <row r="7" spans="1:16" ht="12.75" customHeight="1" x14ac:dyDescent="0.2">
      <c r="A7" s="50"/>
      <c r="B7" s="50"/>
      <c r="C7" s="50"/>
      <c r="D7" s="100"/>
      <c r="E7" s="64"/>
      <c r="F7" s="64"/>
      <c r="G7" s="64"/>
      <c r="H7" s="64"/>
      <c r="I7" s="64"/>
      <c r="J7" s="100"/>
      <c r="K7" s="49"/>
      <c r="L7" s="49"/>
      <c r="M7" s="49"/>
      <c r="N7" s="49"/>
      <c r="O7" s="49"/>
      <c r="P7" s="100"/>
    </row>
    <row r="8" spans="1:16" ht="18" x14ac:dyDescent="0.2">
      <c r="A8" s="73" t="s">
        <v>197</v>
      </c>
      <c r="B8" s="91"/>
      <c r="C8" s="91"/>
      <c r="D8" s="92"/>
      <c r="E8" s="93"/>
      <c r="F8" s="93"/>
      <c r="G8" s="93"/>
      <c r="H8" s="93"/>
      <c r="I8" s="93"/>
      <c r="J8" s="92"/>
      <c r="K8" s="91"/>
      <c r="L8" s="91"/>
      <c r="M8" s="91"/>
      <c r="N8" s="91"/>
      <c r="O8" s="91"/>
      <c r="P8" s="95"/>
    </row>
    <row r="9" spans="1:16" x14ac:dyDescent="0.2">
      <c r="A9" s="52">
        <v>10</v>
      </c>
      <c r="B9" s="52"/>
      <c r="C9" s="52"/>
      <c r="D9" s="97" t="s">
        <v>119</v>
      </c>
      <c r="E9" s="65" t="s">
        <v>201</v>
      </c>
      <c r="F9" s="66" t="s">
        <v>125</v>
      </c>
      <c r="G9" s="65" t="s">
        <v>125</v>
      </c>
      <c r="H9" s="65">
        <v>20</v>
      </c>
      <c r="I9" s="65">
        <v>101</v>
      </c>
      <c r="J9" s="97" t="s">
        <v>126</v>
      </c>
      <c r="K9" s="52">
        <v>30</v>
      </c>
      <c r="L9" s="53" t="s">
        <v>125</v>
      </c>
      <c r="M9" s="52" t="s">
        <v>125</v>
      </c>
      <c r="N9" s="52">
        <v>20</v>
      </c>
      <c r="O9" s="52">
        <v>101</v>
      </c>
      <c r="P9" s="97" t="s">
        <v>126</v>
      </c>
    </row>
    <row r="10" spans="1:16" x14ac:dyDescent="0.2">
      <c r="A10" s="48">
        <v>20</v>
      </c>
      <c r="D10" s="101" t="s">
        <v>128</v>
      </c>
      <c r="E10" s="67" t="s">
        <v>185</v>
      </c>
      <c r="F10" s="67" t="s">
        <v>125</v>
      </c>
      <c r="G10" s="67" t="s">
        <v>125</v>
      </c>
      <c r="H10" s="67">
        <v>30</v>
      </c>
      <c r="I10" s="67">
        <v>101</v>
      </c>
      <c r="J10" s="101" t="s">
        <v>127</v>
      </c>
      <c r="K10" s="48">
        <v>10</v>
      </c>
      <c r="L10" s="48" t="s">
        <v>125</v>
      </c>
      <c r="M10" s="48" t="s">
        <v>125</v>
      </c>
      <c r="N10" s="48">
        <v>30</v>
      </c>
      <c r="O10" s="48">
        <v>101</v>
      </c>
      <c r="P10" s="101" t="s">
        <v>127</v>
      </c>
    </row>
    <row r="11" spans="1:16" x14ac:dyDescent="0.2">
      <c r="A11" s="48">
        <v>30</v>
      </c>
      <c r="D11" s="101" t="s">
        <v>129</v>
      </c>
      <c r="E11" s="67" t="s">
        <v>202</v>
      </c>
      <c r="F11" s="67" t="s">
        <v>203</v>
      </c>
      <c r="G11" s="67" t="s">
        <v>204</v>
      </c>
      <c r="H11" s="67">
        <v>10</v>
      </c>
      <c r="I11" s="67">
        <v>101</v>
      </c>
      <c r="J11" s="101" t="s">
        <v>130</v>
      </c>
      <c r="K11" s="48">
        <v>20</v>
      </c>
      <c r="L11" s="48">
        <v>33</v>
      </c>
      <c r="M11" s="48">
        <v>31</v>
      </c>
      <c r="N11" s="48">
        <v>10</v>
      </c>
      <c r="O11" s="48">
        <v>101</v>
      </c>
      <c r="P11" s="101" t="s">
        <v>130</v>
      </c>
    </row>
    <row r="12" spans="1:16" x14ac:dyDescent="0.2">
      <c r="A12" s="48">
        <v>31</v>
      </c>
      <c r="D12" s="101" t="s">
        <v>133</v>
      </c>
      <c r="E12" s="102" t="s">
        <v>202</v>
      </c>
      <c r="F12" s="67" t="s">
        <v>201</v>
      </c>
      <c r="G12" s="67" t="s">
        <v>205</v>
      </c>
      <c r="H12" s="67">
        <v>10</v>
      </c>
      <c r="I12" s="67">
        <v>101</v>
      </c>
      <c r="J12" s="101" t="s">
        <v>131</v>
      </c>
      <c r="K12" s="48">
        <v>20</v>
      </c>
      <c r="L12" s="48">
        <v>30</v>
      </c>
      <c r="M12" s="48">
        <v>32</v>
      </c>
      <c r="N12" s="48">
        <v>10</v>
      </c>
      <c r="O12" s="48">
        <v>101</v>
      </c>
      <c r="P12" s="101" t="s">
        <v>131</v>
      </c>
    </row>
    <row r="13" spans="1:16" x14ac:dyDescent="0.2">
      <c r="A13" s="50">
        <v>32</v>
      </c>
      <c r="B13" s="50"/>
      <c r="C13" s="50"/>
      <c r="D13" s="100" t="s">
        <v>132</v>
      </c>
      <c r="E13" s="68" t="s">
        <v>202</v>
      </c>
      <c r="F13" s="68" t="s">
        <v>204</v>
      </c>
      <c r="G13" s="68" t="s">
        <v>203</v>
      </c>
      <c r="H13" s="68">
        <v>10</v>
      </c>
      <c r="I13" s="68">
        <v>101</v>
      </c>
      <c r="J13" s="100" t="s">
        <v>134</v>
      </c>
      <c r="K13" s="50">
        <v>20</v>
      </c>
      <c r="L13" s="50">
        <v>31</v>
      </c>
      <c r="M13" s="50">
        <v>33</v>
      </c>
      <c r="N13" s="50">
        <v>10</v>
      </c>
      <c r="O13" s="50">
        <v>101</v>
      </c>
      <c r="P13" s="100" t="s">
        <v>134</v>
      </c>
    </row>
    <row r="14" spans="1:16" x14ac:dyDescent="0.2">
      <c r="A14" s="50"/>
      <c r="B14" s="50"/>
      <c r="C14" s="50"/>
      <c r="D14" s="100"/>
      <c r="E14" s="68"/>
      <c r="F14" s="68"/>
      <c r="G14" s="68"/>
      <c r="H14" s="68"/>
      <c r="I14" s="68"/>
      <c r="J14" s="100"/>
      <c r="K14" s="50"/>
      <c r="L14" s="50"/>
      <c r="M14" s="50"/>
      <c r="N14" s="50"/>
      <c r="O14" s="50"/>
      <c r="P14" s="100"/>
    </row>
    <row r="15" spans="1:16" ht="18" x14ac:dyDescent="0.2">
      <c r="A15" s="73" t="s">
        <v>199</v>
      </c>
      <c r="B15" s="91"/>
      <c r="C15" s="91"/>
      <c r="D15" s="92"/>
      <c r="E15" s="93"/>
      <c r="F15" s="93"/>
      <c r="G15" s="93"/>
      <c r="H15" s="93"/>
      <c r="I15" s="93"/>
      <c r="J15" s="92"/>
      <c r="K15" s="91"/>
      <c r="L15" s="91"/>
      <c r="M15" s="91"/>
      <c r="N15" s="91"/>
      <c r="O15" s="91"/>
      <c r="P15" s="95"/>
    </row>
    <row r="16" spans="1:16" x14ac:dyDescent="0.2">
      <c r="A16" s="52">
        <v>101</v>
      </c>
      <c r="B16" s="52"/>
      <c r="C16" s="52"/>
      <c r="D16" s="97" t="s">
        <v>137</v>
      </c>
      <c r="E16" s="65" t="s">
        <v>125</v>
      </c>
      <c r="F16" s="65">
        <v>102</v>
      </c>
      <c r="G16" s="65">
        <v>102</v>
      </c>
      <c r="H16" s="65">
        <v>10101</v>
      </c>
      <c r="I16" s="66" t="s">
        <v>139</v>
      </c>
      <c r="J16" s="97" t="s">
        <v>125</v>
      </c>
      <c r="K16" s="52" t="s">
        <v>125</v>
      </c>
      <c r="L16" s="52">
        <v>103</v>
      </c>
      <c r="M16" s="52">
        <v>102</v>
      </c>
      <c r="N16" s="52">
        <v>10101</v>
      </c>
      <c r="O16" s="54" t="s">
        <v>139</v>
      </c>
      <c r="P16" s="97" t="s">
        <v>125</v>
      </c>
    </row>
    <row r="17" spans="1:16" x14ac:dyDescent="0.2">
      <c r="A17" s="48">
        <v>101</v>
      </c>
      <c r="B17" s="69" t="s">
        <v>176</v>
      </c>
      <c r="D17" s="101" t="s">
        <v>140</v>
      </c>
      <c r="E17" s="67" t="s">
        <v>125</v>
      </c>
      <c r="F17" s="67">
        <v>10105</v>
      </c>
      <c r="G17" s="67">
        <v>10102</v>
      </c>
      <c r="H17" s="67">
        <v>2</v>
      </c>
      <c r="I17" s="67">
        <v>101</v>
      </c>
      <c r="J17" s="101" t="s">
        <v>125</v>
      </c>
      <c r="K17" s="48" t="s">
        <v>125</v>
      </c>
      <c r="L17" s="48">
        <v>10115</v>
      </c>
      <c r="M17" s="48">
        <v>10102</v>
      </c>
      <c r="N17" s="48">
        <v>2</v>
      </c>
      <c r="O17" s="48">
        <v>101</v>
      </c>
      <c r="P17" s="101" t="s">
        <v>125</v>
      </c>
    </row>
    <row r="18" spans="1:16" x14ac:dyDescent="0.2">
      <c r="A18" s="48">
        <v>101</v>
      </c>
      <c r="B18" s="69" t="s">
        <v>177</v>
      </c>
      <c r="D18" s="101" t="s">
        <v>141</v>
      </c>
      <c r="E18" s="67" t="s">
        <v>125</v>
      </c>
      <c r="F18" s="67">
        <v>10101</v>
      </c>
      <c r="G18" s="67">
        <v>10103</v>
      </c>
      <c r="H18" s="67">
        <v>2</v>
      </c>
      <c r="I18" s="67">
        <v>101</v>
      </c>
      <c r="J18" s="101" t="s">
        <v>125</v>
      </c>
      <c r="K18" s="48" t="s">
        <v>125</v>
      </c>
      <c r="L18" s="48">
        <v>10101</v>
      </c>
      <c r="M18" s="48">
        <v>10103</v>
      </c>
      <c r="N18" s="48">
        <v>2</v>
      </c>
      <c r="O18" s="48">
        <v>101</v>
      </c>
      <c r="P18" s="101" t="s">
        <v>125</v>
      </c>
    </row>
    <row r="19" spans="1:16" x14ac:dyDescent="0.2">
      <c r="A19" s="48">
        <v>101</v>
      </c>
      <c r="B19" s="69" t="s">
        <v>178</v>
      </c>
      <c r="D19" s="101" t="s">
        <v>142</v>
      </c>
      <c r="E19" s="67" t="s">
        <v>125</v>
      </c>
      <c r="F19" s="67">
        <v>10102</v>
      </c>
      <c r="G19" s="67">
        <v>10104</v>
      </c>
      <c r="H19" s="67">
        <v>2</v>
      </c>
      <c r="I19" s="67">
        <v>101</v>
      </c>
      <c r="J19" s="101" t="s">
        <v>125</v>
      </c>
      <c r="K19" s="48" t="s">
        <v>125</v>
      </c>
      <c r="L19" s="48">
        <v>10102</v>
      </c>
      <c r="M19" s="48">
        <v>10104</v>
      </c>
      <c r="N19" s="48">
        <v>2</v>
      </c>
      <c r="O19" s="48">
        <v>101</v>
      </c>
      <c r="P19" s="101" t="s">
        <v>125</v>
      </c>
    </row>
    <row r="20" spans="1:16" x14ac:dyDescent="0.2">
      <c r="A20" s="48">
        <v>101</v>
      </c>
      <c r="B20" s="69" t="s">
        <v>179</v>
      </c>
      <c r="D20" s="101" t="s">
        <v>143</v>
      </c>
      <c r="E20" s="67" t="s">
        <v>125</v>
      </c>
      <c r="F20" s="67">
        <v>10103</v>
      </c>
      <c r="G20" s="67">
        <v>10105</v>
      </c>
      <c r="H20" s="67">
        <v>2</v>
      </c>
      <c r="I20" s="67">
        <v>101</v>
      </c>
      <c r="J20" s="101" t="s">
        <v>125</v>
      </c>
      <c r="K20" s="48" t="s">
        <v>125</v>
      </c>
      <c r="L20" s="48">
        <v>10103</v>
      </c>
      <c r="M20" s="48">
        <v>10105</v>
      </c>
      <c r="N20" s="48">
        <v>2</v>
      </c>
      <c r="O20" s="48">
        <v>101</v>
      </c>
      <c r="P20" s="101" t="s">
        <v>125</v>
      </c>
    </row>
    <row r="21" spans="1:16" x14ac:dyDescent="0.2">
      <c r="A21" s="48">
        <v>101</v>
      </c>
      <c r="B21" s="69" t="s">
        <v>180</v>
      </c>
      <c r="D21" s="101" t="s">
        <v>144</v>
      </c>
      <c r="E21" s="67" t="s">
        <v>125</v>
      </c>
      <c r="F21" s="67">
        <v>10104</v>
      </c>
      <c r="G21" s="67">
        <v>10101</v>
      </c>
      <c r="H21" s="67">
        <v>2</v>
      </c>
      <c r="I21" s="67">
        <v>101</v>
      </c>
      <c r="J21" s="101" t="s">
        <v>125</v>
      </c>
      <c r="K21" s="48" t="s">
        <v>125</v>
      </c>
      <c r="L21" s="48">
        <v>10104</v>
      </c>
      <c r="M21" s="48">
        <v>10106</v>
      </c>
      <c r="N21" s="48">
        <v>2</v>
      </c>
      <c r="O21" s="48">
        <v>101</v>
      </c>
      <c r="P21" s="101" t="s">
        <v>125</v>
      </c>
    </row>
    <row r="22" spans="1:16" x14ac:dyDescent="0.2">
      <c r="A22" s="48">
        <v>101</v>
      </c>
      <c r="B22" s="69" t="s">
        <v>181</v>
      </c>
      <c r="D22" s="101" t="s">
        <v>145</v>
      </c>
      <c r="J22" s="101"/>
      <c r="K22" s="48" t="s">
        <v>125</v>
      </c>
      <c r="L22" s="48">
        <v>10105</v>
      </c>
      <c r="M22" s="48">
        <v>10107</v>
      </c>
      <c r="N22" s="48">
        <v>2</v>
      </c>
      <c r="O22" s="48">
        <v>101</v>
      </c>
      <c r="P22" s="101" t="s">
        <v>125</v>
      </c>
    </row>
    <row r="23" spans="1:16" x14ac:dyDescent="0.2">
      <c r="A23" s="48">
        <v>101</v>
      </c>
      <c r="B23" s="69" t="s">
        <v>182</v>
      </c>
      <c r="D23" s="101" t="s">
        <v>146</v>
      </c>
      <c r="J23" s="101"/>
      <c r="K23" s="48" t="s">
        <v>125</v>
      </c>
      <c r="L23" s="48">
        <v>10106</v>
      </c>
      <c r="M23" s="48">
        <v>10108</v>
      </c>
      <c r="N23" s="48">
        <v>2</v>
      </c>
      <c r="O23" s="48">
        <v>101</v>
      </c>
      <c r="P23" s="101" t="s">
        <v>125</v>
      </c>
    </row>
    <row r="24" spans="1:16" x14ac:dyDescent="0.2">
      <c r="A24" s="48">
        <v>101</v>
      </c>
      <c r="B24" s="69" t="s">
        <v>183</v>
      </c>
      <c r="D24" s="101" t="s">
        <v>147</v>
      </c>
      <c r="J24" s="101"/>
      <c r="K24" s="48" t="s">
        <v>125</v>
      </c>
      <c r="L24" s="48">
        <v>10107</v>
      </c>
      <c r="M24" s="48">
        <v>10109</v>
      </c>
      <c r="N24" s="48">
        <v>2</v>
      </c>
      <c r="O24" s="48">
        <v>101</v>
      </c>
      <c r="P24" s="101" t="s">
        <v>125</v>
      </c>
    </row>
    <row r="25" spans="1:16" x14ac:dyDescent="0.2">
      <c r="A25" s="48">
        <v>101</v>
      </c>
      <c r="B25" s="69" t="s">
        <v>184</v>
      </c>
      <c r="D25" s="101" t="s">
        <v>149</v>
      </c>
      <c r="J25" s="101"/>
      <c r="K25" s="48" t="s">
        <v>125</v>
      </c>
      <c r="L25" s="48">
        <v>10108</v>
      </c>
      <c r="M25" s="48">
        <v>10110</v>
      </c>
      <c r="N25" s="48">
        <v>2</v>
      </c>
      <c r="O25" s="48">
        <v>101</v>
      </c>
      <c r="P25" s="101" t="s">
        <v>125</v>
      </c>
    </row>
    <row r="26" spans="1:16" x14ac:dyDescent="0.2">
      <c r="A26" s="48">
        <v>101</v>
      </c>
      <c r="B26" s="69" t="s">
        <v>185</v>
      </c>
      <c r="D26" s="101" t="s">
        <v>148</v>
      </c>
      <c r="J26" s="101"/>
      <c r="K26" s="48" t="s">
        <v>125</v>
      </c>
      <c r="L26" s="48">
        <v>10109</v>
      </c>
      <c r="M26" s="48">
        <v>10111</v>
      </c>
      <c r="N26" s="48">
        <v>2</v>
      </c>
      <c r="O26" s="48">
        <v>101</v>
      </c>
      <c r="P26" s="101" t="s">
        <v>125</v>
      </c>
    </row>
    <row r="27" spans="1:16" x14ac:dyDescent="0.2">
      <c r="A27" s="48">
        <v>101</v>
      </c>
      <c r="B27" s="69" t="s">
        <v>186</v>
      </c>
      <c r="D27" s="101" t="s">
        <v>150</v>
      </c>
      <c r="J27" s="101"/>
      <c r="K27" s="48" t="s">
        <v>125</v>
      </c>
      <c r="L27" s="48">
        <v>10110</v>
      </c>
      <c r="M27" s="48">
        <v>10112</v>
      </c>
      <c r="N27" s="48">
        <v>2</v>
      </c>
      <c r="O27" s="48">
        <v>101</v>
      </c>
      <c r="P27" s="101" t="s">
        <v>125</v>
      </c>
    </row>
    <row r="28" spans="1:16" x14ac:dyDescent="0.2">
      <c r="A28" s="48">
        <v>101</v>
      </c>
      <c r="B28" s="69" t="s">
        <v>187</v>
      </c>
      <c r="D28" s="101" t="s">
        <v>151</v>
      </c>
      <c r="J28" s="101"/>
      <c r="K28" s="48" t="s">
        <v>125</v>
      </c>
      <c r="L28" s="48">
        <v>10111</v>
      </c>
      <c r="M28" s="48">
        <v>10113</v>
      </c>
      <c r="N28" s="48">
        <v>2</v>
      </c>
      <c r="O28" s="48">
        <v>101</v>
      </c>
      <c r="P28" s="101" t="s">
        <v>125</v>
      </c>
    </row>
    <row r="29" spans="1:16" x14ac:dyDescent="0.2">
      <c r="A29" s="48">
        <v>101</v>
      </c>
      <c r="B29" s="69" t="s">
        <v>188</v>
      </c>
      <c r="D29" s="101" t="s">
        <v>152</v>
      </c>
      <c r="J29" s="101"/>
      <c r="K29" s="48" t="s">
        <v>125</v>
      </c>
      <c r="L29" s="48">
        <v>10112</v>
      </c>
      <c r="M29" s="48">
        <v>10114</v>
      </c>
      <c r="N29" s="48">
        <v>2</v>
      </c>
      <c r="O29" s="48">
        <v>101</v>
      </c>
      <c r="P29" s="101" t="s">
        <v>125</v>
      </c>
    </row>
    <row r="30" spans="1:16" x14ac:dyDescent="0.2">
      <c r="A30" s="48">
        <v>101</v>
      </c>
      <c r="B30" s="69" t="s">
        <v>189</v>
      </c>
      <c r="D30" s="101" t="s">
        <v>153</v>
      </c>
      <c r="J30" s="101"/>
      <c r="K30" s="48" t="s">
        <v>125</v>
      </c>
      <c r="L30" s="48">
        <v>10113</v>
      </c>
      <c r="M30" s="48">
        <v>10115</v>
      </c>
      <c r="N30" s="48">
        <v>2</v>
      </c>
      <c r="O30" s="48">
        <v>101</v>
      </c>
      <c r="P30" s="101" t="s">
        <v>125</v>
      </c>
    </row>
    <row r="31" spans="1:16" x14ac:dyDescent="0.2">
      <c r="A31" s="50">
        <v>101</v>
      </c>
      <c r="B31" s="103" t="s">
        <v>190</v>
      </c>
      <c r="C31" s="50"/>
      <c r="D31" s="100" t="s">
        <v>154</v>
      </c>
      <c r="E31" s="68"/>
      <c r="F31" s="68"/>
      <c r="G31" s="68"/>
      <c r="H31" s="68"/>
      <c r="I31" s="68"/>
      <c r="J31" s="100"/>
      <c r="K31" s="50" t="s">
        <v>125</v>
      </c>
      <c r="L31" s="50">
        <v>10114</v>
      </c>
      <c r="M31" s="50">
        <v>10101</v>
      </c>
      <c r="N31" s="50">
        <v>2</v>
      </c>
      <c r="O31" s="50">
        <v>101</v>
      </c>
      <c r="P31" s="100" t="s">
        <v>125</v>
      </c>
    </row>
    <row r="32" spans="1:16" x14ac:dyDescent="0.2">
      <c r="A32" s="50"/>
      <c r="B32" s="103"/>
      <c r="C32" s="50"/>
      <c r="D32" s="100"/>
      <c r="E32" s="68"/>
      <c r="F32" s="68"/>
      <c r="G32" s="68"/>
      <c r="H32" s="68"/>
      <c r="I32" s="68"/>
      <c r="J32" s="100"/>
      <c r="K32" s="50"/>
      <c r="L32" s="50"/>
      <c r="M32" s="50"/>
      <c r="N32" s="50"/>
      <c r="O32" s="50"/>
      <c r="P32" s="100"/>
    </row>
    <row r="33" spans="1:16" ht="18" x14ac:dyDescent="0.2">
      <c r="A33" s="73" t="s">
        <v>200</v>
      </c>
      <c r="B33" s="91"/>
      <c r="C33" s="91"/>
      <c r="D33" s="92"/>
      <c r="E33" s="93"/>
      <c r="F33" s="93"/>
      <c r="G33" s="93"/>
      <c r="H33" s="93"/>
      <c r="I33" s="93"/>
      <c r="J33" s="92"/>
      <c r="K33" s="91"/>
      <c r="L33" s="91"/>
      <c r="M33" s="91"/>
      <c r="N33" s="91"/>
      <c r="O33" s="91"/>
      <c r="P33" s="95"/>
    </row>
    <row r="34" spans="1:16" x14ac:dyDescent="0.2">
      <c r="A34" s="52">
        <v>102</v>
      </c>
      <c r="B34" s="52"/>
      <c r="C34" s="52"/>
      <c r="D34" s="97" t="s">
        <v>138</v>
      </c>
      <c r="E34" s="65" t="s">
        <v>125</v>
      </c>
      <c r="F34" s="65">
        <v>101</v>
      </c>
      <c r="G34" s="65">
        <v>101</v>
      </c>
      <c r="H34" s="65">
        <v>10201</v>
      </c>
      <c r="I34" s="66" t="s">
        <v>139</v>
      </c>
      <c r="J34" s="97" t="s">
        <v>125</v>
      </c>
      <c r="K34" s="52" t="s">
        <v>125</v>
      </c>
      <c r="L34" s="52">
        <v>101</v>
      </c>
      <c r="M34" s="52">
        <v>103</v>
      </c>
      <c r="N34" s="52">
        <v>10201</v>
      </c>
      <c r="O34" s="53" t="s">
        <v>139</v>
      </c>
      <c r="P34" s="97" t="s">
        <v>125</v>
      </c>
    </row>
    <row r="35" spans="1:16" x14ac:dyDescent="0.2">
      <c r="A35" s="48">
        <v>102</v>
      </c>
      <c r="B35" s="69" t="s">
        <v>176</v>
      </c>
      <c r="D35" s="101" t="s">
        <v>159</v>
      </c>
      <c r="E35" s="67" t="s">
        <v>125</v>
      </c>
      <c r="F35" s="67" t="s">
        <v>125</v>
      </c>
      <c r="G35" s="67" t="s">
        <v>125</v>
      </c>
      <c r="H35" s="67" t="s">
        <v>161</v>
      </c>
      <c r="I35" s="67" t="s">
        <v>157</v>
      </c>
      <c r="J35" s="101" t="s">
        <v>125</v>
      </c>
    </row>
    <row r="36" spans="1:16" x14ac:dyDescent="0.2">
      <c r="A36" s="48">
        <v>102</v>
      </c>
      <c r="B36" s="69" t="s">
        <v>177</v>
      </c>
      <c r="D36" s="101" t="s">
        <v>160</v>
      </c>
      <c r="E36" s="67" t="s">
        <v>125</v>
      </c>
      <c r="F36" s="67" t="s">
        <v>162</v>
      </c>
      <c r="G36" s="67" t="s">
        <v>163</v>
      </c>
      <c r="H36" s="67" t="s">
        <v>161</v>
      </c>
      <c r="I36" s="67" t="s">
        <v>157</v>
      </c>
      <c r="J36" s="101" t="s">
        <v>125</v>
      </c>
    </row>
    <row r="37" spans="1:16" x14ac:dyDescent="0.2">
      <c r="A37" s="48">
        <v>102</v>
      </c>
      <c r="B37" s="69" t="s">
        <v>178</v>
      </c>
      <c r="D37" s="101" t="s">
        <v>164</v>
      </c>
      <c r="E37" s="67" t="s">
        <v>165</v>
      </c>
      <c r="F37" s="67" t="s">
        <v>166</v>
      </c>
      <c r="G37" s="67" t="s">
        <v>167</v>
      </c>
      <c r="H37" s="67" t="s">
        <v>168</v>
      </c>
      <c r="I37" s="67" t="s">
        <v>157</v>
      </c>
      <c r="J37" s="101" t="s">
        <v>125</v>
      </c>
    </row>
    <row r="38" spans="1:16" x14ac:dyDescent="0.2">
      <c r="A38" s="48">
        <v>102</v>
      </c>
      <c r="B38" s="69" t="s">
        <v>176</v>
      </c>
      <c r="C38" s="69" t="s">
        <v>176</v>
      </c>
      <c r="D38" s="101" t="s">
        <v>95</v>
      </c>
      <c r="E38" s="67" t="s">
        <v>125</v>
      </c>
      <c r="F38" s="67" t="s">
        <v>125</v>
      </c>
      <c r="G38" s="67" t="s">
        <v>125</v>
      </c>
      <c r="H38" s="67" t="s">
        <v>125</v>
      </c>
      <c r="I38" s="67" t="s">
        <v>157</v>
      </c>
      <c r="J38" s="101" t="s">
        <v>95</v>
      </c>
    </row>
    <row r="39" spans="1:16" x14ac:dyDescent="0.2">
      <c r="A39" s="48">
        <v>102</v>
      </c>
      <c r="B39" s="69" t="s">
        <v>177</v>
      </c>
      <c r="C39" s="69" t="s">
        <v>176</v>
      </c>
      <c r="D39" s="101" t="s">
        <v>191</v>
      </c>
      <c r="E39" s="67" t="s">
        <v>125</v>
      </c>
      <c r="F39" s="67" t="s">
        <v>125</v>
      </c>
      <c r="G39" s="67" t="s">
        <v>125</v>
      </c>
      <c r="H39" s="67" t="s">
        <v>125</v>
      </c>
      <c r="I39" s="67" t="s">
        <v>157</v>
      </c>
      <c r="J39" s="101" t="s">
        <v>192</v>
      </c>
    </row>
    <row r="40" spans="1:16" x14ac:dyDescent="0.2">
      <c r="A40" s="48">
        <v>102</v>
      </c>
      <c r="B40" s="69" t="s">
        <v>177</v>
      </c>
      <c r="C40" s="69" t="s">
        <v>177</v>
      </c>
      <c r="D40" s="101" t="s">
        <v>196</v>
      </c>
      <c r="E40" s="67" t="s">
        <v>125</v>
      </c>
      <c r="F40" s="67" t="s">
        <v>125</v>
      </c>
      <c r="G40" s="67" t="s">
        <v>125</v>
      </c>
      <c r="H40" s="67" t="s">
        <v>125</v>
      </c>
      <c r="I40" s="67" t="s">
        <v>125</v>
      </c>
      <c r="J40" s="101" t="s">
        <v>125</v>
      </c>
    </row>
    <row r="41" spans="1:16" x14ac:dyDescent="0.2">
      <c r="A41" s="48">
        <v>102</v>
      </c>
      <c r="B41" s="69" t="s">
        <v>177</v>
      </c>
      <c r="C41" s="69" t="s">
        <v>178</v>
      </c>
      <c r="D41" s="101" t="s">
        <v>193</v>
      </c>
      <c r="E41" s="67" t="s">
        <v>125</v>
      </c>
      <c r="F41" s="67" t="s">
        <v>125</v>
      </c>
      <c r="G41" s="67" t="s">
        <v>125</v>
      </c>
      <c r="H41" s="67" t="s">
        <v>125</v>
      </c>
      <c r="I41" s="67" t="s">
        <v>157</v>
      </c>
      <c r="J41" s="101" t="s">
        <v>194</v>
      </c>
    </row>
    <row r="42" spans="1:16" x14ac:dyDescent="0.2">
      <c r="A42" s="48">
        <v>102</v>
      </c>
      <c r="B42" s="69" t="s">
        <v>177</v>
      </c>
      <c r="C42" s="69" t="s">
        <v>179</v>
      </c>
      <c r="D42" s="101" t="s">
        <v>196</v>
      </c>
      <c r="E42" s="67" t="s">
        <v>125</v>
      </c>
      <c r="F42" s="67" t="s">
        <v>125</v>
      </c>
      <c r="G42" s="67" t="s">
        <v>125</v>
      </c>
      <c r="H42" s="67" t="s">
        <v>125</v>
      </c>
      <c r="I42" s="67" t="s">
        <v>125</v>
      </c>
      <c r="J42" s="101" t="s">
        <v>125</v>
      </c>
    </row>
    <row r="43" spans="1:16" x14ac:dyDescent="0.2">
      <c r="B43" s="69"/>
      <c r="C43" s="69"/>
      <c r="J43" s="101"/>
    </row>
    <row r="44" spans="1:16" ht="18" x14ac:dyDescent="0.2">
      <c r="A44" s="73" t="s">
        <v>258</v>
      </c>
      <c r="B44" s="91"/>
      <c r="C44" s="91"/>
      <c r="D44" s="92"/>
      <c r="E44" s="93"/>
      <c r="F44" s="93"/>
      <c r="G44" s="93"/>
      <c r="H44" s="93"/>
      <c r="I44" s="93"/>
      <c r="J44" s="92"/>
      <c r="K44" s="91"/>
      <c r="L44" s="91"/>
      <c r="M44" s="91"/>
      <c r="N44" s="91"/>
      <c r="O44" s="91"/>
      <c r="P44" s="95"/>
    </row>
    <row r="45" spans="1:16" x14ac:dyDescent="0.2">
      <c r="A45" s="48">
        <v>103</v>
      </c>
      <c r="D45" s="101" t="s">
        <v>259</v>
      </c>
      <c r="E45" s="67" t="s">
        <v>125</v>
      </c>
      <c r="F45" s="67">
        <v>102</v>
      </c>
      <c r="G45" s="67">
        <v>101</v>
      </c>
      <c r="H45" s="67">
        <v>10301</v>
      </c>
      <c r="I45" s="105" t="s">
        <v>260</v>
      </c>
      <c r="J45" s="101"/>
      <c r="K45" s="48" t="s">
        <v>125</v>
      </c>
      <c r="L45" s="48">
        <v>102</v>
      </c>
      <c r="M45" s="48">
        <v>104</v>
      </c>
      <c r="N45" s="48">
        <v>10301</v>
      </c>
      <c r="O45" s="69" t="s">
        <v>260</v>
      </c>
      <c r="P45" s="101" t="s">
        <v>125</v>
      </c>
    </row>
    <row r="46" spans="1:16" ht="24" customHeight="1" x14ac:dyDescent="0.2">
      <c r="A46" s="48">
        <v>103</v>
      </c>
      <c r="B46" s="69" t="s">
        <v>176</v>
      </c>
      <c r="C46" s="69" t="s">
        <v>176</v>
      </c>
      <c r="D46" s="101" t="s">
        <v>261</v>
      </c>
      <c r="E46" s="67" t="s">
        <v>125</v>
      </c>
      <c r="F46" s="104" t="s">
        <v>262</v>
      </c>
      <c r="G46" s="104" t="s">
        <v>263</v>
      </c>
      <c r="H46" s="67" t="s">
        <v>125</v>
      </c>
      <c r="J46" s="101"/>
    </row>
    <row r="47" spans="1:16" x14ac:dyDescent="0.2">
      <c r="J47" s="101"/>
    </row>
    <row r="48" spans="1:16" x14ac:dyDescent="0.2">
      <c r="J48" s="101"/>
    </row>
    <row r="49" spans="10:10" x14ac:dyDescent="0.2">
      <c r="J49" s="101"/>
    </row>
    <row r="50" spans="10:10" x14ac:dyDescent="0.2">
      <c r="J50" s="101"/>
    </row>
    <row r="51" spans="10:10" x14ac:dyDescent="0.2">
      <c r="J51" s="101"/>
    </row>
    <row r="52" spans="10:10" x14ac:dyDescent="0.2">
      <c r="J52" s="101"/>
    </row>
    <row r="53" spans="10:10" x14ac:dyDescent="0.2">
      <c r="J53" s="101"/>
    </row>
    <row r="54" spans="10:10" x14ac:dyDescent="0.2">
      <c r="J54" s="101"/>
    </row>
    <row r="55" spans="10:10" x14ac:dyDescent="0.2">
      <c r="J55" s="101"/>
    </row>
    <row r="56" spans="10:10" x14ac:dyDescent="0.2">
      <c r="J56" s="101"/>
    </row>
    <row r="57" spans="10:10" x14ac:dyDescent="0.2">
      <c r="J57" s="101"/>
    </row>
  </sheetData>
  <mergeCells count="3">
    <mergeCell ref="A1:C1"/>
    <mergeCell ref="E1:J1"/>
    <mergeCell ref="K1:P1"/>
  </mergeCells>
  <pageMargins left="0.7" right="0.7" top="0.75" bottom="0.75" header="0.3" footer="0.3"/>
  <pageSetup orientation="portrait" horizontalDpi="200" verticalDpi="2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B4DB0-9252-4F96-823D-348096DCCE2A}">
  <dimension ref="B7:H11"/>
  <sheetViews>
    <sheetView workbookViewId="0">
      <selection activeCell="B13" sqref="B13"/>
    </sheetView>
  </sheetViews>
  <sheetFormatPr defaultRowHeight="12.75" x14ac:dyDescent="0.2"/>
  <sheetData>
    <row r="7" spans="2:8" x14ac:dyDescent="0.2">
      <c r="B7" t="s">
        <v>280</v>
      </c>
      <c r="D7" t="s">
        <v>273</v>
      </c>
      <c r="F7" t="s">
        <v>274</v>
      </c>
      <c r="H7" t="s">
        <v>284</v>
      </c>
    </row>
    <row r="8" spans="2:8" ht="48.75" customHeight="1" x14ac:dyDescent="0.2"/>
    <row r="9" spans="2:8" x14ac:dyDescent="0.2">
      <c r="B9" t="s">
        <v>279</v>
      </c>
      <c r="D9" t="s">
        <v>276</v>
      </c>
      <c r="F9" t="s">
        <v>275</v>
      </c>
      <c r="H9" t="s">
        <v>282</v>
      </c>
    </row>
    <row r="10" spans="2:8" ht="48.75" customHeight="1" x14ac:dyDescent="0.2"/>
    <row r="11" spans="2:8" x14ac:dyDescent="0.2">
      <c r="B11" t="s">
        <v>281</v>
      </c>
      <c r="D11" t="s">
        <v>277</v>
      </c>
      <c r="F11" t="s">
        <v>278</v>
      </c>
      <c r="H11" t="s">
        <v>283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C5A0C-5D1E-462F-BBC5-498A980E933B}">
  <sheetPr codeName="Sheet6"/>
  <dimension ref="A1:G35"/>
  <sheetViews>
    <sheetView workbookViewId="0">
      <selection activeCell="D40" sqref="A40:D42"/>
    </sheetView>
  </sheetViews>
  <sheetFormatPr defaultRowHeight="12.75" x14ac:dyDescent="0.2"/>
  <cols>
    <col min="1" max="1" width="22" customWidth="1"/>
    <col min="2" max="3" width="9" style="46"/>
    <col min="5" max="5" width="10.25" customWidth="1"/>
  </cols>
  <sheetData>
    <row r="1" spans="1:7" x14ac:dyDescent="0.2">
      <c r="B1" s="46" t="s">
        <v>210</v>
      </c>
      <c r="C1" s="46" t="s">
        <v>211</v>
      </c>
    </row>
    <row r="3" spans="1:7" x14ac:dyDescent="0.2">
      <c r="A3" t="s">
        <v>212</v>
      </c>
      <c r="B3" s="46">
        <v>2</v>
      </c>
      <c r="C3" s="46">
        <v>2</v>
      </c>
    </row>
    <row r="4" spans="1:7" x14ac:dyDescent="0.2">
      <c r="A4" t="s">
        <v>213</v>
      </c>
      <c r="B4" s="46">
        <v>300</v>
      </c>
      <c r="C4" s="46">
        <v>400</v>
      </c>
    </row>
    <row r="5" spans="1:7" x14ac:dyDescent="0.2">
      <c r="A5" t="s">
        <v>216</v>
      </c>
      <c r="B5" s="46">
        <v>30</v>
      </c>
    </row>
    <row r="6" spans="1:7" x14ac:dyDescent="0.2">
      <c r="A6" t="s">
        <v>215</v>
      </c>
      <c r="B6" s="46">
        <f>F16*B4/F15</f>
        <v>168</v>
      </c>
    </row>
    <row r="7" spans="1:7" x14ac:dyDescent="0.2">
      <c r="A7" t="s">
        <v>214</v>
      </c>
      <c r="E7" t="s">
        <v>217</v>
      </c>
    </row>
    <row r="8" spans="1:7" x14ac:dyDescent="0.2">
      <c r="E8" t="s">
        <v>218</v>
      </c>
    </row>
    <row r="11" spans="1:7" x14ac:dyDescent="0.2">
      <c r="D11" t="s">
        <v>221</v>
      </c>
      <c r="E11" t="s">
        <v>218</v>
      </c>
      <c r="F11">
        <v>1500</v>
      </c>
      <c r="G11" t="s">
        <v>29</v>
      </c>
    </row>
    <row r="12" spans="1:7" x14ac:dyDescent="0.2">
      <c r="D12" t="s">
        <v>222</v>
      </c>
      <c r="E12" t="s">
        <v>219</v>
      </c>
      <c r="F12">
        <v>1500</v>
      </c>
      <c r="G12" t="s">
        <v>29</v>
      </c>
    </row>
    <row r="13" spans="1:7" x14ac:dyDescent="0.2">
      <c r="D13" t="s">
        <v>223</v>
      </c>
      <c r="F13">
        <f>30*28</f>
        <v>840</v>
      </c>
      <c r="G13" t="s">
        <v>220</v>
      </c>
    </row>
    <row r="15" spans="1:7" x14ac:dyDescent="0.2">
      <c r="D15" t="s">
        <v>224</v>
      </c>
      <c r="F15">
        <v>50</v>
      </c>
      <c r="G15" t="s">
        <v>29</v>
      </c>
    </row>
    <row r="16" spans="1:7" x14ac:dyDescent="0.2">
      <c r="F16">
        <f>F15/F12*F13</f>
        <v>28</v>
      </c>
      <c r="G16" t="s">
        <v>220</v>
      </c>
    </row>
    <row r="20" spans="1:5" x14ac:dyDescent="0.2">
      <c r="A20" t="s">
        <v>225</v>
      </c>
      <c r="B20" s="46">
        <v>0.5</v>
      </c>
      <c r="C20" s="46" t="s">
        <v>226</v>
      </c>
      <c r="D20">
        <f>B20*1000/F15*F16</f>
        <v>280</v>
      </c>
      <c r="E20" t="s">
        <v>227</v>
      </c>
    </row>
    <row r="21" spans="1:5" x14ac:dyDescent="0.2">
      <c r="B21" s="46">
        <v>300</v>
      </c>
      <c r="C21" s="46" t="s">
        <v>29</v>
      </c>
      <c r="D21">
        <f>B21*F13/F11</f>
        <v>168</v>
      </c>
      <c r="E21" t="s">
        <v>227</v>
      </c>
    </row>
    <row r="24" spans="1:5" x14ac:dyDescent="0.2">
      <c r="A24" t="s">
        <v>232</v>
      </c>
      <c r="B24" t="s">
        <v>233</v>
      </c>
      <c r="C24" s="75"/>
    </row>
    <row r="25" spans="1:5" x14ac:dyDescent="0.2">
      <c r="B25" t="s">
        <v>234</v>
      </c>
      <c r="C25" s="75"/>
    </row>
    <row r="26" spans="1:5" x14ac:dyDescent="0.2">
      <c r="B26" t="s">
        <v>235</v>
      </c>
      <c r="C26" s="75"/>
    </row>
    <row r="27" spans="1:5" x14ac:dyDescent="0.2">
      <c r="B27" t="s">
        <v>236</v>
      </c>
      <c r="C27" s="75"/>
    </row>
    <row r="28" spans="1:5" x14ac:dyDescent="0.2">
      <c r="B28" t="s">
        <v>237</v>
      </c>
      <c r="C28" s="75"/>
    </row>
    <row r="29" spans="1:5" x14ac:dyDescent="0.2">
      <c r="B29" t="s">
        <v>238</v>
      </c>
      <c r="C29" s="75"/>
    </row>
    <row r="30" spans="1:5" x14ac:dyDescent="0.2">
      <c r="B30" t="s">
        <v>239</v>
      </c>
      <c r="C30" s="75"/>
    </row>
    <row r="31" spans="1:5" x14ac:dyDescent="0.2">
      <c r="B31" t="s">
        <v>240</v>
      </c>
      <c r="C31" s="75"/>
    </row>
    <row r="32" spans="1:5" x14ac:dyDescent="0.2">
      <c r="B32" t="s">
        <v>241</v>
      </c>
      <c r="C32" s="75"/>
    </row>
    <row r="33" spans="2:3" x14ac:dyDescent="0.2">
      <c r="B33" t="s">
        <v>242</v>
      </c>
      <c r="C33" s="75"/>
    </row>
    <row r="34" spans="2:3" x14ac:dyDescent="0.2">
      <c r="B34" t="s">
        <v>243</v>
      </c>
      <c r="C34" s="75"/>
    </row>
    <row r="35" spans="2:3" x14ac:dyDescent="0.2">
      <c r="B35" t="s">
        <v>244</v>
      </c>
      <c r="C35" s="7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3DC5-D04F-48B1-A2F7-3619231C4D25}">
  <sheetPr codeName="Sheet8"/>
  <dimension ref="A1:C5"/>
  <sheetViews>
    <sheetView workbookViewId="0">
      <selection activeCell="B3" sqref="B3"/>
    </sheetView>
  </sheetViews>
  <sheetFormatPr defaultRowHeight="12.75" x14ac:dyDescent="0.2"/>
  <sheetData>
    <row r="1" spans="1:3" x14ac:dyDescent="0.2">
      <c r="A1" t="s">
        <v>223</v>
      </c>
      <c r="B1">
        <v>12</v>
      </c>
      <c r="C1" t="s">
        <v>220</v>
      </c>
    </row>
    <row r="3" spans="1:3" x14ac:dyDescent="0.2">
      <c r="A3" t="s">
        <v>230</v>
      </c>
      <c r="B3">
        <v>3500</v>
      </c>
      <c r="C3" t="s">
        <v>79</v>
      </c>
    </row>
    <row r="5" spans="1:3" x14ac:dyDescent="0.2">
      <c r="A5" t="s">
        <v>231</v>
      </c>
      <c r="B5">
        <f>60000000/(B3*B1)</f>
        <v>1428.5714285714287</v>
      </c>
      <c r="C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Parameters</vt:lpstr>
      <vt:lpstr>Error codes</vt:lpstr>
      <vt:lpstr>Sheet1</vt:lpstr>
      <vt:lpstr>Units</vt:lpstr>
      <vt:lpstr>Menu</vt:lpstr>
      <vt:lpstr>Battery voltage</vt:lpstr>
      <vt:lpstr>Screens</vt:lpstr>
      <vt:lpstr>Sheet2</vt:lpstr>
      <vt:lpstr>Index</vt:lpstr>
      <vt:lpstr>Stroke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Arnold</cp:lastModifiedBy>
  <dcterms:created xsi:type="dcterms:W3CDTF">2021-09-01T02:57:31Z</dcterms:created>
  <dcterms:modified xsi:type="dcterms:W3CDTF">2022-06-30T08:57:21Z</dcterms:modified>
</cp:coreProperties>
</file>